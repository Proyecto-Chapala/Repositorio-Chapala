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pc\Desktop\ALMACEN\INVENTARIO DE PRODUCTOS\3. Agosto 2026\"/>
    </mc:Choice>
  </mc:AlternateContent>
  <xr:revisionPtr revIDLastSave="0" documentId="13_ncr:1_{F61D3E01-D387-4014-9D78-2304DE3D60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7-08-2026 Productos" sheetId="5" r:id="rId1"/>
    <sheet name="17-08-2026 Líquido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5" l="1"/>
  <c r="I11" i="6"/>
  <c r="K11" i="6" s="1"/>
  <c r="I10" i="6"/>
  <c r="K10" i="6" s="1"/>
  <c r="I47" i="5"/>
  <c r="K47" i="5" s="1"/>
  <c r="I46" i="5"/>
  <c r="K46" i="5" s="1"/>
  <c r="I45" i="5"/>
  <c r="K45" i="5" s="1"/>
  <c r="I44" i="5"/>
  <c r="K44" i="5" s="1"/>
  <c r="K43" i="5"/>
  <c r="I43" i="5"/>
  <c r="I42" i="5"/>
  <c r="K42" i="5" s="1"/>
  <c r="I41" i="5"/>
  <c r="K41" i="5" s="1"/>
  <c r="I40" i="5"/>
  <c r="K40" i="5" s="1"/>
  <c r="I39" i="5"/>
  <c r="K39" i="5" s="1"/>
  <c r="K38" i="5"/>
  <c r="K37" i="5"/>
  <c r="K36" i="5"/>
  <c r="I36" i="5"/>
  <c r="I35" i="5"/>
  <c r="K35" i="5" s="1"/>
  <c r="I34" i="5"/>
  <c r="K34" i="5" s="1"/>
  <c r="I33" i="5"/>
  <c r="K33" i="5" s="1"/>
  <c r="K32" i="5"/>
  <c r="I32" i="5"/>
  <c r="I31" i="5"/>
  <c r="K31" i="5" s="1"/>
  <c r="I30" i="5"/>
  <c r="K30" i="5" s="1"/>
  <c r="I29" i="5"/>
  <c r="K29" i="5" s="1"/>
  <c r="K28" i="5"/>
  <c r="I28" i="5"/>
  <c r="I27" i="5"/>
  <c r="K27" i="5" s="1"/>
  <c r="I26" i="5"/>
  <c r="K26" i="5" s="1"/>
  <c r="K25" i="5"/>
  <c r="I25" i="5"/>
  <c r="K24" i="5"/>
  <c r="I24" i="5"/>
  <c r="I23" i="5"/>
  <c r="K23" i="5" s="1"/>
  <c r="I22" i="5"/>
  <c r="K22" i="5" s="1"/>
  <c r="I21" i="5"/>
  <c r="K21" i="5" s="1"/>
  <c r="I20" i="5"/>
  <c r="K20" i="5" s="1"/>
  <c r="I19" i="5"/>
  <c r="K19" i="5" s="1"/>
  <c r="I18" i="5"/>
  <c r="K18" i="5" s="1"/>
  <c r="I17" i="5"/>
  <c r="K17" i="5" s="1"/>
  <c r="K16" i="5"/>
  <c r="I16" i="5"/>
  <c r="I15" i="5"/>
  <c r="K15" i="5" s="1"/>
  <c r="I14" i="5"/>
  <c r="K14" i="5" s="1"/>
  <c r="K13" i="5"/>
  <c r="I12" i="5"/>
  <c r="K12" i="5" s="1"/>
  <c r="I11" i="5"/>
  <c r="K11" i="5" s="1"/>
  <c r="I10" i="5"/>
  <c r="K1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G44" authorId="0" shapeId="0" xr:uid="{5F413D01-FEB8-4A36-B56F-3F61B3F3F6D4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Inventario Inicial 320, venta a Prologg 40 sxs (1paleta) 30-06-2026</t>
        </r>
      </text>
    </comment>
  </commentList>
</comments>
</file>

<file path=xl/sharedStrings.xml><?xml version="1.0" encoding="utf-8"?>
<sst xmlns="http://schemas.openxmlformats.org/spreadsheetml/2006/main" count="292" uniqueCount="121">
  <si>
    <t>DEPARTAMENTO: ALMACEN</t>
  </si>
  <si>
    <t>ITEM</t>
  </si>
  <si>
    <t>DESCRIPCION</t>
  </si>
  <si>
    <t>Cantidad</t>
  </si>
  <si>
    <t>INVENTARIO FISICO</t>
  </si>
  <si>
    <t>Total</t>
  </si>
  <si>
    <t>Stock</t>
  </si>
  <si>
    <t>Inicial</t>
  </si>
  <si>
    <t>Entrada</t>
  </si>
  <si>
    <t>Existente</t>
  </si>
  <si>
    <t>Salida</t>
  </si>
  <si>
    <t>Final</t>
  </si>
  <si>
    <t>1</t>
  </si>
  <si>
    <t>ACETROL - ACETATO (TAMBOR 55 GAL)</t>
  </si>
  <si>
    <t>2</t>
  </si>
  <si>
    <t>ACIDO CITRICO GRANULADO  (TAMBORES-55 GLS)</t>
  </si>
  <si>
    <t>3</t>
  </si>
  <si>
    <t>ALCOHOL METANOL (TAMBOR) 208 LT</t>
  </si>
  <si>
    <t>4</t>
  </si>
  <si>
    <t>BENTONITA (SACOS 25 KG)</t>
  </si>
  <si>
    <t>5</t>
  </si>
  <si>
    <t>BRIDGESAL ULTRA (SACOS 25 KG)</t>
  </si>
  <si>
    <t>6</t>
  </si>
  <si>
    <t>CAL HIDRATADA  (SACOS 20 KG)</t>
  </si>
  <si>
    <t>7</t>
  </si>
  <si>
    <t>8</t>
  </si>
  <si>
    <t>CARBONATO PROPYLENE -(TOTE 1000 LT)</t>
  </si>
  <si>
    <t>9</t>
  </si>
  <si>
    <t>CARBONATO MICRAWHIT 30TT (SACOS 30 KG)</t>
  </si>
  <si>
    <t>10</t>
  </si>
  <si>
    <t>COAGULANTE (SACOS 25 KG)</t>
  </si>
  <si>
    <t>11</t>
  </si>
  <si>
    <t>COAGULANTE LIQUIDO (TAMBOR) 208 LT</t>
  </si>
  <si>
    <t>13</t>
  </si>
  <si>
    <t>14</t>
  </si>
  <si>
    <t>15</t>
  </si>
  <si>
    <t>16</t>
  </si>
  <si>
    <t>HEC SOLIDO  (SACOS 25 KG)</t>
  </si>
  <si>
    <t>17</t>
  </si>
  <si>
    <t>FLOCCUPOL (SACOS 25 KG)</t>
  </si>
  <si>
    <t>18</t>
  </si>
  <si>
    <t>GOMA XANTHAN CLARIFICADA (SACOS 25 LBS)</t>
  </si>
  <si>
    <t>20</t>
  </si>
  <si>
    <t>GEL TONE (SACOS 25 KG)</t>
  </si>
  <si>
    <t>21</t>
  </si>
  <si>
    <t>MAGNESIO MUERTO (SACOS)</t>
  </si>
  <si>
    <t>22</t>
  </si>
  <si>
    <t>23</t>
  </si>
  <si>
    <t>M.E.A (AOS) (TOTE 1000 LT)</t>
  </si>
  <si>
    <t>26</t>
  </si>
  <si>
    <t>NEWSEC 01 (TAMBORES-55 GLS)</t>
  </si>
  <si>
    <t>27</t>
  </si>
  <si>
    <t>NEWCHEM 169  (TAMBORES-55 GLS)</t>
  </si>
  <si>
    <t>28</t>
  </si>
  <si>
    <t>NEWCHEM 920 (TAMBORES-55 GLS)</t>
  </si>
  <si>
    <t>29</t>
  </si>
  <si>
    <t>SAL INDUSTRIAL (SACOS 40 KG)</t>
  </si>
  <si>
    <t>30</t>
  </si>
  <si>
    <t>31</t>
  </si>
  <si>
    <t>SHALELUBE (TAMBORES-55 GLS)</t>
  </si>
  <si>
    <t>32</t>
  </si>
  <si>
    <t>SULFATO DE ALUMINIO (SACOS 40 KG)</t>
  </si>
  <si>
    <t>TOFA (AOS)- (TAMBORES-55 GLS)</t>
  </si>
  <si>
    <t>OBSERVACIONES:</t>
  </si>
  <si>
    <t>REALIZADO POR:</t>
  </si>
  <si>
    <t>REVISADO POR:</t>
  </si>
  <si>
    <t>CARGO: Encargado de Almacen</t>
  </si>
  <si>
    <t>FIRMA:</t>
  </si>
  <si>
    <t>19</t>
  </si>
  <si>
    <t>12</t>
  </si>
  <si>
    <t>24</t>
  </si>
  <si>
    <t>25</t>
  </si>
  <si>
    <t>ENCARGADO: LUIS BRICEÑO</t>
  </si>
  <si>
    <t>NOMBRE: Lusneila Franceschi</t>
  </si>
  <si>
    <t>NOMBRE: Luis Briceño</t>
  </si>
  <si>
    <t>CARGO: Administración</t>
  </si>
  <si>
    <t>CLORURO DE CALCIO (SACOS 25 KG)</t>
  </si>
  <si>
    <t>GOMA XANTHAN (SACOS 25 LBS)</t>
  </si>
  <si>
    <t>SODIUM POLYACRYLATE 40% (TAMBORES  )</t>
  </si>
  <si>
    <t>STRATABEAD  SACOS (25 LBS)</t>
  </si>
  <si>
    <t>TAMBOR 55 GLS</t>
  </si>
  <si>
    <t>SACOS 55 LBS</t>
  </si>
  <si>
    <t>SACOS 44 LBS</t>
  </si>
  <si>
    <t>SACOS 66 LBS</t>
  </si>
  <si>
    <t>TOTEMS</t>
  </si>
  <si>
    <t>SACOS 25 LBS</t>
  </si>
  <si>
    <t>SACOS 88LBS</t>
  </si>
  <si>
    <t>25LBS</t>
  </si>
  <si>
    <t>PRESENTACION</t>
  </si>
  <si>
    <t>SODIUM POLYACRYLATE 40% (TAMBORES)</t>
  </si>
  <si>
    <t>ACETROL - ACETATO (TAMBOR 55 GLS)</t>
  </si>
  <si>
    <t>se compro y se vendio 49 sacos</t>
  </si>
  <si>
    <t>33</t>
  </si>
  <si>
    <t>*</t>
  </si>
  <si>
    <t>SURFACTANTE BASE AGUA Surflub-2603</t>
  </si>
  <si>
    <t>ACETATO DE POTASIO (SACOS DE 25 KG)</t>
  </si>
  <si>
    <t>SACOS 113 LBS</t>
  </si>
  <si>
    <t>BARITA (SACOS DE 100 LBS)</t>
  </si>
  <si>
    <t>SACOS 100 LBS</t>
  </si>
  <si>
    <t>(SACOS DE 25 KG)</t>
  </si>
  <si>
    <t>SAL FINA (SACOS 25 KG)</t>
  </si>
  <si>
    <t>SODA CAUSTICA (SACOS DE 25 kg)</t>
  </si>
  <si>
    <t xml:space="preserve">ALMIDON (DRILLANYL STAECHE WP) </t>
  </si>
  <si>
    <t>BARITA (SACOS DE 55 LBS)</t>
  </si>
  <si>
    <t>34</t>
  </si>
  <si>
    <t>35</t>
  </si>
  <si>
    <t>36</t>
  </si>
  <si>
    <t>37</t>
  </si>
  <si>
    <t>SACOS DE 55 LBS</t>
  </si>
  <si>
    <t>38</t>
  </si>
  <si>
    <t>ACIDO CITRICO GRANULADO  2918.14.00</t>
  </si>
  <si>
    <t>LIGNITO CAUSTIZEC 3803.02.90.00 (SACOS 25 KG)</t>
  </si>
  <si>
    <t>PAC LV 3912.31.00 (Celulosa Polianionica de Baja viscocidasd) Sacos de 25 KG</t>
  </si>
  <si>
    <t>SHALE INHIBIDOR 3824.99,90 (AMINA) (TOTE 1000 LT)</t>
  </si>
  <si>
    <t xml:space="preserve">TOTEMS </t>
  </si>
  <si>
    <t>INVENTARIO DE PRODUCTOS LÍQUIDOS</t>
  </si>
  <si>
    <t>Salmuera de Cloruro de Calcio densidad 11 LPG</t>
  </si>
  <si>
    <t>BLS</t>
  </si>
  <si>
    <t>Samuera de Cloruro de Sodio Nacl densidad 10.0 LPG</t>
  </si>
  <si>
    <t>INVENTARIO DE PRODUCTOS QUÍMICOS</t>
  </si>
  <si>
    <t>FECHA: 17/08/2026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</si>
</sst>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;[Red]#,##0"/>
    <numFmt numFmtId="165" formatCode="#&quot;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u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465926084170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164" fontId="5" fillId="0" borderId="7" xfId="1" applyNumberFormat="1" applyFont="1" applyFill="1" applyBorder="1" applyAlignment="1">
      <alignment horizontal="center"/>
    </xf>
    <xf numFmtId="164" fontId="7" fillId="0" borderId="7" xfId="1" applyNumberFormat="1" applyFont="1" applyFill="1" applyBorder="1" applyAlignment="1">
      <alignment horizontal="center"/>
    </xf>
    <xf numFmtId="1" fontId="5" fillId="0" borderId="7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0" xfId="0" applyFill="1" applyBorder="1"/>
    <xf numFmtId="0" fontId="9" fillId="4" borderId="9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49" fontId="2" fillId="0" borderId="7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65" fontId="5" fillId="0" borderId="7" xfId="0" applyNumberFormat="1" applyFont="1" applyFill="1" applyBorder="1" applyAlignment="1">
      <alignment horizontal="center"/>
    </xf>
    <xf numFmtId="0" fontId="6" fillId="0" borderId="9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center" wrapText="1"/>
    </xf>
    <xf numFmtId="164" fontId="7" fillId="0" borderId="7" xfId="0" applyNumberFormat="1" applyFont="1" applyFill="1" applyBorder="1" applyAlignment="1">
      <alignment horizontal="center"/>
    </xf>
    <xf numFmtId="0" fontId="9" fillId="4" borderId="9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top" wrapText="1" shrinkToFit="1"/>
    </xf>
    <xf numFmtId="0" fontId="5" fillId="0" borderId="10" xfId="0" applyFont="1" applyBorder="1" applyAlignment="1">
      <alignment horizontal="left" vertical="top" wrapText="1" shrinkToFit="1"/>
    </xf>
    <xf numFmtId="0" fontId="5" fillId="0" borderId="11" xfId="0" applyFont="1" applyBorder="1" applyAlignment="1">
      <alignment horizontal="left" vertical="top" wrapText="1" shrinkToFit="1"/>
    </xf>
    <xf numFmtId="0" fontId="6" fillId="0" borderId="9" xfId="0" applyFont="1" applyFill="1" applyBorder="1" applyAlignment="1">
      <alignment horizontal="left" wrapText="1"/>
    </xf>
    <xf numFmtId="0" fontId="6" fillId="0" borderId="10" xfId="0" applyFont="1" applyFill="1" applyBorder="1" applyAlignment="1">
      <alignment horizontal="left" wrapText="1"/>
    </xf>
    <xf numFmtId="0" fontId="6" fillId="0" borderId="11" xfId="0" applyFont="1" applyFill="1" applyBorder="1" applyAlignment="1">
      <alignment horizontal="left" wrapText="1"/>
    </xf>
    <xf numFmtId="0" fontId="6" fillId="0" borderId="9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0" fillId="4" borderId="10" xfId="0" applyFill="1" applyBorder="1"/>
    <xf numFmtId="0" fontId="8" fillId="4" borderId="1" xfId="0" applyFont="1" applyFill="1" applyBorder="1" applyAlignment="1">
      <alignment vertical="top"/>
    </xf>
    <xf numFmtId="0" fontId="8" fillId="4" borderId="2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8" fillId="4" borderId="13" xfId="0" applyFont="1" applyFill="1" applyBorder="1" applyAlignment="1">
      <alignment vertical="top"/>
    </xf>
    <xf numFmtId="0" fontId="8" fillId="4" borderId="0" xfId="0" applyFont="1" applyFill="1" applyAlignment="1">
      <alignment vertical="top"/>
    </xf>
    <xf numFmtId="0" fontId="8" fillId="4" borderId="14" xfId="0" applyFont="1" applyFill="1" applyBorder="1" applyAlignment="1">
      <alignment vertical="top"/>
    </xf>
    <xf numFmtId="0" fontId="8" fillId="4" borderId="4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4" borderId="6" xfId="0" applyFont="1" applyFill="1" applyBorder="1" applyAlignment="1">
      <alignment vertical="top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6" fillId="0" borderId="9" xfId="0" applyFont="1" applyFill="1" applyBorder="1"/>
    <xf numFmtId="0" fontId="6" fillId="0" borderId="10" xfId="0" applyFont="1" applyFill="1" applyBorder="1"/>
    <xf numFmtId="0" fontId="6" fillId="0" borderId="1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0" fillId="0" borderId="7" xfId="0" applyBorder="1"/>
    <xf numFmtId="0" fontId="3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230187</xdr:colOff>
      <xdr:row>0</xdr:row>
      <xdr:rowOff>0</xdr:rowOff>
    </xdr:from>
    <xdr:to>
      <xdr:col>3</xdr:col>
      <xdr:colOff>142875</xdr:colOff>
      <xdr:row>3</xdr:row>
      <xdr:rowOff>15875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7C1CA1-4D20-4145-A446-B86E125BF24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87" y="0"/>
          <a:ext cx="1939608" cy="5645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230187</xdr:colOff>
      <xdr:row>0</xdr:row>
      <xdr:rowOff>0</xdr:rowOff>
    </xdr:from>
    <xdr:to>
      <xdr:col>3</xdr:col>
      <xdr:colOff>142875</xdr:colOff>
      <xdr:row>3</xdr:row>
      <xdr:rowOff>15875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ED6B43-0B26-41AD-9580-D0998355ECE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87" y="0"/>
          <a:ext cx="1939608" cy="564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28A8-0C86-419A-9BCD-387D8D716468}">
  <sheetPr>
    <pageSetUpPr fitToPage="1"/>
  </sheetPr>
  <dimension ref="A1:M57"/>
  <sheetViews>
    <sheetView tabSelected="1" zoomScale="120" zoomScaleNormal="120" workbookViewId="0">
      <selection activeCell="E57" sqref="E57:K57"/>
    </sheetView>
  </sheetViews>
  <sheetFormatPr baseColWidth="10" defaultRowHeight="15" x14ac:dyDescent="0.25"/>
  <cols>
    <col min="1" max="1" width="6.42578125" customWidth="1"/>
    <col min="4" max="4" width="12.5703125" customWidth="1"/>
    <col min="5" max="5" width="6.7109375" customWidth="1"/>
    <col min="6" max="6" width="18.7109375" style="13" customWidth="1"/>
    <col min="7" max="7" width="8.7109375" customWidth="1"/>
    <col min="8" max="8" width="9.42578125" customWidth="1"/>
    <col min="9" max="9" width="9.140625" customWidth="1"/>
    <col min="10" max="10" width="8.7109375" customWidth="1"/>
    <col min="11" max="11" width="9" customWidth="1"/>
    <col min="12" max="12" width="0" hidden="1" customWidth="1"/>
  </cols>
  <sheetData>
    <row r="1" spans="1:11" x14ac:dyDescent="0.25">
      <c r="A1" s="55"/>
      <c r="B1" s="56"/>
      <c r="C1" s="56"/>
      <c r="D1" s="56"/>
      <c r="E1" s="57"/>
      <c r="F1" s="64" t="s">
        <v>119</v>
      </c>
      <c r="G1" s="65"/>
      <c r="H1" s="65"/>
      <c r="I1" s="65"/>
      <c r="J1" s="65"/>
      <c r="K1" s="66"/>
    </row>
    <row r="2" spans="1:11" x14ac:dyDescent="0.25">
      <c r="A2" s="58"/>
      <c r="B2" s="59"/>
      <c r="C2" s="59"/>
      <c r="D2" s="59"/>
      <c r="E2" s="60"/>
      <c r="F2" s="67"/>
      <c r="G2" s="68"/>
      <c r="H2" s="68"/>
      <c r="I2" s="68"/>
      <c r="J2" s="68"/>
      <c r="K2" s="69"/>
    </row>
    <row r="3" spans="1:11" x14ac:dyDescent="0.25">
      <c r="A3" s="61"/>
      <c r="B3" s="62"/>
      <c r="C3" s="62"/>
      <c r="D3" s="62"/>
      <c r="E3" s="63"/>
      <c r="F3" s="70"/>
      <c r="G3" s="71"/>
      <c r="H3" s="71"/>
      <c r="I3" s="71"/>
      <c r="J3" s="71"/>
      <c r="K3" s="72"/>
    </row>
    <row r="4" spans="1:11" x14ac:dyDescent="0.25">
      <c r="A4" s="1"/>
      <c r="B4" s="1"/>
      <c r="C4" s="1"/>
      <c r="D4" s="1"/>
      <c r="E4" s="1"/>
      <c r="F4" s="11"/>
      <c r="G4" s="1"/>
      <c r="H4" s="1"/>
      <c r="I4" s="1"/>
      <c r="J4" s="1"/>
      <c r="K4" s="1"/>
    </row>
    <row r="5" spans="1:11" ht="15" customHeight="1" x14ac:dyDescent="0.25">
      <c r="A5" s="73" t="s">
        <v>0</v>
      </c>
      <c r="B5" s="74"/>
      <c r="C5" s="74"/>
      <c r="D5" s="75" t="s">
        <v>72</v>
      </c>
      <c r="E5" s="75"/>
      <c r="F5" s="75"/>
      <c r="G5" s="75"/>
      <c r="H5" s="75"/>
      <c r="I5" s="76"/>
      <c r="J5" s="75" t="s">
        <v>120</v>
      </c>
      <c r="K5" s="77"/>
    </row>
    <row r="6" spans="1:11" x14ac:dyDescent="0.25">
      <c r="A6" s="74"/>
      <c r="B6" s="74"/>
      <c r="C6" s="74"/>
      <c r="D6" s="75"/>
      <c r="E6" s="75"/>
      <c r="F6" s="75"/>
      <c r="G6" s="75"/>
      <c r="H6" s="75"/>
      <c r="I6" s="76"/>
      <c r="J6" s="76"/>
      <c r="K6" s="77"/>
    </row>
    <row r="7" spans="1:11" x14ac:dyDescent="0.25">
      <c r="A7" s="78" t="s">
        <v>1</v>
      </c>
      <c r="B7" s="81" t="s">
        <v>2</v>
      </c>
      <c r="C7" s="82"/>
      <c r="D7" s="83"/>
      <c r="E7" s="84"/>
      <c r="F7" s="92" t="s">
        <v>88</v>
      </c>
      <c r="G7" s="95" t="s">
        <v>3</v>
      </c>
      <c r="H7" s="95" t="s">
        <v>3</v>
      </c>
      <c r="I7" s="97" t="s">
        <v>4</v>
      </c>
      <c r="J7" s="98"/>
      <c r="K7" s="99"/>
    </row>
    <row r="8" spans="1:11" x14ac:dyDescent="0.25">
      <c r="A8" s="79"/>
      <c r="B8" s="85"/>
      <c r="C8" s="86"/>
      <c r="D8" s="87"/>
      <c r="E8" s="88"/>
      <c r="F8" s="93"/>
      <c r="G8" s="96"/>
      <c r="H8" s="96"/>
      <c r="I8" s="2" t="s">
        <v>5</v>
      </c>
      <c r="J8" s="2" t="s">
        <v>5</v>
      </c>
      <c r="K8" s="3" t="s">
        <v>6</v>
      </c>
    </row>
    <row r="9" spans="1:11" x14ac:dyDescent="0.25">
      <c r="A9" s="80"/>
      <c r="B9" s="89"/>
      <c r="C9" s="90"/>
      <c r="D9" s="90"/>
      <c r="E9" s="91"/>
      <c r="F9" s="94"/>
      <c r="G9" s="4" t="s">
        <v>7</v>
      </c>
      <c r="H9" s="5" t="s">
        <v>8</v>
      </c>
      <c r="I9" s="6" t="s">
        <v>9</v>
      </c>
      <c r="J9" s="6" t="s">
        <v>10</v>
      </c>
      <c r="K9" s="7" t="s">
        <v>11</v>
      </c>
    </row>
    <row r="10" spans="1:11" x14ac:dyDescent="0.25">
      <c r="A10" s="18" t="s">
        <v>12</v>
      </c>
      <c r="B10" s="52" t="s">
        <v>90</v>
      </c>
      <c r="C10" s="53" t="s">
        <v>13</v>
      </c>
      <c r="D10" s="53" t="s">
        <v>13</v>
      </c>
      <c r="E10" s="54" t="s">
        <v>13</v>
      </c>
      <c r="F10" s="19" t="s">
        <v>80</v>
      </c>
      <c r="G10" s="20">
        <v>8</v>
      </c>
      <c r="H10" s="8">
        <v>0</v>
      </c>
      <c r="I10" s="21">
        <f t="shared" ref="I10:I47" si="0">G10+H10</f>
        <v>8</v>
      </c>
      <c r="J10" s="8">
        <v>0</v>
      </c>
      <c r="K10" s="20">
        <f t="shared" ref="K10:K23" si="1">+I10-J10</f>
        <v>8</v>
      </c>
    </row>
    <row r="11" spans="1:11" x14ac:dyDescent="0.25">
      <c r="A11" s="18" t="s">
        <v>14</v>
      </c>
      <c r="B11" s="52" t="s">
        <v>95</v>
      </c>
      <c r="C11" s="53" t="s">
        <v>13</v>
      </c>
      <c r="D11" s="53" t="s">
        <v>13</v>
      </c>
      <c r="E11" s="54" t="s">
        <v>13</v>
      </c>
      <c r="F11" s="19" t="s">
        <v>81</v>
      </c>
      <c r="G11" s="20">
        <v>439</v>
      </c>
      <c r="H11" s="8">
        <v>0</v>
      </c>
      <c r="I11" s="21">
        <f t="shared" si="0"/>
        <v>439</v>
      </c>
      <c r="J11" s="8">
        <v>0</v>
      </c>
      <c r="K11" s="20">
        <f t="shared" si="1"/>
        <v>439</v>
      </c>
    </row>
    <row r="12" spans="1:11" x14ac:dyDescent="0.25">
      <c r="A12" s="18" t="s">
        <v>16</v>
      </c>
      <c r="B12" s="36" t="s">
        <v>15</v>
      </c>
      <c r="C12" s="37" t="s">
        <v>15</v>
      </c>
      <c r="D12" s="37" t="s">
        <v>15</v>
      </c>
      <c r="E12" s="38" t="s">
        <v>15</v>
      </c>
      <c r="F12" s="19" t="s">
        <v>80</v>
      </c>
      <c r="G12" s="20">
        <v>2</v>
      </c>
      <c r="H12" s="8">
        <v>0</v>
      </c>
      <c r="I12" s="21">
        <f t="shared" si="0"/>
        <v>2</v>
      </c>
      <c r="J12" s="8">
        <v>0</v>
      </c>
      <c r="K12" s="20">
        <f t="shared" si="1"/>
        <v>2</v>
      </c>
    </row>
    <row r="13" spans="1:11" x14ac:dyDescent="0.25">
      <c r="A13" s="18" t="s">
        <v>18</v>
      </c>
      <c r="B13" s="36" t="s">
        <v>110</v>
      </c>
      <c r="C13" s="37" t="s">
        <v>15</v>
      </c>
      <c r="D13" s="37" t="s">
        <v>15</v>
      </c>
      <c r="E13" s="38" t="s">
        <v>15</v>
      </c>
      <c r="F13" s="19" t="s">
        <v>108</v>
      </c>
      <c r="G13" s="20">
        <v>110</v>
      </c>
      <c r="H13" s="8">
        <v>0</v>
      </c>
      <c r="I13" s="21">
        <f t="shared" si="0"/>
        <v>110</v>
      </c>
      <c r="J13" s="8">
        <v>0</v>
      </c>
      <c r="K13" s="20">
        <f t="shared" si="1"/>
        <v>110</v>
      </c>
    </row>
    <row r="14" spans="1:11" x14ac:dyDescent="0.25">
      <c r="A14" s="18" t="s">
        <v>20</v>
      </c>
      <c r="B14" s="36" t="s">
        <v>17</v>
      </c>
      <c r="C14" s="37" t="s">
        <v>17</v>
      </c>
      <c r="D14" s="37" t="s">
        <v>17</v>
      </c>
      <c r="E14" s="38" t="s">
        <v>17</v>
      </c>
      <c r="F14" s="19" t="s">
        <v>80</v>
      </c>
      <c r="G14" s="20">
        <v>1</v>
      </c>
      <c r="H14" s="8">
        <v>0</v>
      </c>
      <c r="I14" s="21">
        <f t="shared" si="0"/>
        <v>1</v>
      </c>
      <c r="J14" s="8">
        <v>0</v>
      </c>
      <c r="K14" s="20">
        <f t="shared" si="1"/>
        <v>1</v>
      </c>
    </row>
    <row r="15" spans="1:11" x14ac:dyDescent="0.25">
      <c r="A15" s="18" t="s">
        <v>22</v>
      </c>
      <c r="B15" s="36" t="s">
        <v>102</v>
      </c>
      <c r="C15" s="37" t="s">
        <v>17</v>
      </c>
      <c r="D15" s="37" t="s">
        <v>17</v>
      </c>
      <c r="E15" s="38" t="s">
        <v>17</v>
      </c>
      <c r="F15" s="19" t="s">
        <v>99</v>
      </c>
      <c r="G15" s="20">
        <v>240</v>
      </c>
      <c r="H15" s="8">
        <v>0</v>
      </c>
      <c r="I15" s="21">
        <f t="shared" si="0"/>
        <v>240</v>
      </c>
      <c r="J15" s="8">
        <v>0</v>
      </c>
      <c r="K15" s="20">
        <f t="shared" si="1"/>
        <v>240</v>
      </c>
    </row>
    <row r="16" spans="1:11" x14ac:dyDescent="0.25">
      <c r="A16" s="18" t="s">
        <v>24</v>
      </c>
      <c r="B16" s="52" t="s">
        <v>97</v>
      </c>
      <c r="C16" s="53" t="s">
        <v>19</v>
      </c>
      <c r="D16" s="53" t="s">
        <v>19</v>
      </c>
      <c r="E16" s="54" t="s">
        <v>19</v>
      </c>
      <c r="F16" s="19" t="s">
        <v>98</v>
      </c>
      <c r="G16" s="20">
        <v>5037</v>
      </c>
      <c r="H16" s="8">
        <v>0</v>
      </c>
      <c r="I16" s="21">
        <f t="shared" si="0"/>
        <v>5037</v>
      </c>
      <c r="J16" s="8">
        <v>0</v>
      </c>
      <c r="K16" s="20">
        <f t="shared" si="1"/>
        <v>5037</v>
      </c>
    </row>
    <row r="17" spans="1:13" x14ac:dyDescent="0.25">
      <c r="A17" s="18" t="s">
        <v>25</v>
      </c>
      <c r="B17" s="52" t="s">
        <v>103</v>
      </c>
      <c r="C17" s="53" t="s">
        <v>19</v>
      </c>
      <c r="D17" s="53" t="s">
        <v>19</v>
      </c>
      <c r="E17" s="54" t="s">
        <v>19</v>
      </c>
      <c r="F17" s="19"/>
      <c r="G17" s="20">
        <v>19</v>
      </c>
      <c r="H17" s="8">
        <v>0</v>
      </c>
      <c r="I17" s="21">
        <f t="shared" si="0"/>
        <v>19</v>
      </c>
      <c r="J17" s="8">
        <v>0</v>
      </c>
      <c r="K17" s="20">
        <f t="shared" si="1"/>
        <v>19</v>
      </c>
    </row>
    <row r="18" spans="1:13" x14ac:dyDescent="0.25">
      <c r="A18" s="18" t="s">
        <v>27</v>
      </c>
      <c r="B18" s="52" t="s">
        <v>19</v>
      </c>
      <c r="C18" s="53" t="s">
        <v>19</v>
      </c>
      <c r="D18" s="53" t="s">
        <v>19</v>
      </c>
      <c r="E18" s="54" t="s">
        <v>19</v>
      </c>
      <c r="F18" s="19" t="s">
        <v>96</v>
      </c>
      <c r="G18" s="20">
        <v>910</v>
      </c>
      <c r="H18" s="8">
        <v>0</v>
      </c>
      <c r="I18" s="21">
        <f t="shared" si="0"/>
        <v>910</v>
      </c>
      <c r="J18" s="8">
        <v>0</v>
      </c>
      <c r="K18" s="20">
        <f t="shared" si="1"/>
        <v>910</v>
      </c>
      <c r="L18" t="s">
        <v>91</v>
      </c>
    </row>
    <row r="19" spans="1:13" x14ac:dyDescent="0.25">
      <c r="A19" s="18" t="s">
        <v>29</v>
      </c>
      <c r="B19" s="52" t="s">
        <v>23</v>
      </c>
      <c r="C19" s="53" t="s">
        <v>23</v>
      </c>
      <c r="D19" s="53" t="s">
        <v>23</v>
      </c>
      <c r="E19" s="54" t="s">
        <v>23</v>
      </c>
      <c r="F19" s="19" t="s">
        <v>82</v>
      </c>
      <c r="G19" s="20">
        <v>1986</v>
      </c>
      <c r="H19" s="8">
        <v>0</v>
      </c>
      <c r="I19" s="21">
        <f t="shared" si="0"/>
        <v>1986</v>
      </c>
      <c r="J19" s="8">
        <v>0</v>
      </c>
      <c r="K19" s="20">
        <f t="shared" si="1"/>
        <v>1986</v>
      </c>
    </row>
    <row r="20" spans="1:13" x14ac:dyDescent="0.25">
      <c r="A20" s="18" t="s">
        <v>31</v>
      </c>
      <c r="B20" s="36" t="s">
        <v>28</v>
      </c>
      <c r="C20" s="37" t="s">
        <v>28</v>
      </c>
      <c r="D20" s="37" t="s">
        <v>28</v>
      </c>
      <c r="E20" s="38" t="s">
        <v>28</v>
      </c>
      <c r="F20" s="19" t="s">
        <v>83</v>
      </c>
      <c r="G20" s="20">
        <v>30</v>
      </c>
      <c r="H20" s="8">
        <v>0</v>
      </c>
      <c r="I20" s="21">
        <f t="shared" si="0"/>
        <v>30</v>
      </c>
      <c r="J20" s="8">
        <v>0</v>
      </c>
      <c r="K20" s="20">
        <f t="shared" si="1"/>
        <v>30</v>
      </c>
    </row>
    <row r="21" spans="1:13" x14ac:dyDescent="0.25">
      <c r="A21" s="18" t="s">
        <v>69</v>
      </c>
      <c r="B21" s="52" t="s">
        <v>26</v>
      </c>
      <c r="C21" s="53" t="s">
        <v>26</v>
      </c>
      <c r="D21" s="53" t="s">
        <v>26</v>
      </c>
      <c r="E21" s="54" t="s">
        <v>26</v>
      </c>
      <c r="F21" s="19" t="s">
        <v>84</v>
      </c>
      <c r="G21" s="20">
        <v>14</v>
      </c>
      <c r="H21" s="8">
        <v>0</v>
      </c>
      <c r="I21" s="21">
        <f t="shared" si="0"/>
        <v>14</v>
      </c>
      <c r="J21" s="8">
        <v>0</v>
      </c>
      <c r="K21" s="20">
        <f t="shared" si="1"/>
        <v>14</v>
      </c>
    </row>
    <row r="22" spans="1:13" x14ac:dyDescent="0.25">
      <c r="A22" s="18" t="s">
        <v>33</v>
      </c>
      <c r="B22" s="36" t="s">
        <v>76</v>
      </c>
      <c r="C22" s="37" t="s">
        <v>76</v>
      </c>
      <c r="D22" s="37" t="s">
        <v>76</v>
      </c>
      <c r="E22" s="38" t="s">
        <v>76</v>
      </c>
      <c r="F22" s="19" t="s">
        <v>81</v>
      </c>
      <c r="G22" s="20">
        <v>2548</v>
      </c>
      <c r="H22" s="8">
        <v>0</v>
      </c>
      <c r="I22" s="21">
        <f t="shared" si="0"/>
        <v>2548</v>
      </c>
      <c r="J22" s="8">
        <v>0</v>
      </c>
      <c r="K22" s="20">
        <f t="shared" si="1"/>
        <v>2548</v>
      </c>
    </row>
    <row r="23" spans="1:13" x14ac:dyDescent="0.25">
      <c r="A23" s="18" t="s">
        <v>34</v>
      </c>
      <c r="B23" s="36" t="s">
        <v>30</v>
      </c>
      <c r="C23" s="37" t="s">
        <v>30</v>
      </c>
      <c r="D23" s="37" t="s">
        <v>30</v>
      </c>
      <c r="E23" s="38" t="s">
        <v>30</v>
      </c>
      <c r="F23" s="19" t="s">
        <v>81</v>
      </c>
      <c r="G23" s="20">
        <v>3378</v>
      </c>
      <c r="H23" s="8">
        <v>0</v>
      </c>
      <c r="I23" s="21">
        <f t="shared" si="0"/>
        <v>3378</v>
      </c>
      <c r="J23" s="8">
        <v>0</v>
      </c>
      <c r="K23" s="20">
        <f t="shared" si="1"/>
        <v>3378</v>
      </c>
      <c r="M23" t="s">
        <v>93</v>
      </c>
    </row>
    <row r="24" spans="1:13" x14ac:dyDescent="0.25">
      <c r="A24" s="18" t="s">
        <v>35</v>
      </c>
      <c r="B24" s="52" t="s">
        <v>32</v>
      </c>
      <c r="C24" s="53" t="s">
        <v>32</v>
      </c>
      <c r="D24" s="53" t="s">
        <v>32</v>
      </c>
      <c r="E24" s="54" t="s">
        <v>32</v>
      </c>
      <c r="F24" s="19" t="s">
        <v>80</v>
      </c>
      <c r="G24" s="20">
        <v>1</v>
      </c>
      <c r="H24" s="8">
        <v>0</v>
      </c>
      <c r="I24" s="21">
        <f t="shared" si="0"/>
        <v>1</v>
      </c>
      <c r="J24" s="8">
        <v>0</v>
      </c>
      <c r="K24" s="20">
        <f>+G24+H24-J24</f>
        <v>1</v>
      </c>
    </row>
    <row r="25" spans="1:13" x14ac:dyDescent="0.25">
      <c r="A25" s="18" t="s">
        <v>36</v>
      </c>
      <c r="B25" s="52" t="s">
        <v>41</v>
      </c>
      <c r="C25" s="53" t="s">
        <v>41</v>
      </c>
      <c r="D25" s="53" t="s">
        <v>41</v>
      </c>
      <c r="E25" s="54" t="s">
        <v>41</v>
      </c>
      <c r="F25" s="19" t="s">
        <v>85</v>
      </c>
      <c r="G25" s="20">
        <v>320</v>
      </c>
      <c r="H25" s="8">
        <v>0</v>
      </c>
      <c r="I25" s="21">
        <f t="shared" si="0"/>
        <v>320</v>
      </c>
      <c r="J25" s="8">
        <v>0</v>
      </c>
      <c r="K25" s="20">
        <f>+G25+H25-J25</f>
        <v>320</v>
      </c>
    </row>
    <row r="26" spans="1:13" x14ac:dyDescent="0.25">
      <c r="A26" s="18" t="s">
        <v>38</v>
      </c>
      <c r="B26" s="36" t="s">
        <v>48</v>
      </c>
      <c r="C26" s="37" t="s">
        <v>48</v>
      </c>
      <c r="D26" s="37" t="s">
        <v>48</v>
      </c>
      <c r="E26" s="38" t="s">
        <v>48</v>
      </c>
      <c r="F26" s="19" t="s">
        <v>84</v>
      </c>
      <c r="G26" s="20">
        <v>12</v>
      </c>
      <c r="H26" s="8">
        <v>0</v>
      </c>
      <c r="I26" s="21">
        <f t="shared" si="0"/>
        <v>12</v>
      </c>
      <c r="J26" s="8">
        <v>0</v>
      </c>
      <c r="K26" s="20">
        <f t="shared" ref="K26:K44" si="2">+I26-J26</f>
        <v>12</v>
      </c>
    </row>
    <row r="27" spans="1:13" x14ac:dyDescent="0.25">
      <c r="A27" s="18" t="s">
        <v>40</v>
      </c>
      <c r="B27" s="22" t="s">
        <v>111</v>
      </c>
      <c r="C27" s="23"/>
      <c r="D27" s="23"/>
      <c r="E27" s="24"/>
      <c r="F27" s="19" t="s">
        <v>81</v>
      </c>
      <c r="G27" s="20">
        <v>240</v>
      </c>
      <c r="H27" s="8">
        <v>0</v>
      </c>
      <c r="I27" s="21">
        <f t="shared" si="0"/>
        <v>240</v>
      </c>
      <c r="J27" s="8">
        <v>0</v>
      </c>
      <c r="K27" s="20">
        <f t="shared" si="2"/>
        <v>240</v>
      </c>
    </row>
    <row r="28" spans="1:13" x14ac:dyDescent="0.25">
      <c r="A28" s="18" t="s">
        <v>68</v>
      </c>
      <c r="B28" s="36" t="s">
        <v>52</v>
      </c>
      <c r="C28" s="37" t="s">
        <v>52</v>
      </c>
      <c r="D28" s="37" t="s">
        <v>52</v>
      </c>
      <c r="E28" s="38" t="s">
        <v>52</v>
      </c>
      <c r="F28" s="19" t="s">
        <v>80</v>
      </c>
      <c r="G28" s="20">
        <v>20</v>
      </c>
      <c r="H28" s="8">
        <v>0</v>
      </c>
      <c r="I28" s="21">
        <f t="shared" si="0"/>
        <v>20</v>
      </c>
      <c r="J28" s="8">
        <v>0</v>
      </c>
      <c r="K28" s="20">
        <f t="shared" si="2"/>
        <v>20</v>
      </c>
    </row>
    <row r="29" spans="1:13" ht="15" customHeight="1" x14ac:dyDescent="0.25">
      <c r="A29" s="18" t="s">
        <v>42</v>
      </c>
      <c r="B29" s="33" t="s">
        <v>54</v>
      </c>
      <c r="C29" s="34" t="s">
        <v>54</v>
      </c>
      <c r="D29" s="34" t="s">
        <v>54</v>
      </c>
      <c r="E29" s="35" t="s">
        <v>54</v>
      </c>
      <c r="F29" s="25" t="s">
        <v>80</v>
      </c>
      <c r="G29" s="20">
        <v>29</v>
      </c>
      <c r="H29" s="8">
        <v>0</v>
      </c>
      <c r="I29" s="21">
        <f t="shared" si="0"/>
        <v>29</v>
      </c>
      <c r="J29" s="8">
        <v>0</v>
      </c>
      <c r="K29" s="9">
        <f t="shared" si="2"/>
        <v>29</v>
      </c>
    </row>
    <row r="30" spans="1:13" ht="15" customHeight="1" x14ac:dyDescent="0.25">
      <c r="A30" s="18" t="s">
        <v>44</v>
      </c>
      <c r="B30" s="33" t="s">
        <v>50</v>
      </c>
      <c r="C30" s="34" t="s">
        <v>50</v>
      </c>
      <c r="D30" s="34" t="s">
        <v>50</v>
      </c>
      <c r="E30" s="35" t="s">
        <v>50</v>
      </c>
      <c r="F30" s="25" t="s">
        <v>80</v>
      </c>
      <c r="G30" s="20">
        <v>24</v>
      </c>
      <c r="H30" s="8">
        <v>0</v>
      </c>
      <c r="I30" s="21">
        <f t="shared" si="0"/>
        <v>24</v>
      </c>
      <c r="J30" s="8">
        <v>0</v>
      </c>
      <c r="K30" s="9">
        <f t="shared" si="2"/>
        <v>24</v>
      </c>
    </row>
    <row r="31" spans="1:13" x14ac:dyDescent="0.25">
      <c r="A31" s="18" t="s">
        <v>46</v>
      </c>
      <c r="B31" s="36" t="s">
        <v>59</v>
      </c>
      <c r="C31" s="37" t="s">
        <v>59</v>
      </c>
      <c r="D31" s="37" t="s">
        <v>59</v>
      </c>
      <c r="E31" s="38" t="s">
        <v>59</v>
      </c>
      <c r="F31" s="19" t="s">
        <v>80</v>
      </c>
      <c r="G31" s="20">
        <v>20</v>
      </c>
      <c r="H31" s="8">
        <v>0</v>
      </c>
      <c r="I31" s="21">
        <f t="shared" si="0"/>
        <v>20</v>
      </c>
      <c r="J31" s="8">
        <v>0</v>
      </c>
      <c r="K31" s="26">
        <f t="shared" si="2"/>
        <v>20</v>
      </c>
    </row>
    <row r="32" spans="1:13" x14ac:dyDescent="0.25">
      <c r="A32" s="18" t="s">
        <v>47</v>
      </c>
      <c r="B32" s="36" t="s">
        <v>61</v>
      </c>
      <c r="C32" s="37" t="s">
        <v>61</v>
      </c>
      <c r="D32" s="37" t="s">
        <v>61</v>
      </c>
      <c r="E32" s="38" t="s">
        <v>61</v>
      </c>
      <c r="F32" s="19" t="s">
        <v>86</v>
      </c>
      <c r="G32" s="20">
        <v>1246</v>
      </c>
      <c r="H32" s="8">
        <v>0</v>
      </c>
      <c r="I32" s="21">
        <f t="shared" si="0"/>
        <v>1246</v>
      </c>
      <c r="J32" s="8">
        <v>0</v>
      </c>
      <c r="K32" s="20">
        <f t="shared" si="2"/>
        <v>1246</v>
      </c>
    </row>
    <row r="33" spans="1:13" x14ac:dyDescent="0.25">
      <c r="A33" s="18" t="s">
        <v>70</v>
      </c>
      <c r="B33" s="36" t="s">
        <v>62</v>
      </c>
      <c r="C33" s="37" t="s">
        <v>62</v>
      </c>
      <c r="D33" s="37" t="s">
        <v>62</v>
      </c>
      <c r="E33" s="38" t="s">
        <v>62</v>
      </c>
      <c r="F33" s="19" t="s">
        <v>80</v>
      </c>
      <c r="G33" s="20">
        <v>92</v>
      </c>
      <c r="H33" s="8">
        <v>0</v>
      </c>
      <c r="I33" s="21">
        <f t="shared" si="0"/>
        <v>92</v>
      </c>
      <c r="J33" s="8">
        <v>0</v>
      </c>
      <c r="K33" s="20">
        <f t="shared" si="2"/>
        <v>92</v>
      </c>
    </row>
    <row r="34" spans="1:13" x14ac:dyDescent="0.25">
      <c r="A34" s="18" t="s">
        <v>71</v>
      </c>
      <c r="B34" s="36" t="s">
        <v>21</v>
      </c>
      <c r="C34" s="37" t="s">
        <v>21</v>
      </c>
      <c r="D34" s="37" t="s">
        <v>21</v>
      </c>
      <c r="E34" s="38" t="s">
        <v>21</v>
      </c>
      <c r="F34" s="19" t="s">
        <v>81</v>
      </c>
      <c r="G34" s="20">
        <v>187</v>
      </c>
      <c r="H34" s="8">
        <v>0</v>
      </c>
      <c r="I34" s="21">
        <f t="shared" si="0"/>
        <v>187</v>
      </c>
      <c r="J34" s="8">
        <v>0</v>
      </c>
      <c r="K34" s="26">
        <f t="shared" si="2"/>
        <v>187</v>
      </c>
      <c r="M34" t="s">
        <v>93</v>
      </c>
    </row>
    <row r="35" spans="1:13" x14ac:dyDescent="0.25">
      <c r="A35" s="18" t="s">
        <v>49</v>
      </c>
      <c r="B35" s="36" t="s">
        <v>39</v>
      </c>
      <c r="C35" s="37" t="s">
        <v>39</v>
      </c>
      <c r="D35" s="37" t="s">
        <v>39</v>
      </c>
      <c r="E35" s="38" t="s">
        <v>39</v>
      </c>
      <c r="F35" s="19" t="s">
        <v>81</v>
      </c>
      <c r="G35" s="20">
        <v>2403</v>
      </c>
      <c r="H35" s="8">
        <v>0</v>
      </c>
      <c r="I35" s="21">
        <f t="shared" si="0"/>
        <v>2403</v>
      </c>
      <c r="J35" s="8">
        <v>0</v>
      </c>
      <c r="K35" s="26">
        <f t="shared" si="2"/>
        <v>2403</v>
      </c>
      <c r="M35" t="s">
        <v>93</v>
      </c>
    </row>
    <row r="36" spans="1:13" x14ac:dyDescent="0.25">
      <c r="A36" s="18" t="s">
        <v>51</v>
      </c>
      <c r="B36" s="36" t="s">
        <v>43</v>
      </c>
      <c r="C36" s="37" t="s">
        <v>43</v>
      </c>
      <c r="D36" s="37" t="s">
        <v>43</v>
      </c>
      <c r="E36" s="38" t="s">
        <v>43</v>
      </c>
      <c r="F36" s="19" t="s">
        <v>81</v>
      </c>
      <c r="G36" s="20">
        <v>30</v>
      </c>
      <c r="H36" s="8">
        <v>0</v>
      </c>
      <c r="I36" s="21">
        <f t="shared" si="0"/>
        <v>30</v>
      </c>
      <c r="J36" s="8">
        <v>0</v>
      </c>
      <c r="K36" s="20">
        <f t="shared" si="2"/>
        <v>30</v>
      </c>
    </row>
    <row r="37" spans="1:13" x14ac:dyDescent="0.25">
      <c r="A37" s="18" t="s">
        <v>53</v>
      </c>
      <c r="B37" s="36" t="s">
        <v>77</v>
      </c>
      <c r="C37" s="37" t="s">
        <v>77</v>
      </c>
      <c r="D37" s="37" t="s">
        <v>77</v>
      </c>
      <c r="E37" s="38" t="s">
        <v>77</v>
      </c>
      <c r="F37" s="19" t="s">
        <v>85</v>
      </c>
      <c r="G37" s="20">
        <v>0</v>
      </c>
      <c r="H37" s="8">
        <v>0</v>
      </c>
      <c r="I37" s="21">
        <v>0</v>
      </c>
      <c r="J37" s="8">
        <v>0</v>
      </c>
      <c r="K37" s="20">
        <f t="shared" si="2"/>
        <v>0</v>
      </c>
    </row>
    <row r="38" spans="1:13" x14ac:dyDescent="0.25">
      <c r="A38" s="18" t="s">
        <v>55</v>
      </c>
      <c r="B38" s="36" t="s">
        <v>37</v>
      </c>
      <c r="C38" s="37" t="s">
        <v>37</v>
      </c>
      <c r="D38" s="37" t="s">
        <v>37</v>
      </c>
      <c r="E38" s="38" t="s">
        <v>37</v>
      </c>
      <c r="F38" s="19" t="s">
        <v>81</v>
      </c>
      <c r="G38" s="20">
        <v>0</v>
      </c>
      <c r="H38" s="8">
        <v>0</v>
      </c>
      <c r="I38" s="21">
        <v>0</v>
      </c>
      <c r="J38" s="8">
        <v>0</v>
      </c>
      <c r="K38" s="20">
        <f t="shared" si="2"/>
        <v>0</v>
      </c>
    </row>
    <row r="39" spans="1:13" x14ac:dyDescent="0.25">
      <c r="A39" s="18" t="s">
        <v>57</v>
      </c>
      <c r="B39" s="36" t="s">
        <v>45</v>
      </c>
      <c r="C39" s="37" t="s">
        <v>45</v>
      </c>
      <c r="D39" s="37" t="s">
        <v>45</v>
      </c>
      <c r="E39" s="38" t="s">
        <v>45</v>
      </c>
      <c r="F39" s="19" t="s">
        <v>81</v>
      </c>
      <c r="G39" s="20">
        <v>800</v>
      </c>
      <c r="H39" s="8">
        <v>0</v>
      </c>
      <c r="I39" s="21">
        <f t="shared" si="0"/>
        <v>800</v>
      </c>
      <c r="J39" s="8">
        <v>0</v>
      </c>
      <c r="K39" s="20">
        <f t="shared" si="2"/>
        <v>800</v>
      </c>
    </row>
    <row r="40" spans="1:13" ht="30.6" customHeight="1" x14ac:dyDescent="0.25">
      <c r="A40" s="18" t="s">
        <v>58</v>
      </c>
      <c r="B40" s="33" t="s">
        <v>112</v>
      </c>
      <c r="C40" s="34"/>
      <c r="D40" s="34"/>
      <c r="E40" s="35"/>
      <c r="F40" s="19" t="s">
        <v>81</v>
      </c>
      <c r="G40" s="20">
        <v>320</v>
      </c>
      <c r="H40" s="8">
        <v>0</v>
      </c>
      <c r="I40" s="21">
        <f t="shared" si="0"/>
        <v>320</v>
      </c>
      <c r="J40" s="8">
        <v>0</v>
      </c>
      <c r="K40" s="20">
        <f t="shared" si="2"/>
        <v>320</v>
      </c>
    </row>
    <row r="41" spans="1:13" x14ac:dyDescent="0.25">
      <c r="A41" s="18" t="s">
        <v>60</v>
      </c>
      <c r="B41" s="36" t="s">
        <v>100</v>
      </c>
      <c r="C41" s="37" t="s">
        <v>56</v>
      </c>
      <c r="D41" s="37" t="s">
        <v>56</v>
      </c>
      <c r="E41" s="38" t="s">
        <v>56</v>
      </c>
      <c r="F41" s="19" t="s">
        <v>81</v>
      </c>
      <c r="G41" s="20">
        <v>0</v>
      </c>
      <c r="H41" s="8">
        <v>0</v>
      </c>
      <c r="I41" s="21">
        <f t="shared" si="0"/>
        <v>0</v>
      </c>
      <c r="J41" s="8">
        <v>0</v>
      </c>
      <c r="K41" s="20">
        <f t="shared" si="2"/>
        <v>0</v>
      </c>
    </row>
    <row r="42" spans="1:13" x14ac:dyDescent="0.25">
      <c r="A42" s="18" t="s">
        <v>92</v>
      </c>
      <c r="B42" s="36" t="s">
        <v>56</v>
      </c>
      <c r="C42" s="37" t="s">
        <v>56</v>
      </c>
      <c r="D42" s="37" t="s">
        <v>56</v>
      </c>
      <c r="E42" s="38" t="s">
        <v>56</v>
      </c>
      <c r="F42" s="19" t="s">
        <v>86</v>
      </c>
      <c r="G42" s="20">
        <v>2251</v>
      </c>
      <c r="H42" s="8">
        <v>0</v>
      </c>
      <c r="I42" s="21">
        <f t="shared" si="0"/>
        <v>2251</v>
      </c>
      <c r="J42" s="8">
        <v>0</v>
      </c>
      <c r="K42" s="20">
        <f t="shared" si="2"/>
        <v>2251</v>
      </c>
    </row>
    <row r="43" spans="1:13" x14ac:dyDescent="0.25">
      <c r="A43" s="18" t="s">
        <v>104</v>
      </c>
      <c r="B43" s="22" t="s">
        <v>113</v>
      </c>
      <c r="C43" s="23"/>
      <c r="D43" s="23"/>
      <c r="E43" s="24"/>
      <c r="F43" s="19" t="s">
        <v>114</v>
      </c>
      <c r="G43" s="20">
        <v>14</v>
      </c>
      <c r="H43" s="8">
        <v>0</v>
      </c>
      <c r="I43" s="21">
        <f t="shared" si="0"/>
        <v>14</v>
      </c>
      <c r="J43" s="8">
        <v>0</v>
      </c>
      <c r="K43" s="20">
        <f t="shared" si="2"/>
        <v>14</v>
      </c>
    </row>
    <row r="44" spans="1:13" x14ac:dyDescent="0.25">
      <c r="A44" s="18" t="s">
        <v>105</v>
      </c>
      <c r="B44" s="36" t="s">
        <v>101</v>
      </c>
      <c r="C44" s="37" t="s">
        <v>78</v>
      </c>
      <c r="D44" s="37" t="s">
        <v>78</v>
      </c>
      <c r="E44" s="38" t="s">
        <v>78</v>
      </c>
      <c r="F44" s="19" t="s">
        <v>81</v>
      </c>
      <c r="G44" s="20">
        <v>280</v>
      </c>
      <c r="H44" s="8">
        <v>0</v>
      </c>
      <c r="I44" s="21">
        <f t="shared" si="0"/>
        <v>280</v>
      </c>
      <c r="J44" s="8">
        <v>0</v>
      </c>
      <c r="K44" s="20">
        <f t="shared" si="2"/>
        <v>280</v>
      </c>
    </row>
    <row r="45" spans="1:13" x14ac:dyDescent="0.25">
      <c r="A45" s="18" t="s">
        <v>106</v>
      </c>
      <c r="B45" s="36" t="s">
        <v>89</v>
      </c>
      <c r="C45" s="37" t="s">
        <v>78</v>
      </c>
      <c r="D45" s="37" t="s">
        <v>78</v>
      </c>
      <c r="E45" s="38" t="s">
        <v>78</v>
      </c>
      <c r="F45" s="19" t="s">
        <v>80</v>
      </c>
      <c r="G45" s="20">
        <v>4</v>
      </c>
      <c r="H45" s="8">
        <v>0</v>
      </c>
      <c r="I45" s="21">
        <f t="shared" si="0"/>
        <v>4</v>
      </c>
      <c r="J45" s="8">
        <v>0</v>
      </c>
      <c r="K45" s="20">
        <f>+I45-J45</f>
        <v>4</v>
      </c>
    </row>
    <row r="46" spans="1:13" x14ac:dyDescent="0.25">
      <c r="A46" s="18" t="s">
        <v>107</v>
      </c>
      <c r="B46" s="36" t="s">
        <v>79</v>
      </c>
      <c r="C46" s="37" t="s">
        <v>79</v>
      </c>
      <c r="D46" s="37" t="s">
        <v>79</v>
      </c>
      <c r="E46" s="38" t="s">
        <v>79</v>
      </c>
      <c r="F46" s="19" t="s">
        <v>87</v>
      </c>
      <c r="G46" s="20">
        <v>320</v>
      </c>
      <c r="H46" s="10">
        <v>0</v>
      </c>
      <c r="I46" s="21">
        <f t="shared" si="0"/>
        <v>320</v>
      </c>
      <c r="J46" s="8">
        <v>0</v>
      </c>
      <c r="K46" s="20">
        <f t="shared" ref="K46:K47" si="3">+I46-J46</f>
        <v>320</v>
      </c>
    </row>
    <row r="47" spans="1:13" x14ac:dyDescent="0.25">
      <c r="A47" s="18" t="s">
        <v>109</v>
      </c>
      <c r="B47" s="36" t="s">
        <v>94</v>
      </c>
      <c r="C47" s="37" t="s">
        <v>79</v>
      </c>
      <c r="D47" s="37" t="s">
        <v>79</v>
      </c>
      <c r="E47" s="38" t="s">
        <v>79</v>
      </c>
      <c r="F47" s="19" t="s">
        <v>80</v>
      </c>
      <c r="G47" s="20">
        <v>10</v>
      </c>
      <c r="H47" s="10">
        <v>0</v>
      </c>
      <c r="I47" s="21">
        <f t="shared" si="0"/>
        <v>10</v>
      </c>
      <c r="J47" s="8">
        <v>0</v>
      </c>
      <c r="K47" s="20">
        <f t="shared" si="3"/>
        <v>10</v>
      </c>
    </row>
    <row r="48" spans="1:13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</row>
    <row r="49" spans="1:11" x14ac:dyDescent="0.25">
      <c r="A49" s="40" t="s">
        <v>63</v>
      </c>
      <c r="B49" s="41"/>
      <c r="C49" s="41"/>
      <c r="D49" s="41"/>
      <c r="E49" s="41"/>
      <c r="F49" s="41"/>
      <c r="G49" s="41"/>
      <c r="H49" s="41"/>
      <c r="I49" s="41"/>
      <c r="J49" s="41"/>
      <c r="K49" s="42"/>
    </row>
    <row r="50" spans="1:11" x14ac:dyDescent="0.25">
      <c r="A50" s="43"/>
      <c r="B50" s="44"/>
      <c r="C50" s="44"/>
      <c r="D50" s="44"/>
      <c r="E50" s="44"/>
      <c r="F50" s="44"/>
      <c r="G50" s="44"/>
      <c r="H50" s="44"/>
      <c r="I50" s="44"/>
      <c r="J50" s="44"/>
      <c r="K50" s="45"/>
    </row>
    <row r="51" spans="1:11" x14ac:dyDescent="0.25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8"/>
    </row>
    <row r="52" spans="1:11" x14ac:dyDescent="0.25">
      <c r="A52" s="14"/>
      <c r="B52" s="14"/>
      <c r="C52" s="14"/>
      <c r="D52" s="14"/>
      <c r="E52" s="14"/>
      <c r="F52" s="12"/>
      <c r="G52" s="14"/>
      <c r="H52" s="14"/>
      <c r="I52" s="14"/>
      <c r="J52" s="14"/>
      <c r="K52" s="14"/>
    </row>
    <row r="53" spans="1:11" x14ac:dyDescent="0.25">
      <c r="A53" s="49" t="s">
        <v>64</v>
      </c>
      <c r="B53" s="50"/>
      <c r="C53" s="50"/>
      <c r="D53" s="51"/>
      <c r="E53" s="49" t="s">
        <v>65</v>
      </c>
      <c r="F53" s="50"/>
      <c r="G53" s="50"/>
      <c r="H53" s="50"/>
      <c r="I53" s="50"/>
      <c r="J53" s="50"/>
      <c r="K53" s="51"/>
    </row>
    <row r="54" spans="1:11" x14ac:dyDescent="0.25">
      <c r="A54" s="27" t="s">
        <v>73</v>
      </c>
      <c r="B54" s="28"/>
      <c r="C54" s="28"/>
      <c r="D54" s="29"/>
      <c r="E54" s="27" t="s">
        <v>74</v>
      </c>
      <c r="F54" s="28"/>
      <c r="G54" s="28"/>
      <c r="H54" s="28"/>
      <c r="I54" s="28"/>
      <c r="J54" s="28"/>
      <c r="K54" s="29"/>
    </row>
    <row r="55" spans="1:11" x14ac:dyDescent="0.25">
      <c r="A55" s="27" t="s">
        <v>75</v>
      </c>
      <c r="B55" s="28"/>
      <c r="C55" s="28"/>
      <c r="D55" s="29"/>
      <c r="E55" s="27" t="s">
        <v>66</v>
      </c>
      <c r="F55" s="28"/>
      <c r="G55" s="28"/>
      <c r="H55" s="28"/>
      <c r="I55" s="28"/>
      <c r="J55" s="28"/>
      <c r="K55" s="29"/>
    </row>
    <row r="56" spans="1:11" x14ac:dyDescent="0.25">
      <c r="A56" s="15" t="s">
        <v>120</v>
      </c>
      <c r="B56" s="16"/>
      <c r="C56" s="16"/>
      <c r="D56" s="17"/>
      <c r="E56" s="27" t="s">
        <v>120</v>
      </c>
      <c r="F56" s="28"/>
      <c r="G56" s="28"/>
      <c r="H56" s="28"/>
      <c r="I56" s="28"/>
      <c r="J56" s="28"/>
      <c r="K56" s="29"/>
    </row>
    <row r="57" spans="1:11" x14ac:dyDescent="0.25">
      <c r="A57" s="30" t="s">
        <v>67</v>
      </c>
      <c r="B57" s="31"/>
      <c r="C57" s="31"/>
      <c r="D57" s="32"/>
      <c r="E57" s="30" t="s">
        <v>67</v>
      </c>
      <c r="F57" s="31"/>
      <c r="G57" s="31"/>
      <c r="H57" s="31"/>
      <c r="I57" s="31"/>
      <c r="J57" s="31"/>
      <c r="K57" s="32"/>
    </row>
  </sheetData>
  <mergeCells count="58">
    <mergeCell ref="B14:E14"/>
    <mergeCell ref="A1:E3"/>
    <mergeCell ref="F1:K3"/>
    <mergeCell ref="A5:C6"/>
    <mergeCell ref="D5:I6"/>
    <mergeCell ref="J5:K6"/>
    <mergeCell ref="A7:A9"/>
    <mergeCell ref="B7:E9"/>
    <mergeCell ref="F7:F9"/>
    <mergeCell ref="G7:G8"/>
    <mergeCell ref="H7:H8"/>
    <mergeCell ref="I7:K7"/>
    <mergeCell ref="B10:E10"/>
    <mergeCell ref="B11:E11"/>
    <mergeCell ref="B12:E12"/>
    <mergeCell ref="B13:E13"/>
    <mergeCell ref="B26:E26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39:E39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A54:D54"/>
    <mergeCell ref="E54:K54"/>
    <mergeCell ref="B40:E40"/>
    <mergeCell ref="B41:E41"/>
    <mergeCell ref="B42:E42"/>
    <mergeCell ref="B44:E44"/>
    <mergeCell ref="B45:E45"/>
    <mergeCell ref="B46:E46"/>
    <mergeCell ref="B47:E47"/>
    <mergeCell ref="A48:K48"/>
    <mergeCell ref="A49:K51"/>
    <mergeCell ref="A53:D53"/>
    <mergeCell ref="E53:K53"/>
    <mergeCell ref="A55:D55"/>
    <mergeCell ref="E55:K55"/>
    <mergeCell ref="E56:K56"/>
    <mergeCell ref="A57:D57"/>
    <mergeCell ref="E57:K57"/>
  </mergeCells>
  <printOptions horizontalCentered="1"/>
  <pageMargins left="0.51181102362204722" right="0.51181102362204722" top="0.74803149606299213" bottom="0.74803149606299213" header="0.31496062992125984" footer="0.31496062992125984"/>
  <pageSetup scale="76" fitToHeight="4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09C3-BA0B-48BC-BE32-D5B1A1CC337B}">
  <sheetPr>
    <pageSetUpPr fitToPage="1"/>
  </sheetPr>
  <dimension ref="A1:K21"/>
  <sheetViews>
    <sheetView topLeftCell="A10" zoomScale="120" zoomScaleNormal="120" workbookViewId="0">
      <selection activeCell="E20" sqref="E20:K20"/>
    </sheetView>
  </sheetViews>
  <sheetFormatPr baseColWidth="10" defaultRowHeight="15" x14ac:dyDescent="0.25"/>
  <cols>
    <col min="1" max="1" width="6.42578125" customWidth="1"/>
    <col min="4" max="4" width="12.5703125" customWidth="1"/>
    <col min="5" max="5" width="6.85546875" customWidth="1"/>
    <col min="6" max="6" width="18.7109375" style="13" customWidth="1"/>
    <col min="7" max="7" width="8.7109375" customWidth="1"/>
    <col min="8" max="8" width="9.42578125" customWidth="1"/>
    <col min="9" max="9" width="9.140625" customWidth="1"/>
    <col min="10" max="10" width="8.7109375" customWidth="1"/>
    <col min="11" max="11" width="9" customWidth="1"/>
    <col min="12" max="12" width="0" hidden="1" customWidth="1"/>
  </cols>
  <sheetData>
    <row r="1" spans="1:11" x14ac:dyDescent="0.25">
      <c r="A1" s="55"/>
      <c r="B1" s="56"/>
      <c r="C1" s="56"/>
      <c r="D1" s="56"/>
      <c r="E1" s="57"/>
      <c r="F1" s="64" t="s">
        <v>115</v>
      </c>
      <c r="G1" s="65"/>
      <c r="H1" s="65"/>
      <c r="I1" s="65"/>
      <c r="J1" s="65"/>
      <c r="K1" s="66"/>
    </row>
    <row r="2" spans="1:11" x14ac:dyDescent="0.25">
      <c r="A2" s="58"/>
      <c r="B2" s="59"/>
      <c r="C2" s="59"/>
      <c r="D2" s="59"/>
      <c r="E2" s="60"/>
      <c r="F2" s="67"/>
      <c r="G2" s="68"/>
      <c r="H2" s="68"/>
      <c r="I2" s="68"/>
      <c r="J2" s="68"/>
      <c r="K2" s="69"/>
    </row>
    <row r="3" spans="1:11" x14ac:dyDescent="0.25">
      <c r="A3" s="61"/>
      <c r="B3" s="62"/>
      <c r="C3" s="62"/>
      <c r="D3" s="62"/>
      <c r="E3" s="63"/>
      <c r="F3" s="70"/>
      <c r="G3" s="71"/>
      <c r="H3" s="71"/>
      <c r="I3" s="71"/>
      <c r="J3" s="71"/>
      <c r="K3" s="72"/>
    </row>
    <row r="4" spans="1:11" x14ac:dyDescent="0.25">
      <c r="A4" s="1"/>
      <c r="B4" s="1"/>
      <c r="C4" s="1"/>
      <c r="D4" s="1"/>
      <c r="E4" s="1"/>
      <c r="F4" s="11"/>
      <c r="G4" s="1"/>
      <c r="H4" s="1"/>
      <c r="I4" s="1"/>
      <c r="J4" s="1"/>
      <c r="K4" s="1"/>
    </row>
    <row r="5" spans="1:11" ht="15" customHeight="1" x14ac:dyDescent="0.25">
      <c r="A5" s="73" t="s">
        <v>0</v>
      </c>
      <c r="B5" s="74"/>
      <c r="C5" s="74"/>
      <c r="D5" s="75" t="s">
        <v>72</v>
      </c>
      <c r="E5" s="75"/>
      <c r="F5" s="75"/>
      <c r="G5" s="75"/>
      <c r="H5" s="75"/>
      <c r="I5" s="76"/>
      <c r="J5" s="75" t="s">
        <v>120</v>
      </c>
      <c r="K5" s="77"/>
    </row>
    <row r="6" spans="1:11" x14ac:dyDescent="0.25">
      <c r="A6" s="74"/>
      <c r="B6" s="74"/>
      <c r="C6" s="74"/>
      <c r="D6" s="75"/>
      <c r="E6" s="75"/>
      <c r="F6" s="75"/>
      <c r="G6" s="75"/>
      <c r="H6" s="75"/>
      <c r="I6" s="76"/>
      <c r="J6" s="76"/>
      <c r="K6" s="77"/>
    </row>
    <row r="7" spans="1:11" x14ac:dyDescent="0.25">
      <c r="A7" s="78" t="s">
        <v>1</v>
      </c>
      <c r="B7" s="81" t="s">
        <v>2</v>
      </c>
      <c r="C7" s="82"/>
      <c r="D7" s="83"/>
      <c r="E7" s="84"/>
      <c r="F7" s="92" t="s">
        <v>88</v>
      </c>
      <c r="G7" s="95" t="s">
        <v>3</v>
      </c>
      <c r="H7" s="95" t="s">
        <v>3</v>
      </c>
      <c r="I7" s="97" t="s">
        <v>4</v>
      </c>
      <c r="J7" s="98"/>
      <c r="K7" s="99"/>
    </row>
    <row r="8" spans="1:11" x14ac:dyDescent="0.25">
      <c r="A8" s="79"/>
      <c r="B8" s="85"/>
      <c r="C8" s="86"/>
      <c r="D8" s="87"/>
      <c r="E8" s="88"/>
      <c r="F8" s="93"/>
      <c r="G8" s="96"/>
      <c r="H8" s="96"/>
      <c r="I8" s="2" t="s">
        <v>5</v>
      </c>
      <c r="J8" s="2" t="s">
        <v>5</v>
      </c>
      <c r="K8" s="3" t="s">
        <v>6</v>
      </c>
    </row>
    <row r="9" spans="1:11" x14ac:dyDescent="0.25">
      <c r="A9" s="80"/>
      <c r="B9" s="89"/>
      <c r="C9" s="90"/>
      <c r="D9" s="90"/>
      <c r="E9" s="91"/>
      <c r="F9" s="94"/>
      <c r="G9" s="4" t="s">
        <v>7</v>
      </c>
      <c r="H9" s="5" t="s">
        <v>8</v>
      </c>
      <c r="I9" s="6" t="s">
        <v>9</v>
      </c>
      <c r="J9" s="6" t="s">
        <v>10</v>
      </c>
      <c r="K9" s="7" t="s">
        <v>11</v>
      </c>
    </row>
    <row r="10" spans="1:11" x14ac:dyDescent="0.25">
      <c r="A10" s="18" t="s">
        <v>12</v>
      </c>
      <c r="B10" s="52" t="s">
        <v>116</v>
      </c>
      <c r="C10" s="53" t="s">
        <v>13</v>
      </c>
      <c r="D10" s="53" t="s">
        <v>13</v>
      </c>
      <c r="E10" s="54" t="s">
        <v>13</v>
      </c>
      <c r="F10" s="19" t="s">
        <v>117</v>
      </c>
      <c r="G10" s="20">
        <v>300</v>
      </c>
      <c r="H10" s="8">
        <v>0</v>
      </c>
      <c r="I10" s="21">
        <f t="shared" ref="I10:I11" si="0">G10+H10</f>
        <v>300</v>
      </c>
      <c r="J10" s="8">
        <v>0</v>
      </c>
      <c r="K10" s="20">
        <f t="shared" ref="K10:K11" si="1">+I10-J10</f>
        <v>300</v>
      </c>
    </row>
    <row r="11" spans="1:11" x14ac:dyDescent="0.25">
      <c r="A11" s="18" t="s">
        <v>14</v>
      </c>
      <c r="B11" s="52" t="s">
        <v>118</v>
      </c>
      <c r="C11" s="53" t="s">
        <v>13</v>
      </c>
      <c r="D11" s="53" t="s">
        <v>13</v>
      </c>
      <c r="E11" s="54" t="s">
        <v>13</v>
      </c>
      <c r="F11" s="19" t="s">
        <v>117</v>
      </c>
      <c r="G11" s="20">
        <v>160</v>
      </c>
      <c r="H11" s="8">
        <v>0</v>
      </c>
      <c r="I11" s="21">
        <f t="shared" si="0"/>
        <v>160</v>
      </c>
      <c r="J11" s="8">
        <v>0</v>
      </c>
      <c r="K11" s="20">
        <f t="shared" si="1"/>
        <v>160</v>
      </c>
    </row>
    <row r="12" spans="1:11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</row>
    <row r="13" spans="1:11" x14ac:dyDescent="0.25">
      <c r="A13" s="40" t="s">
        <v>63</v>
      </c>
      <c r="B13" s="41"/>
      <c r="C13" s="41"/>
      <c r="D13" s="41"/>
      <c r="E13" s="41"/>
      <c r="F13" s="41"/>
      <c r="G13" s="41"/>
      <c r="H13" s="41"/>
      <c r="I13" s="41"/>
      <c r="J13" s="41"/>
      <c r="K13" s="42"/>
    </row>
    <row r="14" spans="1:1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5"/>
    </row>
    <row r="15" spans="1:11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8"/>
    </row>
    <row r="16" spans="1:11" x14ac:dyDescent="0.25">
      <c r="A16" s="14"/>
      <c r="B16" s="14"/>
      <c r="C16" s="14"/>
      <c r="D16" s="14"/>
      <c r="E16" s="14"/>
      <c r="F16" s="12"/>
      <c r="G16" s="14"/>
      <c r="H16" s="14"/>
      <c r="I16" s="14"/>
      <c r="J16" s="14"/>
      <c r="K16" s="14"/>
    </row>
    <row r="17" spans="1:11" x14ac:dyDescent="0.25">
      <c r="A17" s="49" t="s">
        <v>64</v>
      </c>
      <c r="B17" s="50"/>
      <c r="C17" s="50"/>
      <c r="D17" s="51"/>
      <c r="E17" s="49" t="s">
        <v>65</v>
      </c>
      <c r="F17" s="50"/>
      <c r="G17" s="50"/>
      <c r="H17" s="50"/>
      <c r="I17" s="50"/>
      <c r="J17" s="50"/>
      <c r="K17" s="51"/>
    </row>
    <row r="18" spans="1:11" x14ac:dyDescent="0.25">
      <c r="A18" s="27" t="s">
        <v>73</v>
      </c>
      <c r="B18" s="28"/>
      <c r="C18" s="28"/>
      <c r="D18" s="29"/>
      <c r="E18" s="27" t="s">
        <v>74</v>
      </c>
      <c r="F18" s="28"/>
      <c r="G18" s="28"/>
      <c r="H18" s="28"/>
      <c r="I18" s="28"/>
      <c r="J18" s="28"/>
      <c r="K18" s="29"/>
    </row>
    <row r="19" spans="1:11" x14ac:dyDescent="0.25">
      <c r="A19" s="27" t="s">
        <v>75</v>
      </c>
      <c r="B19" s="28"/>
      <c r="C19" s="28"/>
      <c r="D19" s="29"/>
      <c r="E19" s="27" t="s">
        <v>66</v>
      </c>
      <c r="F19" s="28"/>
      <c r="G19" s="28"/>
      <c r="H19" s="28"/>
      <c r="I19" s="28"/>
      <c r="J19" s="28"/>
      <c r="K19" s="29"/>
    </row>
    <row r="20" spans="1:11" x14ac:dyDescent="0.25">
      <c r="A20" s="15" t="s">
        <v>120</v>
      </c>
      <c r="B20" s="16"/>
      <c r="C20" s="16"/>
      <c r="D20" s="17"/>
      <c r="E20" s="27" t="s">
        <v>120</v>
      </c>
      <c r="F20" s="28"/>
      <c r="G20" s="28"/>
      <c r="H20" s="28"/>
      <c r="I20" s="28"/>
      <c r="J20" s="28"/>
      <c r="K20" s="29"/>
    </row>
    <row r="21" spans="1:11" x14ac:dyDescent="0.25">
      <c r="A21" s="30" t="s">
        <v>67</v>
      </c>
      <c r="B21" s="31"/>
      <c r="C21" s="31"/>
      <c r="D21" s="32"/>
      <c r="E21" s="30" t="s">
        <v>67</v>
      </c>
      <c r="F21" s="31"/>
      <c r="G21" s="31"/>
      <c r="H21" s="31"/>
      <c r="I21" s="31"/>
      <c r="J21" s="31"/>
      <c r="K21" s="32"/>
    </row>
  </sheetData>
  <mergeCells count="24">
    <mergeCell ref="I7:K7"/>
    <mergeCell ref="B10:E10"/>
    <mergeCell ref="B11:E11"/>
    <mergeCell ref="A1:E3"/>
    <mergeCell ref="F1:K3"/>
    <mergeCell ref="A5:C6"/>
    <mergeCell ref="D5:I6"/>
    <mergeCell ref="J5:K6"/>
    <mergeCell ref="A7:A9"/>
    <mergeCell ref="B7:E9"/>
    <mergeCell ref="F7:F9"/>
    <mergeCell ref="G7:G8"/>
    <mergeCell ref="H7:H8"/>
    <mergeCell ref="A12:K12"/>
    <mergeCell ref="A13:K15"/>
    <mergeCell ref="A17:D17"/>
    <mergeCell ref="E17:K17"/>
    <mergeCell ref="A18:D18"/>
    <mergeCell ref="E18:K18"/>
    <mergeCell ref="A19:D19"/>
    <mergeCell ref="E19:K19"/>
    <mergeCell ref="E20:K20"/>
    <mergeCell ref="A21:D21"/>
    <mergeCell ref="E21:K21"/>
  </mergeCells>
  <printOptions horizontalCentered="1"/>
  <pageMargins left="0.51181102362204722" right="0.51181102362204722" top="0.74803149606299213" bottom="0.74803149606299213" header="0.31496062992125984" footer="0.31496062992125984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17-08-2026 Productos</vt:lpstr>
      <vt:lpstr>17-08-2026 Líquido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cp:lastPrinted>2026-08-05T16:17:47Z</cp:lastPrinted>
  <dcterms:created xsi:type="dcterms:W3CDTF">2020-06-19T14:15:11Z</dcterms:created>
  <dcterms:modified xsi:type="dcterms:W3CDTF">2026-08-18T12:32:11Z</dcterms:modified>
</cp:coreProperties>
</file>