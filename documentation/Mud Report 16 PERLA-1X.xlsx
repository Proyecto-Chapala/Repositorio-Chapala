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codeName="ThisWorkbook"/>
  <mc:AlternateContent xmlns:mc="http://schemas.openxmlformats.org/markup-compatibility/2006">
    <mc:Choice Requires="x15">
      <x15ac:absPath xmlns:x15ac="http://schemas.microsoft.com/office/spreadsheetml/2010/11/ac" url="C:\Users\josev\Documents\AOS\"/>
    </mc:Choice>
  </mc:AlternateContent>
  <xr:revisionPtr revIDLastSave="0" documentId="8_{92E75040-23B4-4279-8138-D8022FC385A9}" xr6:coauthVersionLast="47" xr6:coauthVersionMax="47" xr10:uidLastSave="{00000000-0000-0000-0000-000000000000}"/>
  <bookViews>
    <workbookView xWindow="-108" yWindow="-108" windowWidth="23256" windowHeight="12456" tabRatio="889" firstSheet="1" activeTab="1" xr2:uid="{00000000-000D-0000-FFFF-FFFF00000000}"/>
  </bookViews>
  <sheets>
    <sheet name="Menu" sheetId="1" state="hidden" r:id="rId1"/>
    <sheet name="WBM Check" sheetId="2" r:id="rId2"/>
    <sheet name="CALDRIL Check" sheetId="3" state="hidden" r:id="rId3"/>
    <sheet name="Synthetic-Based Mud" sheetId="4" state="hidden" r:id="rId4"/>
    <sheet name="OBM Check" sheetId="5" state="hidden" r:id="rId5"/>
    <sheet name="Extra WBM Labels" sheetId="12" state="hidden" r:id="rId6"/>
    <sheet name="Extra OBM-SBM Labels" sheetId="13" state="hidden" r:id="rId7"/>
    <sheet name="Vol. Info" sheetId="15" state="hidden" r:id="rId8"/>
    <sheet name="Chem. Inv (DF)" sheetId="7" state="hidden" r:id="rId9"/>
    <sheet name="Chem. Inv (DF-Order by Name)" sheetId="8" r:id="rId10"/>
    <sheet name="Chem. Inv (Full)" sheetId="14" state="hidden" r:id="rId11"/>
    <sheet name="Equipment" sheetId="9" state="hidden" r:id="rId12"/>
    <sheet name="Screen Inventory" sheetId="10" state="hidden" r:id="rId13"/>
    <sheet name="WorkArea" sheetId="11" state="hidden" r:id="rId14"/>
  </sheets>
  <externalReferences>
    <externalReference r:id="rId15"/>
  </externalReferences>
  <definedNames>
    <definedName name="_xlnm._FilterDatabase" localSheetId="2" hidden="1">'CALDRIL Check'!$A$2:$J$45</definedName>
    <definedName name="_xlnm._FilterDatabase" localSheetId="11" hidden="1">Equipment!$A$2:$K$45</definedName>
    <definedName name="_xlnm._FilterDatabase" localSheetId="6" hidden="1">'Extra OBM-SBM Labels'!$A$2:$J$45</definedName>
    <definedName name="_xlnm._FilterDatabase" localSheetId="5" hidden="1">'Extra WBM Labels'!$A$2:$J$45</definedName>
    <definedName name="_xlnm._FilterDatabase" localSheetId="4" hidden="1">'OBM Check'!$A$2:$J$45</definedName>
    <definedName name="_xlnm._FilterDatabase" localSheetId="12" hidden="1">'Screen Inventory'!$A$2:$K$43</definedName>
    <definedName name="_xlnm._FilterDatabase" localSheetId="3" hidden="1">'Synthetic-Based Mud'!$A$2:$J$45</definedName>
    <definedName name="_xlnm._FilterDatabase" localSheetId="1" hidden="1">'WBM Check'!$A$2:$J$45</definedName>
    <definedName name="_xlnm.Print_Area" localSheetId="2">'CALDRIL Check'!$A$1:$J$74</definedName>
    <definedName name="_xlnm.Print_Area" localSheetId="11">Equipment!$A$1:$L$51</definedName>
    <definedName name="_xlnm.Print_Area" localSheetId="6">'Extra OBM-SBM Labels'!$A$1:$J$67</definedName>
    <definedName name="_xlnm.Print_Area" localSheetId="5">'Extra WBM Labels'!$A$1:$J$67</definedName>
    <definedName name="_xlnm.Print_Area" localSheetId="4">'OBM Check'!$A$1:$J$74</definedName>
    <definedName name="_xlnm.Print_Area" localSheetId="12">'Screen Inventory'!$A$1:$N$52</definedName>
    <definedName name="_xlnm.Print_Area" localSheetId="3">'Synthetic-Based Mud'!$A$1:$J$74</definedName>
    <definedName name="_xlnm.Print_Area" localSheetId="7">'Vol. Info'!$A$1:$H$63</definedName>
    <definedName name="_xlnm.Print_Area" localSheetId="1">'WBM Check'!$A$1:$J$74</definedName>
    <definedName name="david" localSheetId="11">Equipment!$N$19:$P$21</definedName>
    <definedName name="david" localSheetId="12">'Screen Inventory'!$P$19:$R$21</definedName>
    <definedName name="Header" localSheetId="2">[1]IFE!$B$3:$AK$3</definedName>
    <definedName name="Header" localSheetId="11">#REF!</definedName>
    <definedName name="Header" localSheetId="12">#REF!</definedName>
    <definedName name="Header" localSheetId="1">[1]IFE!$B$3:$AK$3</definedName>
    <definedName name="mine" localSheetId="11">Equipment!$M$18:$O$18</definedName>
    <definedName name="mine" localSheetId="12">'Screen Inventory'!$O$18:$Q$18</definedName>
    <definedName name="t" localSheetId="9" hidden="1">{#N/A,#N/A,FALSE,"Oil-Based Mud"}</definedName>
    <definedName name="t" localSheetId="10" hidden="1">{#N/A,#N/A,FALSE,"Oil-Based Mud"}</definedName>
    <definedName name="t" localSheetId="6" hidden="1">{#N/A,#N/A,FALSE,"Oil-Based Mud"}</definedName>
    <definedName name="t" localSheetId="5" hidden="1">{#N/A,#N/A,FALSE,"Oil-Based Mud"}</definedName>
    <definedName name="t" localSheetId="7" hidden="1">{#N/A,#N/A,FALSE,"Oil-Based Mud"}</definedName>
    <definedName name="t" hidden="1">{#N/A,#N/A,FALSE,"Oil-Based Mud"}</definedName>
    <definedName name="temp" localSheetId="2" hidden="1">{#N/A,#N/A,FALSE,"Oil-Based Mud"}</definedName>
    <definedName name="temp" localSheetId="8" hidden="1">{#N/A,#N/A,FALSE,"Oil-Based Mud"}</definedName>
    <definedName name="temp" localSheetId="9" hidden="1">{#N/A,#N/A,FALSE,"Oil-Based Mud"}</definedName>
    <definedName name="temp" localSheetId="10" hidden="1">{#N/A,#N/A,FALSE,"Oil-Based Mud"}</definedName>
    <definedName name="temp" localSheetId="11" hidden="1">{#N/A,#N/A,FALSE,"Oil-Based Mud"}</definedName>
    <definedName name="temp" localSheetId="6" hidden="1">{#N/A,#N/A,FALSE,"Oil-Based Mud"}</definedName>
    <definedName name="temp" localSheetId="5" hidden="1">{#N/A,#N/A,FALSE,"Oil-Based Mud"}</definedName>
    <definedName name="temp" localSheetId="0" hidden="1">{#N/A,#N/A,FALSE,"Oil-Based Mud"}</definedName>
    <definedName name="temp" localSheetId="4" hidden="1">{#N/A,#N/A,FALSE,"Oil-Based Mud"}</definedName>
    <definedName name="temp" localSheetId="12" hidden="1">{#N/A,#N/A,FALSE,"Oil-Based Mud"}</definedName>
    <definedName name="temp" localSheetId="7" hidden="1">{#N/A,#N/A,FALSE,"Oil-Based Mud"}</definedName>
    <definedName name="temp" localSheetId="1" hidden="1">{#N/A,#N/A,FALSE,"Oil-Based Mud"}</definedName>
    <definedName name="temp" hidden="1">{#N/A,#N/A,FALSE,"Oil-Based Mud"}</definedName>
    <definedName name="test" localSheetId="9" hidden="1">{#N/A,#N/A,FALSE,"Oil-Based Mud"}</definedName>
    <definedName name="test" localSheetId="10" hidden="1">{#N/A,#N/A,FALSE,"Oil-Based Mud"}</definedName>
    <definedName name="test" localSheetId="6" hidden="1">{#N/A,#N/A,FALSE,"Oil-Based Mud"}</definedName>
    <definedName name="test" localSheetId="5" hidden="1">{#N/A,#N/A,FALSE,"Oil-Based Mud"}</definedName>
    <definedName name="test" localSheetId="7" hidden="1">{#N/A,#N/A,FALSE,"Oil-Based Mud"}</definedName>
    <definedName name="test" hidden="1">{#N/A,#N/A,FALSE,"Oil-Based Mud"}</definedName>
    <definedName name="wrn.OBM." localSheetId="2" hidden="1">{#N/A,#N/A,FALSE,"Oil-Based Mud"}</definedName>
    <definedName name="wrn.OBM." localSheetId="8" hidden="1">{#N/A,#N/A,FALSE,"Oil-Based Mud"}</definedName>
    <definedName name="wrn.OBM." localSheetId="9" hidden="1">{#N/A,#N/A,FALSE,"Oil-Based Mud"}</definedName>
    <definedName name="wrn.OBM." localSheetId="10" hidden="1">{#N/A,#N/A,FALSE,"Oil-Based Mud"}</definedName>
    <definedName name="wrn.OBM." localSheetId="11" hidden="1">{#N/A,#N/A,FALSE,"Oil-Based Mud"}</definedName>
    <definedName name="wrn.OBM." localSheetId="6" hidden="1">{#N/A,#N/A,FALSE,"Oil-Based Mud"}</definedName>
    <definedName name="wrn.OBM." localSheetId="5" hidden="1">{#N/A,#N/A,FALSE,"Oil-Based Mud"}</definedName>
    <definedName name="wrn.OBM." localSheetId="0" hidden="1">{#N/A,#N/A,FALSE,"Oil-Based Mud"}</definedName>
    <definedName name="wrn.OBM." localSheetId="4" hidden="1">{#N/A,#N/A,FALSE,"Oil-Based Mud"}</definedName>
    <definedName name="wrn.OBM." localSheetId="12" hidden="1">{#N/A,#N/A,FALSE,"Oil-Based Mud"}</definedName>
    <definedName name="wrn.OBM." localSheetId="3" hidden="1">{#N/A,#N/A,FALSE,"Oil-Based Mud"}</definedName>
    <definedName name="wrn.OBM." localSheetId="7" hidden="1">{#N/A,#N/A,FALSE,"Oil-Based Mud"}</definedName>
    <definedName name="wrn.OBM." localSheetId="1" hidden="1">{#N/A,#N/A,FALSE,"Oil-Based Mud"}</definedName>
    <definedName name="wrn.OBM." hidden="1">{#N/A,#N/A,FALSE,"Oil-Based Mud"}</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5" i="5" l="1"/>
  <c r="J65" i="4"/>
  <c r="J64" i="3"/>
  <c r="E39" i="15"/>
  <c r="E38" i="15"/>
  <c r="E37" i="15"/>
  <c r="E36" i="15"/>
  <c r="E35" i="15"/>
  <c r="E34" i="15"/>
  <c r="E33" i="15"/>
  <c r="E32" i="15"/>
  <c r="E31" i="15"/>
  <c r="E30" i="15"/>
  <c r="E29" i="15"/>
  <c r="E28" i="15"/>
  <c r="E27" i="15"/>
  <c r="E26" i="15"/>
  <c r="E25" i="15"/>
  <c r="E24" i="15"/>
  <c r="E23" i="15"/>
  <c r="E22" i="15"/>
  <c r="E21" i="15"/>
  <c r="E20" i="15"/>
  <c r="E19" i="15"/>
  <c r="E18" i="15"/>
  <c r="E17" i="15"/>
  <c r="E16" i="15"/>
  <c r="E15" i="15"/>
  <c r="E14" i="15"/>
  <c r="E13" i="15"/>
  <c r="E12" i="15"/>
  <c r="E11" i="15"/>
  <c r="E10" i="15"/>
  <c r="B52" i="10"/>
  <c r="N48" i="10"/>
  <c r="N47" i="10"/>
  <c r="N46" i="10"/>
  <c r="N45" i="10"/>
  <c r="N44" i="10"/>
  <c r="N43" i="10"/>
  <c r="N42" i="10"/>
  <c r="N41" i="10"/>
  <c r="N40" i="10"/>
  <c r="N39" i="10"/>
  <c r="M39" i="10"/>
  <c r="L39" i="10"/>
  <c r="K39" i="10"/>
  <c r="J39" i="10"/>
  <c r="I39" i="10"/>
  <c r="H39" i="10"/>
  <c r="F39" i="10"/>
  <c r="E39" i="10"/>
  <c r="D39" i="10"/>
  <c r="C39" i="10"/>
  <c r="A39" i="10"/>
  <c r="N38" i="10"/>
  <c r="M38" i="10"/>
  <c r="L38" i="10"/>
  <c r="K38" i="10"/>
  <c r="J38" i="10"/>
  <c r="I38" i="10"/>
  <c r="H38" i="10"/>
  <c r="F38" i="10"/>
  <c r="E38" i="10"/>
  <c r="D38" i="10"/>
  <c r="C38" i="10"/>
  <c r="A38" i="10"/>
  <c r="N37" i="10"/>
  <c r="M37" i="10"/>
  <c r="L37" i="10"/>
  <c r="K37" i="10"/>
  <c r="J37" i="10"/>
  <c r="I37" i="10"/>
  <c r="H37" i="10"/>
  <c r="F37" i="10"/>
  <c r="E37" i="10"/>
  <c r="D37" i="10"/>
  <c r="C37" i="10"/>
  <c r="A37" i="10"/>
  <c r="N36" i="10"/>
  <c r="M36" i="10"/>
  <c r="L36" i="10"/>
  <c r="K36" i="10"/>
  <c r="J36" i="10"/>
  <c r="I36" i="10"/>
  <c r="H36" i="10"/>
  <c r="F36" i="10"/>
  <c r="E36" i="10"/>
  <c r="D36" i="10"/>
  <c r="C36" i="10"/>
  <c r="A36" i="10"/>
  <c r="N35" i="10"/>
  <c r="M35" i="10"/>
  <c r="L35" i="10"/>
  <c r="K35" i="10"/>
  <c r="J35" i="10"/>
  <c r="I35" i="10"/>
  <c r="H35" i="10"/>
  <c r="F35" i="10"/>
  <c r="E35" i="10"/>
  <c r="D35" i="10"/>
  <c r="C35" i="10"/>
  <c r="A35" i="10"/>
  <c r="N34" i="10"/>
  <c r="M34" i="10"/>
  <c r="L34" i="10"/>
  <c r="K34" i="10"/>
  <c r="J34" i="10"/>
  <c r="I34" i="10"/>
  <c r="H34" i="10"/>
  <c r="F34" i="10"/>
  <c r="E34" i="10"/>
  <c r="D34" i="10"/>
  <c r="C34" i="10"/>
  <c r="A34" i="10"/>
  <c r="N33" i="10"/>
  <c r="M33" i="10"/>
  <c r="L33" i="10"/>
  <c r="K33" i="10"/>
  <c r="J33" i="10"/>
  <c r="I33" i="10"/>
  <c r="H33" i="10"/>
  <c r="F33" i="10"/>
  <c r="E33" i="10"/>
  <c r="D33" i="10"/>
  <c r="C33" i="10"/>
  <c r="A33" i="10"/>
  <c r="N32" i="10"/>
  <c r="M32" i="10"/>
  <c r="L32" i="10"/>
  <c r="K32" i="10"/>
  <c r="J32" i="10"/>
  <c r="I32" i="10"/>
  <c r="H32" i="10"/>
  <c r="F32" i="10"/>
  <c r="E32" i="10"/>
  <c r="D32" i="10"/>
  <c r="C32" i="10"/>
  <c r="A32" i="10"/>
  <c r="N31" i="10"/>
  <c r="M31" i="10"/>
  <c r="L31" i="10"/>
  <c r="K31" i="10"/>
  <c r="J31" i="10"/>
  <c r="I31" i="10"/>
  <c r="H31" i="10"/>
  <c r="F31" i="10"/>
  <c r="E31" i="10"/>
  <c r="D31" i="10"/>
  <c r="C31" i="10"/>
  <c r="A31" i="10"/>
  <c r="N30" i="10"/>
  <c r="M30" i="10"/>
  <c r="L30" i="10"/>
  <c r="K30" i="10"/>
  <c r="J30" i="10"/>
  <c r="I30" i="10"/>
  <c r="H30" i="10"/>
  <c r="F30" i="10"/>
  <c r="E30" i="10"/>
  <c r="D30" i="10"/>
  <c r="C30" i="10"/>
  <c r="A30" i="10"/>
  <c r="N29" i="10"/>
  <c r="M29" i="10"/>
  <c r="L29" i="10"/>
  <c r="K29" i="10"/>
  <c r="J29" i="10"/>
  <c r="I29" i="10"/>
  <c r="H29" i="10"/>
  <c r="F29" i="10"/>
  <c r="E29" i="10"/>
  <c r="D29" i="10"/>
  <c r="C29" i="10"/>
  <c r="A29" i="10"/>
  <c r="N28" i="10"/>
  <c r="M28" i="10"/>
  <c r="L28" i="10"/>
  <c r="K28" i="10"/>
  <c r="J28" i="10"/>
  <c r="I28" i="10"/>
  <c r="H28" i="10"/>
  <c r="F28" i="10"/>
  <c r="E28" i="10"/>
  <c r="D28" i="10"/>
  <c r="C28" i="10"/>
  <c r="A28" i="10"/>
  <c r="N27" i="10"/>
  <c r="M27" i="10"/>
  <c r="L27" i="10"/>
  <c r="K27" i="10"/>
  <c r="J27" i="10"/>
  <c r="I27" i="10"/>
  <c r="H27" i="10"/>
  <c r="F27" i="10"/>
  <c r="E27" i="10"/>
  <c r="D27" i="10"/>
  <c r="C27" i="10"/>
  <c r="A27" i="10"/>
  <c r="N26" i="10"/>
  <c r="M26" i="10"/>
  <c r="L26" i="10"/>
  <c r="K26" i="10"/>
  <c r="J26" i="10"/>
  <c r="I26" i="10"/>
  <c r="H26" i="10"/>
  <c r="F26" i="10"/>
  <c r="E26" i="10"/>
  <c r="D26" i="10"/>
  <c r="C26" i="10"/>
  <c r="A26" i="10"/>
  <c r="N25" i="10"/>
  <c r="M25" i="10"/>
  <c r="L25" i="10"/>
  <c r="K25" i="10"/>
  <c r="J25" i="10"/>
  <c r="I25" i="10"/>
  <c r="H25" i="10"/>
  <c r="F25" i="10"/>
  <c r="E25" i="10"/>
  <c r="D25" i="10"/>
  <c r="C25" i="10"/>
  <c r="A25" i="10"/>
  <c r="N24" i="10"/>
  <c r="M24" i="10"/>
  <c r="L24" i="10"/>
  <c r="K24" i="10"/>
  <c r="J24" i="10"/>
  <c r="I24" i="10"/>
  <c r="H24" i="10"/>
  <c r="F24" i="10"/>
  <c r="E24" i="10"/>
  <c r="D24" i="10"/>
  <c r="C24" i="10"/>
  <c r="A24" i="10"/>
  <c r="N23" i="10"/>
  <c r="M23" i="10"/>
  <c r="L23" i="10"/>
  <c r="K23" i="10"/>
  <c r="J23" i="10"/>
  <c r="I23" i="10"/>
  <c r="H23" i="10"/>
  <c r="F23" i="10"/>
  <c r="E23" i="10"/>
  <c r="D23" i="10"/>
  <c r="C23" i="10"/>
  <c r="A23" i="10"/>
  <c r="N22" i="10"/>
  <c r="M22" i="10"/>
  <c r="L22" i="10"/>
  <c r="K22" i="10"/>
  <c r="J22" i="10"/>
  <c r="I22" i="10"/>
  <c r="H22" i="10"/>
  <c r="F22" i="10"/>
  <c r="E22" i="10"/>
  <c r="D22" i="10"/>
  <c r="C22" i="10"/>
  <c r="A22" i="10"/>
  <c r="N21" i="10"/>
  <c r="M21" i="10"/>
  <c r="L21" i="10"/>
  <c r="K21" i="10"/>
  <c r="J21" i="10"/>
  <c r="I21" i="10"/>
  <c r="H21" i="10"/>
  <c r="F21" i="10"/>
  <c r="E21" i="10"/>
  <c r="D21" i="10"/>
  <c r="C21" i="10"/>
  <c r="A21" i="10"/>
  <c r="N20" i="10"/>
  <c r="M20" i="10"/>
  <c r="L20" i="10"/>
  <c r="K20" i="10"/>
  <c r="J20" i="10"/>
  <c r="I20" i="10"/>
  <c r="H20" i="10"/>
  <c r="F20" i="10"/>
  <c r="E20" i="10"/>
  <c r="D20" i="10"/>
  <c r="C20" i="10"/>
  <c r="A20" i="10"/>
  <c r="N19" i="10"/>
  <c r="M19" i="10"/>
  <c r="L19" i="10"/>
  <c r="K19" i="10"/>
  <c r="J19" i="10"/>
  <c r="I19" i="10"/>
  <c r="H19" i="10"/>
  <c r="F19" i="10"/>
  <c r="E19" i="10"/>
  <c r="D19" i="10"/>
  <c r="C19" i="10"/>
  <c r="A19" i="10"/>
  <c r="N18" i="10"/>
  <c r="M18" i="10"/>
  <c r="L18" i="10"/>
  <c r="K18" i="10"/>
  <c r="J18" i="10"/>
  <c r="I18" i="10"/>
  <c r="H18" i="10"/>
  <c r="F18" i="10"/>
  <c r="E18" i="10"/>
  <c r="D18" i="10"/>
  <c r="C18" i="10"/>
  <c r="A18" i="10"/>
  <c r="N17" i="10"/>
  <c r="M17" i="10"/>
  <c r="L17" i="10"/>
  <c r="K17" i="10"/>
  <c r="J17" i="10"/>
  <c r="I17" i="10"/>
  <c r="H17" i="10"/>
  <c r="F17" i="10"/>
  <c r="E17" i="10"/>
  <c r="D17" i="10"/>
  <c r="C17" i="10"/>
  <c r="A17" i="10"/>
  <c r="N16" i="10"/>
  <c r="M16" i="10"/>
  <c r="L16" i="10"/>
  <c r="K16" i="10"/>
  <c r="J16" i="10"/>
  <c r="I16" i="10"/>
  <c r="H16" i="10"/>
  <c r="F16" i="10"/>
  <c r="E16" i="10"/>
  <c r="D16" i="10"/>
  <c r="C16" i="10"/>
  <c r="A16" i="10"/>
  <c r="N15" i="10"/>
  <c r="M15" i="10"/>
  <c r="L15" i="10"/>
  <c r="K15" i="10"/>
  <c r="J15" i="10"/>
  <c r="I15" i="10"/>
  <c r="H15" i="10"/>
  <c r="F15" i="10"/>
  <c r="E15" i="10"/>
  <c r="D15" i="10"/>
  <c r="C15" i="10"/>
  <c r="A15" i="10"/>
  <c r="N14" i="10"/>
  <c r="M14" i="10"/>
  <c r="L14" i="10"/>
  <c r="K14" i="10"/>
  <c r="J14" i="10"/>
  <c r="I14" i="10"/>
  <c r="H14" i="10"/>
  <c r="F14" i="10"/>
  <c r="E14" i="10"/>
  <c r="D14" i="10"/>
  <c r="C14" i="10"/>
  <c r="A14" i="10"/>
  <c r="N13" i="10"/>
  <c r="M13" i="10"/>
  <c r="L13" i="10"/>
  <c r="K13" i="10"/>
  <c r="J13" i="10"/>
  <c r="I13" i="10"/>
  <c r="H13" i="10"/>
  <c r="F13" i="10"/>
  <c r="E13" i="10"/>
  <c r="D13" i="10"/>
  <c r="C13" i="10"/>
  <c r="A13" i="10"/>
  <c r="N12" i="10"/>
  <c r="M12" i="10"/>
  <c r="L12" i="10"/>
  <c r="K12" i="10"/>
  <c r="J12" i="10"/>
  <c r="I12" i="10"/>
  <c r="H12" i="10"/>
  <c r="F12" i="10"/>
  <c r="E12" i="10"/>
  <c r="D12" i="10"/>
  <c r="C12" i="10"/>
  <c r="A12" i="10"/>
  <c r="N11" i="10"/>
  <c r="M11" i="10"/>
  <c r="L11" i="10"/>
  <c r="K11" i="10"/>
  <c r="J11" i="10"/>
  <c r="I11" i="10"/>
  <c r="H11" i="10"/>
  <c r="F11" i="10"/>
  <c r="E11" i="10"/>
  <c r="D11" i="10"/>
  <c r="C11" i="10"/>
  <c r="A11" i="10"/>
  <c r="N10" i="10"/>
  <c r="M10" i="10"/>
  <c r="L10" i="10"/>
  <c r="K10" i="10"/>
  <c r="J10" i="10"/>
  <c r="I10" i="10"/>
  <c r="H10" i="10"/>
  <c r="F10" i="10"/>
  <c r="E10" i="10"/>
  <c r="D10" i="10"/>
  <c r="C10" i="10"/>
  <c r="A10" i="10"/>
  <c r="M6" i="10"/>
  <c r="M5" i="10"/>
  <c r="M4" i="10"/>
  <c r="M3" i="10"/>
  <c r="H5" i="10"/>
  <c r="H4" i="10"/>
  <c r="H3" i="10"/>
  <c r="B6" i="10"/>
  <c r="B5" i="10"/>
  <c r="B4" i="10"/>
  <c r="B3" i="10"/>
  <c r="J9" i="9"/>
  <c r="J6" i="9"/>
  <c r="J5" i="9"/>
  <c r="J4" i="9"/>
  <c r="J3" i="9"/>
  <c r="F5" i="9"/>
  <c r="F4" i="9"/>
  <c r="F3" i="9"/>
  <c r="B6" i="9"/>
  <c r="B5" i="9"/>
  <c r="B4" i="9"/>
  <c r="B3" i="9"/>
  <c r="F177" i="14"/>
  <c r="M177" i="14"/>
  <c r="L177" i="14"/>
  <c r="K177" i="14"/>
  <c r="J177" i="14"/>
  <c r="I177" i="14"/>
  <c r="H177" i="14"/>
  <c r="G177" i="14"/>
  <c r="E177" i="14"/>
  <c r="D177" i="14"/>
  <c r="C177" i="14"/>
  <c r="A177" i="14"/>
  <c r="F176" i="14"/>
  <c r="M176" i="14"/>
  <c r="L176" i="14"/>
  <c r="K176" i="14"/>
  <c r="J176" i="14"/>
  <c r="I176" i="14"/>
  <c r="H176" i="14"/>
  <c r="G176" i="14"/>
  <c r="E176" i="14"/>
  <c r="D176" i="14"/>
  <c r="C176" i="14"/>
  <c r="A176" i="14"/>
  <c r="F175" i="14"/>
  <c r="M175" i="14"/>
  <c r="L175" i="14"/>
  <c r="K175" i="14"/>
  <c r="J175" i="14"/>
  <c r="I175" i="14"/>
  <c r="H175" i="14"/>
  <c r="G175" i="14"/>
  <c r="E175" i="14"/>
  <c r="D175" i="14"/>
  <c r="C175" i="14"/>
  <c r="A175" i="14"/>
  <c r="F174" i="14"/>
  <c r="M174" i="14"/>
  <c r="L174" i="14"/>
  <c r="K174" i="14"/>
  <c r="J174" i="14"/>
  <c r="I174" i="14"/>
  <c r="H174" i="14"/>
  <c r="G174" i="14"/>
  <c r="E174" i="14"/>
  <c r="D174" i="14"/>
  <c r="C174" i="14"/>
  <c r="A174" i="14"/>
  <c r="F173" i="14"/>
  <c r="M173" i="14"/>
  <c r="L173" i="14"/>
  <c r="K173" i="14"/>
  <c r="J173" i="14"/>
  <c r="I173" i="14"/>
  <c r="H173" i="14"/>
  <c r="G173" i="14"/>
  <c r="E173" i="14"/>
  <c r="D173" i="14"/>
  <c r="C173" i="14"/>
  <c r="A173" i="14"/>
  <c r="F172" i="14"/>
  <c r="M172" i="14"/>
  <c r="L172" i="14"/>
  <c r="K172" i="14"/>
  <c r="J172" i="14"/>
  <c r="I172" i="14"/>
  <c r="H172" i="14"/>
  <c r="G172" i="14"/>
  <c r="E172" i="14"/>
  <c r="D172" i="14"/>
  <c r="C172" i="14"/>
  <c r="A172" i="14"/>
  <c r="F171" i="14"/>
  <c r="M171" i="14"/>
  <c r="L171" i="14"/>
  <c r="K171" i="14"/>
  <c r="J171" i="14"/>
  <c r="I171" i="14"/>
  <c r="H171" i="14"/>
  <c r="G171" i="14"/>
  <c r="E171" i="14"/>
  <c r="D171" i="14"/>
  <c r="C171" i="14"/>
  <c r="A171" i="14"/>
  <c r="F170" i="14"/>
  <c r="M170" i="14"/>
  <c r="L170" i="14"/>
  <c r="K170" i="14"/>
  <c r="J170" i="14"/>
  <c r="I170" i="14"/>
  <c r="H170" i="14"/>
  <c r="G170" i="14"/>
  <c r="E170" i="14"/>
  <c r="D170" i="14"/>
  <c r="C170" i="14"/>
  <c r="A170" i="14"/>
  <c r="F169" i="14"/>
  <c r="M169" i="14"/>
  <c r="L169" i="14"/>
  <c r="K169" i="14"/>
  <c r="J169" i="14"/>
  <c r="I169" i="14"/>
  <c r="H169" i="14"/>
  <c r="G169" i="14"/>
  <c r="E169" i="14"/>
  <c r="D169" i="14"/>
  <c r="C169" i="14"/>
  <c r="A169" i="14"/>
  <c r="F168" i="14"/>
  <c r="M168" i="14"/>
  <c r="L168" i="14"/>
  <c r="K168" i="14"/>
  <c r="J168" i="14"/>
  <c r="I168" i="14"/>
  <c r="H168" i="14"/>
  <c r="G168" i="14"/>
  <c r="E168" i="14"/>
  <c r="D168" i="14"/>
  <c r="C168" i="14"/>
  <c r="A168" i="14"/>
  <c r="F167" i="14"/>
  <c r="M167" i="14"/>
  <c r="L167" i="14"/>
  <c r="K167" i="14"/>
  <c r="J167" i="14"/>
  <c r="I167" i="14"/>
  <c r="H167" i="14"/>
  <c r="G167" i="14"/>
  <c r="E167" i="14"/>
  <c r="D167" i="14"/>
  <c r="C167" i="14"/>
  <c r="A167" i="14"/>
  <c r="F166" i="14"/>
  <c r="M166" i="14"/>
  <c r="L166" i="14"/>
  <c r="K166" i="14"/>
  <c r="J166" i="14"/>
  <c r="I166" i="14"/>
  <c r="H166" i="14"/>
  <c r="G166" i="14"/>
  <c r="E166" i="14"/>
  <c r="D166" i="14"/>
  <c r="C166" i="14"/>
  <c r="A166" i="14"/>
  <c r="F165" i="14"/>
  <c r="M165" i="14"/>
  <c r="L165" i="14"/>
  <c r="K165" i="14"/>
  <c r="J165" i="14"/>
  <c r="I165" i="14"/>
  <c r="H165" i="14"/>
  <c r="G165" i="14"/>
  <c r="E165" i="14"/>
  <c r="D165" i="14"/>
  <c r="C165" i="14"/>
  <c r="A165" i="14"/>
  <c r="F164" i="14"/>
  <c r="M164" i="14"/>
  <c r="L164" i="14"/>
  <c r="K164" i="14"/>
  <c r="J164" i="14"/>
  <c r="I164" i="14"/>
  <c r="H164" i="14"/>
  <c r="G164" i="14"/>
  <c r="E164" i="14"/>
  <c r="D164" i="14"/>
  <c r="C164" i="14"/>
  <c r="A164" i="14"/>
  <c r="F163" i="14"/>
  <c r="M163" i="14"/>
  <c r="L163" i="14"/>
  <c r="K163" i="14"/>
  <c r="J163" i="14"/>
  <c r="I163" i="14"/>
  <c r="H163" i="14"/>
  <c r="G163" i="14"/>
  <c r="E163" i="14"/>
  <c r="D163" i="14"/>
  <c r="C163" i="14"/>
  <c r="A163" i="14"/>
  <c r="F162" i="14"/>
  <c r="M162" i="14"/>
  <c r="L162" i="14"/>
  <c r="K162" i="14"/>
  <c r="J162" i="14"/>
  <c r="I162" i="14"/>
  <c r="H162" i="14"/>
  <c r="G162" i="14"/>
  <c r="E162" i="14"/>
  <c r="D162" i="14"/>
  <c r="C162" i="14"/>
  <c r="A162" i="14"/>
  <c r="F161" i="14"/>
  <c r="M161" i="14"/>
  <c r="L161" i="14"/>
  <c r="K161" i="14"/>
  <c r="J161" i="14"/>
  <c r="I161" i="14"/>
  <c r="H161" i="14"/>
  <c r="G161" i="14"/>
  <c r="E161" i="14"/>
  <c r="D161" i="14"/>
  <c r="C161" i="14"/>
  <c r="A161" i="14"/>
  <c r="F160" i="14"/>
  <c r="M160" i="14"/>
  <c r="L160" i="14"/>
  <c r="K160" i="14"/>
  <c r="J160" i="14"/>
  <c r="I160" i="14"/>
  <c r="H160" i="14"/>
  <c r="G160" i="14"/>
  <c r="E160" i="14"/>
  <c r="D160" i="14"/>
  <c r="C160" i="14"/>
  <c r="A160" i="14"/>
  <c r="F159" i="14"/>
  <c r="M159" i="14"/>
  <c r="L159" i="14"/>
  <c r="K159" i="14"/>
  <c r="J159" i="14"/>
  <c r="I159" i="14"/>
  <c r="H159" i="14"/>
  <c r="G159" i="14"/>
  <c r="E159" i="14"/>
  <c r="D159" i="14"/>
  <c r="C159" i="14"/>
  <c r="A159" i="14"/>
  <c r="F158" i="14"/>
  <c r="M158" i="14"/>
  <c r="L158" i="14"/>
  <c r="K158" i="14"/>
  <c r="J158" i="14"/>
  <c r="I158" i="14"/>
  <c r="H158" i="14"/>
  <c r="G158" i="14"/>
  <c r="E158" i="14"/>
  <c r="D158" i="14"/>
  <c r="C158" i="14"/>
  <c r="A158" i="14"/>
  <c r="F157" i="14"/>
  <c r="M157" i="14"/>
  <c r="L157" i="14"/>
  <c r="K157" i="14"/>
  <c r="J157" i="14"/>
  <c r="I157" i="14"/>
  <c r="H157" i="14"/>
  <c r="G157" i="14"/>
  <c r="E157" i="14"/>
  <c r="D157" i="14"/>
  <c r="C157" i="14"/>
  <c r="A157" i="14"/>
  <c r="F156" i="14"/>
  <c r="M156" i="14"/>
  <c r="L156" i="14"/>
  <c r="K156" i="14"/>
  <c r="J156" i="14"/>
  <c r="I156" i="14"/>
  <c r="H156" i="14"/>
  <c r="G156" i="14"/>
  <c r="E156" i="14"/>
  <c r="D156" i="14"/>
  <c r="C156" i="14"/>
  <c r="A156" i="14"/>
  <c r="F155" i="14"/>
  <c r="M155" i="14"/>
  <c r="L155" i="14"/>
  <c r="K155" i="14"/>
  <c r="J155" i="14"/>
  <c r="I155" i="14"/>
  <c r="H155" i="14"/>
  <c r="G155" i="14"/>
  <c r="E155" i="14"/>
  <c r="D155" i="14"/>
  <c r="C155" i="14"/>
  <c r="A155" i="14"/>
  <c r="F154" i="14"/>
  <c r="M154" i="14"/>
  <c r="L154" i="14"/>
  <c r="K154" i="14"/>
  <c r="J154" i="14"/>
  <c r="I154" i="14"/>
  <c r="H154" i="14"/>
  <c r="G154" i="14"/>
  <c r="E154" i="14"/>
  <c r="D154" i="14"/>
  <c r="C154" i="14"/>
  <c r="A154" i="14"/>
  <c r="F153" i="14"/>
  <c r="M153" i="14"/>
  <c r="L153" i="14"/>
  <c r="K153" i="14"/>
  <c r="J153" i="14"/>
  <c r="I153" i="14"/>
  <c r="H153" i="14"/>
  <c r="G153" i="14"/>
  <c r="E153" i="14"/>
  <c r="D153" i="14"/>
  <c r="C153" i="14"/>
  <c r="A153" i="14"/>
  <c r="F152" i="14"/>
  <c r="M152" i="14"/>
  <c r="L152" i="14"/>
  <c r="K152" i="14"/>
  <c r="J152" i="14"/>
  <c r="I152" i="14"/>
  <c r="H152" i="14"/>
  <c r="G152" i="14"/>
  <c r="E152" i="14"/>
  <c r="D152" i="14"/>
  <c r="C152" i="14"/>
  <c r="A152" i="14"/>
  <c r="F151" i="14"/>
  <c r="M151" i="14"/>
  <c r="L151" i="14"/>
  <c r="K151" i="14"/>
  <c r="J151" i="14"/>
  <c r="I151" i="14"/>
  <c r="H151" i="14"/>
  <c r="G151" i="14"/>
  <c r="E151" i="14"/>
  <c r="D151" i="14"/>
  <c r="C151" i="14"/>
  <c r="A151" i="14"/>
  <c r="F150" i="14"/>
  <c r="M150" i="14"/>
  <c r="L150" i="14"/>
  <c r="K150" i="14"/>
  <c r="J150" i="14"/>
  <c r="I150" i="14"/>
  <c r="H150" i="14"/>
  <c r="G150" i="14"/>
  <c r="E150" i="14"/>
  <c r="D150" i="14"/>
  <c r="C150" i="14"/>
  <c r="A150" i="14"/>
  <c r="F149" i="14"/>
  <c r="M149" i="14"/>
  <c r="L149" i="14"/>
  <c r="K149" i="14"/>
  <c r="J149" i="14"/>
  <c r="I149" i="14"/>
  <c r="H149" i="14"/>
  <c r="G149" i="14"/>
  <c r="E149" i="14"/>
  <c r="D149" i="14"/>
  <c r="C149" i="14"/>
  <c r="A149" i="14"/>
  <c r="F148" i="14"/>
  <c r="M148" i="14"/>
  <c r="L148" i="14"/>
  <c r="K148" i="14"/>
  <c r="J148" i="14"/>
  <c r="I148" i="14"/>
  <c r="H148" i="14"/>
  <c r="G148" i="14"/>
  <c r="E148" i="14"/>
  <c r="D148" i="14"/>
  <c r="C148" i="14"/>
  <c r="A148" i="14"/>
  <c r="F147" i="14"/>
  <c r="M147" i="14"/>
  <c r="L147" i="14"/>
  <c r="K147" i="14"/>
  <c r="J147" i="14"/>
  <c r="I147" i="14"/>
  <c r="H147" i="14"/>
  <c r="G147" i="14"/>
  <c r="E147" i="14"/>
  <c r="D147" i="14"/>
  <c r="C147" i="14"/>
  <c r="A147" i="14"/>
  <c r="F146" i="14"/>
  <c r="M146" i="14"/>
  <c r="L146" i="14"/>
  <c r="K146" i="14"/>
  <c r="J146" i="14"/>
  <c r="I146" i="14"/>
  <c r="H146" i="14"/>
  <c r="G146" i="14"/>
  <c r="E146" i="14"/>
  <c r="D146" i="14"/>
  <c r="C146" i="14"/>
  <c r="A146" i="14"/>
  <c r="F145" i="14"/>
  <c r="M145" i="14"/>
  <c r="L145" i="14"/>
  <c r="K145" i="14"/>
  <c r="J145" i="14"/>
  <c r="I145" i="14"/>
  <c r="H145" i="14"/>
  <c r="G145" i="14"/>
  <c r="E145" i="14"/>
  <c r="D145" i="14"/>
  <c r="C145" i="14"/>
  <c r="A145" i="14"/>
  <c r="F144" i="14"/>
  <c r="M144" i="14"/>
  <c r="L144" i="14"/>
  <c r="K144" i="14"/>
  <c r="J144" i="14"/>
  <c r="I144" i="14"/>
  <c r="H144" i="14"/>
  <c r="G144" i="14"/>
  <c r="E144" i="14"/>
  <c r="D144" i="14"/>
  <c r="C144" i="14"/>
  <c r="A144" i="14"/>
  <c r="F143" i="14"/>
  <c r="M143" i="14"/>
  <c r="L143" i="14"/>
  <c r="K143" i="14"/>
  <c r="J143" i="14"/>
  <c r="I143" i="14"/>
  <c r="H143" i="14"/>
  <c r="G143" i="14"/>
  <c r="E143" i="14"/>
  <c r="D143" i="14"/>
  <c r="C143" i="14"/>
  <c r="A143" i="14"/>
  <c r="F142" i="14"/>
  <c r="M142" i="14"/>
  <c r="L142" i="14"/>
  <c r="K142" i="14"/>
  <c r="J142" i="14"/>
  <c r="I142" i="14"/>
  <c r="H142" i="14"/>
  <c r="G142" i="14"/>
  <c r="E142" i="14"/>
  <c r="D142" i="14"/>
  <c r="C142" i="14"/>
  <c r="A142" i="14"/>
  <c r="F141" i="14"/>
  <c r="M141" i="14"/>
  <c r="L141" i="14"/>
  <c r="K141" i="14"/>
  <c r="J141" i="14"/>
  <c r="I141" i="14"/>
  <c r="H141" i="14"/>
  <c r="G141" i="14"/>
  <c r="E141" i="14"/>
  <c r="D141" i="14"/>
  <c r="C141" i="14"/>
  <c r="A141" i="14"/>
  <c r="F140" i="14"/>
  <c r="M140" i="14"/>
  <c r="L140" i="14"/>
  <c r="K140" i="14"/>
  <c r="J140" i="14"/>
  <c r="I140" i="14"/>
  <c r="H140" i="14"/>
  <c r="G140" i="14"/>
  <c r="E140" i="14"/>
  <c r="D140" i="14"/>
  <c r="C140" i="14"/>
  <c r="A140" i="14"/>
  <c r="F139" i="14"/>
  <c r="M139" i="14"/>
  <c r="L139" i="14"/>
  <c r="K139" i="14"/>
  <c r="J139" i="14"/>
  <c r="I139" i="14"/>
  <c r="H139" i="14"/>
  <c r="G139" i="14"/>
  <c r="E139" i="14"/>
  <c r="D139" i="14"/>
  <c r="C139" i="14"/>
  <c r="A139" i="14"/>
  <c r="F138" i="14"/>
  <c r="M138" i="14"/>
  <c r="L138" i="14"/>
  <c r="K138" i="14"/>
  <c r="J138" i="14"/>
  <c r="I138" i="14"/>
  <c r="H138" i="14"/>
  <c r="G138" i="14"/>
  <c r="E138" i="14"/>
  <c r="D138" i="14"/>
  <c r="C138" i="14"/>
  <c r="A138" i="14"/>
  <c r="F137" i="14"/>
  <c r="M137" i="14"/>
  <c r="L137" i="14"/>
  <c r="K137" i="14"/>
  <c r="J137" i="14"/>
  <c r="I137" i="14"/>
  <c r="H137" i="14"/>
  <c r="G137" i="14"/>
  <c r="E137" i="14"/>
  <c r="D137" i="14"/>
  <c r="C137" i="14"/>
  <c r="A137" i="14"/>
  <c r="F136" i="14"/>
  <c r="M136" i="14"/>
  <c r="L136" i="14"/>
  <c r="K136" i="14"/>
  <c r="J136" i="14"/>
  <c r="I136" i="14"/>
  <c r="H136" i="14"/>
  <c r="G136" i="14"/>
  <c r="E136" i="14"/>
  <c r="D136" i="14"/>
  <c r="C136" i="14"/>
  <c r="A136" i="14"/>
  <c r="F135" i="14"/>
  <c r="M135" i="14"/>
  <c r="L135" i="14"/>
  <c r="K135" i="14"/>
  <c r="J135" i="14"/>
  <c r="I135" i="14"/>
  <c r="H135" i="14"/>
  <c r="G135" i="14"/>
  <c r="E135" i="14"/>
  <c r="D135" i="14"/>
  <c r="C135" i="14"/>
  <c r="A135" i="14"/>
  <c r="F134" i="14"/>
  <c r="M134" i="14"/>
  <c r="L134" i="14"/>
  <c r="K134" i="14"/>
  <c r="J134" i="14"/>
  <c r="I134" i="14"/>
  <c r="H134" i="14"/>
  <c r="G134" i="14"/>
  <c r="E134" i="14"/>
  <c r="D134" i="14"/>
  <c r="C134" i="14"/>
  <c r="A134" i="14"/>
  <c r="F133" i="14"/>
  <c r="M133" i="14"/>
  <c r="L133" i="14"/>
  <c r="K133" i="14"/>
  <c r="J133" i="14"/>
  <c r="I133" i="14"/>
  <c r="H133" i="14"/>
  <c r="G133" i="14"/>
  <c r="E133" i="14"/>
  <c r="D133" i="14"/>
  <c r="C133" i="14"/>
  <c r="A133" i="14"/>
  <c r="F132" i="14"/>
  <c r="M132" i="14"/>
  <c r="L132" i="14"/>
  <c r="K132" i="14"/>
  <c r="J132" i="14"/>
  <c r="I132" i="14"/>
  <c r="H132" i="14"/>
  <c r="G132" i="14"/>
  <c r="E132" i="14"/>
  <c r="D132" i="14"/>
  <c r="C132" i="14"/>
  <c r="A132" i="14"/>
  <c r="F131" i="14"/>
  <c r="M131" i="14"/>
  <c r="L131" i="14"/>
  <c r="K131" i="14"/>
  <c r="J131" i="14"/>
  <c r="I131" i="14"/>
  <c r="H131" i="14"/>
  <c r="G131" i="14"/>
  <c r="E131" i="14"/>
  <c r="D131" i="14"/>
  <c r="C131" i="14"/>
  <c r="A131" i="14"/>
  <c r="C125" i="14"/>
  <c r="J124" i="14"/>
  <c r="C124" i="14"/>
  <c r="J123" i="14"/>
  <c r="C123" i="14"/>
  <c r="F120" i="14"/>
  <c r="M120" i="14"/>
  <c r="L120" i="14"/>
  <c r="K120" i="14"/>
  <c r="J120" i="14"/>
  <c r="I120" i="14"/>
  <c r="H120" i="14"/>
  <c r="G120" i="14"/>
  <c r="E120" i="14"/>
  <c r="D120" i="14"/>
  <c r="C120" i="14"/>
  <c r="A120" i="14"/>
  <c r="F119" i="14"/>
  <c r="M119" i="14"/>
  <c r="L119" i="14"/>
  <c r="K119" i="14"/>
  <c r="J119" i="14"/>
  <c r="I119" i="14"/>
  <c r="H119" i="14"/>
  <c r="G119" i="14"/>
  <c r="E119" i="14"/>
  <c r="D119" i="14"/>
  <c r="C119" i="14"/>
  <c r="A119" i="14"/>
  <c r="F118" i="14"/>
  <c r="M118" i="14"/>
  <c r="L118" i="14"/>
  <c r="K118" i="14"/>
  <c r="J118" i="14"/>
  <c r="I118" i="14"/>
  <c r="H118" i="14"/>
  <c r="G118" i="14"/>
  <c r="E118" i="14"/>
  <c r="D118" i="14"/>
  <c r="C118" i="14"/>
  <c r="A118" i="14"/>
  <c r="F117" i="14"/>
  <c r="M117" i="14"/>
  <c r="L117" i="14"/>
  <c r="K117" i="14"/>
  <c r="J117" i="14"/>
  <c r="I117" i="14"/>
  <c r="H117" i="14"/>
  <c r="G117" i="14"/>
  <c r="E117" i="14"/>
  <c r="D117" i="14"/>
  <c r="C117" i="14"/>
  <c r="A117" i="14"/>
  <c r="F116" i="14"/>
  <c r="M116" i="14"/>
  <c r="L116" i="14"/>
  <c r="K116" i="14"/>
  <c r="J116" i="14"/>
  <c r="I116" i="14"/>
  <c r="H116" i="14"/>
  <c r="G116" i="14"/>
  <c r="E116" i="14"/>
  <c r="D116" i="14"/>
  <c r="C116" i="14"/>
  <c r="A116" i="14"/>
  <c r="F115" i="14"/>
  <c r="M115" i="14"/>
  <c r="L115" i="14"/>
  <c r="K115" i="14"/>
  <c r="J115" i="14"/>
  <c r="I115" i="14"/>
  <c r="H115" i="14"/>
  <c r="G115" i="14"/>
  <c r="E115" i="14"/>
  <c r="D115" i="14"/>
  <c r="C115" i="14"/>
  <c r="A115" i="14"/>
  <c r="F114" i="14"/>
  <c r="M114" i="14"/>
  <c r="L114" i="14"/>
  <c r="K114" i="14"/>
  <c r="J114" i="14"/>
  <c r="I114" i="14"/>
  <c r="H114" i="14"/>
  <c r="G114" i="14"/>
  <c r="E114" i="14"/>
  <c r="D114" i="14"/>
  <c r="C114" i="14"/>
  <c r="A114" i="14"/>
  <c r="F113" i="14"/>
  <c r="M113" i="14"/>
  <c r="L113" i="14"/>
  <c r="K113" i="14"/>
  <c r="J113" i="14"/>
  <c r="I113" i="14"/>
  <c r="H113" i="14"/>
  <c r="G113" i="14"/>
  <c r="E113" i="14"/>
  <c r="D113" i="14"/>
  <c r="C113" i="14"/>
  <c r="A113" i="14"/>
  <c r="F112" i="14"/>
  <c r="M112" i="14"/>
  <c r="L112" i="14"/>
  <c r="K112" i="14"/>
  <c r="J112" i="14"/>
  <c r="I112" i="14"/>
  <c r="H112" i="14"/>
  <c r="G112" i="14"/>
  <c r="E112" i="14"/>
  <c r="D112" i="14"/>
  <c r="C112" i="14"/>
  <c r="A112" i="14"/>
  <c r="F111" i="14"/>
  <c r="M111" i="14"/>
  <c r="L111" i="14"/>
  <c r="K111" i="14"/>
  <c r="J111" i="14"/>
  <c r="I111" i="14"/>
  <c r="H111" i="14"/>
  <c r="G111" i="14"/>
  <c r="E111" i="14"/>
  <c r="D111" i="14"/>
  <c r="C111" i="14"/>
  <c r="A111" i="14"/>
  <c r="F110" i="14"/>
  <c r="M110" i="14"/>
  <c r="L110" i="14"/>
  <c r="K110" i="14"/>
  <c r="J110" i="14"/>
  <c r="I110" i="14"/>
  <c r="H110" i="14"/>
  <c r="G110" i="14"/>
  <c r="E110" i="14"/>
  <c r="D110" i="14"/>
  <c r="C110" i="14"/>
  <c r="A110" i="14"/>
  <c r="F109" i="14"/>
  <c r="M109" i="14"/>
  <c r="L109" i="14"/>
  <c r="K109" i="14"/>
  <c r="J109" i="14"/>
  <c r="I109" i="14"/>
  <c r="H109" i="14"/>
  <c r="G109" i="14"/>
  <c r="E109" i="14"/>
  <c r="D109" i="14"/>
  <c r="C109" i="14"/>
  <c r="A109" i="14"/>
  <c r="F108" i="14"/>
  <c r="M108" i="14"/>
  <c r="L108" i="14"/>
  <c r="K108" i="14"/>
  <c r="J108" i="14"/>
  <c r="I108" i="14"/>
  <c r="H108" i="14"/>
  <c r="G108" i="14"/>
  <c r="E108" i="14"/>
  <c r="D108" i="14"/>
  <c r="C108" i="14"/>
  <c r="A108" i="14"/>
  <c r="F107" i="14"/>
  <c r="M107" i="14"/>
  <c r="L107" i="14"/>
  <c r="K107" i="14"/>
  <c r="J107" i="14"/>
  <c r="I107" i="14"/>
  <c r="H107" i="14"/>
  <c r="G107" i="14"/>
  <c r="E107" i="14"/>
  <c r="D107" i="14"/>
  <c r="C107" i="14"/>
  <c r="A107" i="14"/>
  <c r="F106" i="14"/>
  <c r="M106" i="14"/>
  <c r="L106" i="14"/>
  <c r="K106" i="14"/>
  <c r="J106" i="14"/>
  <c r="I106" i="14"/>
  <c r="H106" i="14"/>
  <c r="G106" i="14"/>
  <c r="E106" i="14"/>
  <c r="D106" i="14"/>
  <c r="C106" i="14"/>
  <c r="A106" i="14"/>
  <c r="F105" i="14"/>
  <c r="M105" i="14"/>
  <c r="L105" i="14"/>
  <c r="K105" i="14"/>
  <c r="J105" i="14"/>
  <c r="I105" i="14"/>
  <c r="H105" i="14"/>
  <c r="G105" i="14"/>
  <c r="E105" i="14"/>
  <c r="D105" i="14"/>
  <c r="C105" i="14"/>
  <c r="A105" i="14"/>
  <c r="F104" i="14"/>
  <c r="M104" i="14"/>
  <c r="L104" i="14"/>
  <c r="K104" i="14"/>
  <c r="J104" i="14"/>
  <c r="I104" i="14"/>
  <c r="H104" i="14"/>
  <c r="G104" i="14"/>
  <c r="E104" i="14"/>
  <c r="D104" i="14"/>
  <c r="C104" i="14"/>
  <c r="A104" i="14"/>
  <c r="F103" i="14"/>
  <c r="M103" i="14"/>
  <c r="L103" i="14"/>
  <c r="K103" i="14"/>
  <c r="J103" i="14"/>
  <c r="I103" i="14"/>
  <c r="H103" i="14"/>
  <c r="G103" i="14"/>
  <c r="E103" i="14"/>
  <c r="D103" i="14"/>
  <c r="C103" i="14"/>
  <c r="A103" i="14"/>
  <c r="F102" i="14"/>
  <c r="M102" i="14"/>
  <c r="L102" i="14"/>
  <c r="K102" i="14"/>
  <c r="J102" i="14"/>
  <c r="I102" i="14"/>
  <c r="H102" i="14"/>
  <c r="G102" i="14"/>
  <c r="E102" i="14"/>
  <c r="D102" i="14"/>
  <c r="C102" i="14"/>
  <c r="A102" i="14"/>
  <c r="F101" i="14"/>
  <c r="M101" i="14" s="1"/>
  <c r="L101" i="14"/>
  <c r="K101" i="14"/>
  <c r="J101" i="14"/>
  <c r="I101" i="14"/>
  <c r="H101" i="14"/>
  <c r="G101" i="14"/>
  <c r="E101" i="14"/>
  <c r="D101" i="14"/>
  <c r="C101" i="14"/>
  <c r="A101" i="14"/>
  <c r="F100" i="14"/>
  <c r="M100" i="14"/>
  <c r="L100" i="14"/>
  <c r="K100" i="14"/>
  <c r="J100" i="14"/>
  <c r="I100" i="14"/>
  <c r="H100" i="14"/>
  <c r="G100" i="14"/>
  <c r="E100" i="14"/>
  <c r="D100" i="14"/>
  <c r="C100" i="14"/>
  <c r="A100" i="14"/>
  <c r="F99" i="14"/>
  <c r="M99" i="14"/>
  <c r="L99" i="14"/>
  <c r="K99" i="14"/>
  <c r="J99" i="14"/>
  <c r="I99" i="14"/>
  <c r="H99" i="14"/>
  <c r="G99" i="14"/>
  <c r="E99" i="14"/>
  <c r="D99" i="14"/>
  <c r="C99" i="14"/>
  <c r="A99" i="14"/>
  <c r="F98" i="14"/>
  <c r="M98" i="14"/>
  <c r="L98" i="14"/>
  <c r="K98" i="14"/>
  <c r="J98" i="14"/>
  <c r="I98" i="14"/>
  <c r="H98" i="14"/>
  <c r="G98" i="14"/>
  <c r="E98" i="14"/>
  <c r="D98" i="14"/>
  <c r="C98" i="14"/>
  <c r="A98" i="14"/>
  <c r="F97" i="14"/>
  <c r="M97" i="14"/>
  <c r="L97" i="14"/>
  <c r="K97" i="14"/>
  <c r="J97" i="14"/>
  <c r="I97" i="14"/>
  <c r="H97" i="14"/>
  <c r="G97" i="14"/>
  <c r="E97" i="14"/>
  <c r="D97" i="14"/>
  <c r="C97" i="14"/>
  <c r="A97" i="14"/>
  <c r="F96" i="14"/>
  <c r="M96" i="14"/>
  <c r="L96" i="14"/>
  <c r="K96" i="14"/>
  <c r="J96" i="14"/>
  <c r="I96" i="14"/>
  <c r="H96" i="14"/>
  <c r="G96" i="14"/>
  <c r="E96" i="14"/>
  <c r="D96" i="14"/>
  <c r="C96" i="14"/>
  <c r="A96" i="14"/>
  <c r="F95" i="14"/>
  <c r="M95" i="14"/>
  <c r="L95" i="14"/>
  <c r="K95" i="14"/>
  <c r="J95" i="14"/>
  <c r="I95" i="14"/>
  <c r="H95" i="14"/>
  <c r="G95" i="14"/>
  <c r="E95" i="14"/>
  <c r="D95" i="14"/>
  <c r="C95" i="14"/>
  <c r="A95" i="14"/>
  <c r="F94" i="14"/>
  <c r="M94" i="14"/>
  <c r="L94" i="14"/>
  <c r="K94" i="14"/>
  <c r="J94" i="14"/>
  <c r="I94" i="14"/>
  <c r="H94" i="14"/>
  <c r="G94" i="14"/>
  <c r="E94" i="14"/>
  <c r="D94" i="14"/>
  <c r="C94" i="14"/>
  <c r="A94" i="14"/>
  <c r="F93" i="14"/>
  <c r="M93" i="14"/>
  <c r="L93" i="14"/>
  <c r="K93" i="14"/>
  <c r="J93" i="14"/>
  <c r="I93" i="14"/>
  <c r="H93" i="14"/>
  <c r="G93" i="14"/>
  <c r="E93" i="14"/>
  <c r="D93" i="14"/>
  <c r="C93" i="14"/>
  <c r="A93" i="14"/>
  <c r="F92" i="14"/>
  <c r="M92" i="14"/>
  <c r="L92" i="14"/>
  <c r="K92" i="14"/>
  <c r="J92" i="14"/>
  <c r="I92" i="14"/>
  <c r="H92" i="14"/>
  <c r="G92" i="14"/>
  <c r="E92" i="14"/>
  <c r="D92" i="14"/>
  <c r="C92" i="14"/>
  <c r="A92" i="14"/>
  <c r="F91" i="14"/>
  <c r="M91" i="14"/>
  <c r="L91" i="14"/>
  <c r="K91" i="14"/>
  <c r="J91" i="14"/>
  <c r="I91" i="14"/>
  <c r="H91" i="14"/>
  <c r="G91" i="14"/>
  <c r="E91" i="14"/>
  <c r="D91" i="14"/>
  <c r="C91" i="14"/>
  <c r="A91" i="14"/>
  <c r="F90" i="14"/>
  <c r="M90" i="14"/>
  <c r="L90" i="14"/>
  <c r="K90" i="14"/>
  <c r="J90" i="14"/>
  <c r="I90" i="14"/>
  <c r="H90" i="14"/>
  <c r="G90" i="14"/>
  <c r="E90" i="14"/>
  <c r="D90" i="14"/>
  <c r="C90" i="14"/>
  <c r="A90" i="14"/>
  <c r="F89" i="14"/>
  <c r="M89" i="14"/>
  <c r="L89" i="14"/>
  <c r="K89" i="14"/>
  <c r="J89" i="14"/>
  <c r="I89" i="14"/>
  <c r="H89" i="14"/>
  <c r="G89" i="14"/>
  <c r="E89" i="14"/>
  <c r="D89" i="14"/>
  <c r="C89" i="14"/>
  <c r="A89" i="14"/>
  <c r="F88" i="14"/>
  <c r="M88" i="14"/>
  <c r="L88" i="14"/>
  <c r="K88" i="14"/>
  <c r="J88" i="14"/>
  <c r="I88" i="14"/>
  <c r="H88" i="14"/>
  <c r="G88" i="14"/>
  <c r="E88" i="14"/>
  <c r="D88" i="14"/>
  <c r="C88" i="14"/>
  <c r="A88" i="14"/>
  <c r="F87" i="14"/>
  <c r="M87" i="14"/>
  <c r="L87" i="14"/>
  <c r="K87" i="14"/>
  <c r="J87" i="14"/>
  <c r="I87" i="14"/>
  <c r="H87" i="14"/>
  <c r="G87" i="14"/>
  <c r="E87" i="14"/>
  <c r="D87" i="14"/>
  <c r="C87" i="14"/>
  <c r="A87" i="14"/>
  <c r="F86" i="14"/>
  <c r="M86" i="14"/>
  <c r="L86" i="14"/>
  <c r="K86" i="14"/>
  <c r="J86" i="14"/>
  <c r="I86" i="14"/>
  <c r="H86" i="14"/>
  <c r="G86" i="14"/>
  <c r="E86" i="14"/>
  <c r="D86" i="14"/>
  <c r="C86" i="14"/>
  <c r="A86" i="14"/>
  <c r="F85" i="14"/>
  <c r="M85" i="14"/>
  <c r="L85" i="14"/>
  <c r="K85" i="14"/>
  <c r="J85" i="14"/>
  <c r="I85" i="14"/>
  <c r="H85" i="14"/>
  <c r="G85" i="14"/>
  <c r="E85" i="14"/>
  <c r="D85" i="14"/>
  <c r="C85" i="14"/>
  <c r="A85" i="14"/>
  <c r="F84" i="14"/>
  <c r="M84" i="14"/>
  <c r="L84" i="14"/>
  <c r="K84" i="14"/>
  <c r="J84" i="14"/>
  <c r="I84" i="14"/>
  <c r="H84" i="14"/>
  <c r="G84" i="14"/>
  <c r="E84" i="14"/>
  <c r="D84" i="14"/>
  <c r="C84" i="14"/>
  <c r="A84" i="14"/>
  <c r="F83" i="14"/>
  <c r="M83" i="14"/>
  <c r="L83" i="14"/>
  <c r="K83" i="14"/>
  <c r="J83" i="14"/>
  <c r="I83" i="14"/>
  <c r="H83" i="14"/>
  <c r="G83" i="14"/>
  <c r="E83" i="14"/>
  <c r="D83" i="14"/>
  <c r="C83" i="14"/>
  <c r="A83" i="14"/>
  <c r="F82" i="14"/>
  <c r="M82" i="14"/>
  <c r="L82" i="14"/>
  <c r="K82" i="14"/>
  <c r="J82" i="14"/>
  <c r="I82" i="14"/>
  <c r="H82" i="14"/>
  <c r="G82" i="14"/>
  <c r="E82" i="14"/>
  <c r="D82" i="14"/>
  <c r="C82" i="14"/>
  <c r="A82" i="14"/>
  <c r="F81" i="14"/>
  <c r="M81" i="14"/>
  <c r="L81" i="14"/>
  <c r="K81" i="14"/>
  <c r="J81" i="14"/>
  <c r="I81" i="14"/>
  <c r="H81" i="14"/>
  <c r="G81" i="14"/>
  <c r="E81" i="14"/>
  <c r="D81" i="14"/>
  <c r="C81" i="14"/>
  <c r="A81" i="14"/>
  <c r="F80" i="14"/>
  <c r="M80" i="14"/>
  <c r="L80" i="14"/>
  <c r="K80" i="14"/>
  <c r="J80" i="14"/>
  <c r="I80" i="14"/>
  <c r="H80" i="14"/>
  <c r="G80" i="14"/>
  <c r="E80" i="14"/>
  <c r="D80" i="14"/>
  <c r="C80" i="14"/>
  <c r="A80" i="14"/>
  <c r="F79" i="14"/>
  <c r="M79" i="14"/>
  <c r="L79" i="14"/>
  <c r="K79" i="14"/>
  <c r="J79" i="14"/>
  <c r="I79" i="14"/>
  <c r="H79" i="14"/>
  <c r="G79" i="14"/>
  <c r="E79" i="14"/>
  <c r="D79" i="14"/>
  <c r="C79" i="14"/>
  <c r="A79" i="14"/>
  <c r="F78" i="14"/>
  <c r="M78" i="14"/>
  <c r="L78" i="14"/>
  <c r="K78" i="14"/>
  <c r="J78" i="14"/>
  <c r="I78" i="14"/>
  <c r="H78" i="14"/>
  <c r="G78" i="14"/>
  <c r="E78" i="14"/>
  <c r="D78" i="14"/>
  <c r="C78" i="14"/>
  <c r="A78" i="14"/>
  <c r="F77" i="14"/>
  <c r="M77" i="14"/>
  <c r="L77" i="14"/>
  <c r="K77" i="14"/>
  <c r="J77" i="14"/>
  <c r="I77" i="14"/>
  <c r="H77" i="14"/>
  <c r="G77" i="14"/>
  <c r="E77" i="14"/>
  <c r="D77" i="14"/>
  <c r="C77" i="14"/>
  <c r="A77" i="14"/>
  <c r="F76" i="14"/>
  <c r="M76" i="14"/>
  <c r="L76" i="14"/>
  <c r="K76" i="14"/>
  <c r="J76" i="14"/>
  <c r="I76" i="14"/>
  <c r="H76" i="14"/>
  <c r="G76" i="14"/>
  <c r="E76" i="14"/>
  <c r="D76" i="14"/>
  <c r="C76" i="14"/>
  <c r="A76" i="14"/>
  <c r="F75" i="14"/>
  <c r="M75" i="14"/>
  <c r="L75" i="14"/>
  <c r="K75" i="14"/>
  <c r="J75" i="14"/>
  <c r="I75" i="14"/>
  <c r="H75" i="14"/>
  <c r="G75" i="14"/>
  <c r="E75" i="14"/>
  <c r="D75" i="14"/>
  <c r="C75" i="14"/>
  <c r="A75" i="14"/>
  <c r="F74" i="14"/>
  <c r="M74" i="14"/>
  <c r="L74" i="14"/>
  <c r="K74" i="14"/>
  <c r="J74" i="14"/>
  <c r="I74" i="14"/>
  <c r="H74" i="14"/>
  <c r="G74" i="14"/>
  <c r="E74" i="14"/>
  <c r="D74" i="14"/>
  <c r="C74" i="14"/>
  <c r="A74" i="14"/>
  <c r="F73" i="14"/>
  <c r="M73" i="14"/>
  <c r="L73" i="14"/>
  <c r="K73" i="14"/>
  <c r="J73" i="14"/>
  <c r="I73" i="14"/>
  <c r="H73" i="14"/>
  <c r="G73" i="14"/>
  <c r="E73" i="14"/>
  <c r="D73" i="14"/>
  <c r="C73" i="14"/>
  <c r="A73" i="14"/>
  <c r="F72" i="14"/>
  <c r="M72" i="14"/>
  <c r="L72" i="14"/>
  <c r="K72" i="14"/>
  <c r="J72" i="14"/>
  <c r="I72" i="14"/>
  <c r="H72" i="14"/>
  <c r="G72" i="14"/>
  <c r="E72" i="14"/>
  <c r="D72" i="14"/>
  <c r="C72" i="14"/>
  <c r="A72" i="14"/>
  <c r="F71" i="14"/>
  <c r="M71" i="14"/>
  <c r="L71" i="14"/>
  <c r="K71" i="14"/>
  <c r="J71" i="14"/>
  <c r="I71" i="14"/>
  <c r="H71" i="14"/>
  <c r="G71" i="14"/>
  <c r="E71" i="14"/>
  <c r="D71" i="14"/>
  <c r="C71" i="14"/>
  <c r="A71" i="14"/>
  <c r="O66" i="14"/>
  <c r="N66" i="14"/>
  <c r="O65" i="14"/>
  <c r="N65" i="14"/>
  <c r="C65" i="14"/>
  <c r="O64" i="14"/>
  <c r="N64" i="14"/>
  <c r="J64" i="14"/>
  <c r="C64" i="14"/>
  <c r="O63" i="14"/>
  <c r="N63" i="14"/>
  <c r="J63" i="14"/>
  <c r="C63" i="14"/>
  <c r="O62" i="14"/>
  <c r="N62" i="14"/>
  <c r="O61" i="14"/>
  <c r="N61" i="14"/>
  <c r="G59" i="14"/>
  <c r="O60" i="14"/>
  <c r="F60" i="14"/>
  <c r="N60" i="14"/>
  <c r="M60" i="14"/>
  <c r="L60" i="14"/>
  <c r="K60" i="14"/>
  <c r="J60" i="14"/>
  <c r="I60" i="14"/>
  <c r="H60" i="14"/>
  <c r="G60" i="14"/>
  <c r="E60" i="14"/>
  <c r="D60" i="14"/>
  <c r="C60" i="14"/>
  <c r="A60" i="14"/>
  <c r="G58" i="14"/>
  <c r="O59" i="14"/>
  <c r="F59" i="14"/>
  <c r="N59" i="14" s="1"/>
  <c r="M59" i="14"/>
  <c r="L59" i="14"/>
  <c r="K59" i="14"/>
  <c r="J59" i="14"/>
  <c r="I59" i="14"/>
  <c r="H59" i="14"/>
  <c r="E59" i="14"/>
  <c r="D59" i="14"/>
  <c r="C59" i="14"/>
  <c r="A59" i="14"/>
  <c r="G57" i="14"/>
  <c r="O58" i="14" s="1"/>
  <c r="F58" i="14"/>
  <c r="N58" i="14"/>
  <c r="M58" i="14"/>
  <c r="L58" i="14"/>
  <c r="K58" i="14"/>
  <c r="J58" i="14"/>
  <c r="I58" i="14"/>
  <c r="H58" i="14"/>
  <c r="E58" i="14"/>
  <c r="D58" i="14"/>
  <c r="C58" i="14"/>
  <c r="A58" i="14"/>
  <c r="G56" i="14"/>
  <c r="O57" i="14"/>
  <c r="F57" i="14"/>
  <c r="N57" i="14"/>
  <c r="M57" i="14"/>
  <c r="L57" i="14"/>
  <c r="K57" i="14"/>
  <c r="J57" i="14"/>
  <c r="I57" i="14"/>
  <c r="H57" i="14"/>
  <c r="E57" i="14"/>
  <c r="D57" i="14"/>
  <c r="C57" i="14"/>
  <c r="A57" i="14"/>
  <c r="G55" i="14"/>
  <c r="O56" i="14"/>
  <c r="F56" i="14"/>
  <c r="N56" i="14"/>
  <c r="M56" i="14"/>
  <c r="L56" i="14"/>
  <c r="K56" i="14"/>
  <c r="J56" i="14"/>
  <c r="I56" i="14"/>
  <c r="H56" i="14"/>
  <c r="E56" i="14"/>
  <c r="D56" i="14"/>
  <c r="C56" i="14"/>
  <c r="A56" i="14"/>
  <c r="G54" i="14"/>
  <c r="O55" i="14"/>
  <c r="F55" i="14"/>
  <c r="N55" i="14"/>
  <c r="M55" i="14"/>
  <c r="L55" i="14"/>
  <c r="K55" i="14"/>
  <c r="J55" i="14"/>
  <c r="I55" i="14"/>
  <c r="H55" i="14"/>
  <c r="E55" i="14"/>
  <c r="D55" i="14"/>
  <c r="C55" i="14"/>
  <c r="A55" i="14"/>
  <c r="G53" i="14"/>
  <c r="O54" i="14"/>
  <c r="F54" i="14"/>
  <c r="N54" i="14"/>
  <c r="M54" i="14"/>
  <c r="L54" i="14"/>
  <c r="K54" i="14"/>
  <c r="J54" i="14"/>
  <c r="I54" i="14"/>
  <c r="H54" i="14"/>
  <c r="E54" i="14"/>
  <c r="D54" i="14"/>
  <c r="C54" i="14"/>
  <c r="A54" i="14"/>
  <c r="G52" i="14"/>
  <c r="O53" i="14"/>
  <c r="F53" i="14"/>
  <c r="N53" i="14"/>
  <c r="M53" i="14"/>
  <c r="L53" i="14"/>
  <c r="K53" i="14"/>
  <c r="J53" i="14"/>
  <c r="I53" i="14"/>
  <c r="H53" i="14"/>
  <c r="E53" i="14"/>
  <c r="D53" i="14"/>
  <c r="C53" i="14"/>
  <c r="A53" i="14"/>
  <c r="G51" i="14"/>
  <c r="O52" i="14"/>
  <c r="F52" i="14"/>
  <c r="N52" i="14"/>
  <c r="M52" i="14"/>
  <c r="L52" i="14"/>
  <c r="K52" i="14"/>
  <c r="J52" i="14"/>
  <c r="I52" i="14"/>
  <c r="H52" i="14"/>
  <c r="E52" i="14"/>
  <c r="D52" i="14"/>
  <c r="C52" i="14"/>
  <c r="A52" i="14"/>
  <c r="G50" i="14"/>
  <c r="O51" i="14"/>
  <c r="F51" i="14"/>
  <c r="N51" i="14"/>
  <c r="M51" i="14"/>
  <c r="L51" i="14"/>
  <c r="K51" i="14"/>
  <c r="J51" i="14"/>
  <c r="I51" i="14"/>
  <c r="H51" i="14"/>
  <c r="E51" i="14"/>
  <c r="D51" i="14"/>
  <c r="C51" i="14"/>
  <c r="A51" i="14"/>
  <c r="G49" i="14"/>
  <c r="O50" i="14"/>
  <c r="F50" i="14"/>
  <c r="N50" i="14"/>
  <c r="M50" i="14"/>
  <c r="L50" i="14"/>
  <c r="K50" i="14"/>
  <c r="J50" i="14"/>
  <c r="I50" i="14"/>
  <c r="H50" i="14"/>
  <c r="E50" i="14"/>
  <c r="D50" i="14"/>
  <c r="C50" i="14"/>
  <c r="A50" i="14"/>
  <c r="G48" i="14"/>
  <c r="O49" i="14"/>
  <c r="F49" i="14"/>
  <c r="N49" i="14"/>
  <c r="M49" i="14"/>
  <c r="L49" i="14"/>
  <c r="K49" i="14"/>
  <c r="J49" i="14"/>
  <c r="I49" i="14"/>
  <c r="H49" i="14"/>
  <c r="E49" i="14"/>
  <c r="D49" i="14"/>
  <c r="C49" i="14"/>
  <c r="A49" i="14"/>
  <c r="G47" i="14"/>
  <c r="O48" i="14"/>
  <c r="F48" i="14"/>
  <c r="N48" i="14"/>
  <c r="M48" i="14"/>
  <c r="L48" i="14"/>
  <c r="K48" i="14"/>
  <c r="J48" i="14"/>
  <c r="I48" i="14"/>
  <c r="H48" i="14"/>
  <c r="E48" i="14"/>
  <c r="D48" i="14"/>
  <c r="C48" i="14"/>
  <c r="A48" i="14"/>
  <c r="G46" i="14"/>
  <c r="O47" i="14"/>
  <c r="F47" i="14"/>
  <c r="N47" i="14"/>
  <c r="M47" i="14"/>
  <c r="L47" i="14"/>
  <c r="K47" i="14"/>
  <c r="J47" i="14"/>
  <c r="I47" i="14"/>
  <c r="H47" i="14"/>
  <c r="E47" i="14"/>
  <c r="D47" i="14"/>
  <c r="C47" i="14"/>
  <c r="A47" i="14"/>
  <c r="G45" i="14"/>
  <c r="O46" i="14"/>
  <c r="F46" i="14"/>
  <c r="N46" i="14"/>
  <c r="M46" i="14"/>
  <c r="L46" i="14"/>
  <c r="K46" i="14"/>
  <c r="J46" i="14"/>
  <c r="I46" i="14"/>
  <c r="H46" i="14"/>
  <c r="E46" i="14"/>
  <c r="D46" i="14"/>
  <c r="C46" i="14"/>
  <c r="A46" i="14"/>
  <c r="G44" i="14"/>
  <c r="O45" i="14"/>
  <c r="F45" i="14"/>
  <c r="N45" i="14"/>
  <c r="M45" i="14"/>
  <c r="L45" i="14"/>
  <c r="K45" i="14"/>
  <c r="J45" i="14"/>
  <c r="I45" i="14"/>
  <c r="H45" i="14"/>
  <c r="E45" i="14"/>
  <c r="D45" i="14"/>
  <c r="C45" i="14"/>
  <c r="A45" i="14"/>
  <c r="G43" i="14"/>
  <c r="O44" i="14"/>
  <c r="F44" i="14"/>
  <c r="N44" i="14"/>
  <c r="M44" i="14"/>
  <c r="L44" i="14"/>
  <c r="K44" i="14"/>
  <c r="J44" i="14"/>
  <c r="I44" i="14"/>
  <c r="H44" i="14"/>
  <c r="E44" i="14"/>
  <c r="D44" i="14"/>
  <c r="C44" i="14"/>
  <c r="A44" i="14"/>
  <c r="G42" i="14"/>
  <c r="O43" i="14"/>
  <c r="F43" i="14"/>
  <c r="N43" i="14"/>
  <c r="M43" i="14"/>
  <c r="L43" i="14"/>
  <c r="K43" i="14"/>
  <c r="J43" i="14"/>
  <c r="I43" i="14"/>
  <c r="H43" i="14"/>
  <c r="E43" i="14"/>
  <c r="D43" i="14"/>
  <c r="C43" i="14"/>
  <c r="A43" i="14"/>
  <c r="G41" i="14"/>
  <c r="O42" i="14"/>
  <c r="F42" i="14"/>
  <c r="N42" i="14"/>
  <c r="M42" i="14"/>
  <c r="L42" i="14"/>
  <c r="K42" i="14"/>
  <c r="J42" i="14"/>
  <c r="I42" i="14"/>
  <c r="H42" i="14"/>
  <c r="E42" i="14"/>
  <c r="D42" i="14"/>
  <c r="C42" i="14"/>
  <c r="A42" i="14"/>
  <c r="G40" i="14"/>
  <c r="O41" i="14"/>
  <c r="F41" i="14"/>
  <c r="N41" i="14"/>
  <c r="M41" i="14"/>
  <c r="L41" i="14"/>
  <c r="K41" i="14"/>
  <c r="J41" i="14"/>
  <c r="I41" i="14"/>
  <c r="H41" i="14"/>
  <c r="E41" i="14"/>
  <c r="D41" i="14"/>
  <c r="C41" i="14"/>
  <c r="A41" i="14"/>
  <c r="G39" i="14"/>
  <c r="O40" i="14"/>
  <c r="F40" i="14"/>
  <c r="N40" i="14"/>
  <c r="M40" i="14"/>
  <c r="L40" i="14"/>
  <c r="K40" i="14"/>
  <c r="J40" i="14"/>
  <c r="I40" i="14"/>
  <c r="H40" i="14"/>
  <c r="E40" i="14"/>
  <c r="D40" i="14"/>
  <c r="C40" i="14"/>
  <c r="A40" i="14"/>
  <c r="G38" i="14"/>
  <c r="O39" i="14"/>
  <c r="F39" i="14"/>
  <c r="N39" i="14"/>
  <c r="M39" i="14"/>
  <c r="L39" i="14"/>
  <c r="K39" i="14"/>
  <c r="J39" i="14"/>
  <c r="I39" i="14"/>
  <c r="H39" i="14"/>
  <c r="E39" i="14"/>
  <c r="D39" i="14"/>
  <c r="C39" i="14"/>
  <c r="A39" i="14"/>
  <c r="G37" i="14"/>
  <c r="O38" i="14"/>
  <c r="F38" i="14"/>
  <c r="N38" i="14"/>
  <c r="M38" i="14"/>
  <c r="L38" i="14"/>
  <c r="K38" i="14"/>
  <c r="J38" i="14"/>
  <c r="I38" i="14"/>
  <c r="H38" i="14"/>
  <c r="E38" i="14"/>
  <c r="D38" i="14"/>
  <c r="C38" i="14"/>
  <c r="A38" i="14"/>
  <c r="G36" i="14"/>
  <c r="O37" i="14"/>
  <c r="F37" i="14"/>
  <c r="N37" i="14"/>
  <c r="M37" i="14"/>
  <c r="L37" i="14"/>
  <c r="K37" i="14"/>
  <c r="J37" i="14"/>
  <c r="I37" i="14"/>
  <c r="H37" i="14"/>
  <c r="E37" i="14"/>
  <c r="D37" i="14"/>
  <c r="C37" i="14"/>
  <c r="A37" i="14"/>
  <c r="G35" i="14"/>
  <c r="O36" i="14"/>
  <c r="F36" i="14"/>
  <c r="N36" i="14"/>
  <c r="M36" i="14"/>
  <c r="L36" i="14"/>
  <c r="K36" i="14"/>
  <c r="J36" i="14"/>
  <c r="I36" i="14"/>
  <c r="H36" i="14"/>
  <c r="E36" i="14"/>
  <c r="D36" i="14"/>
  <c r="C36" i="14"/>
  <c r="A36" i="14"/>
  <c r="G34" i="14"/>
  <c r="O35" i="14"/>
  <c r="F35" i="14"/>
  <c r="N35" i="14"/>
  <c r="M35" i="14"/>
  <c r="L35" i="14"/>
  <c r="K35" i="14"/>
  <c r="J35" i="14"/>
  <c r="I35" i="14"/>
  <c r="H35" i="14"/>
  <c r="E35" i="14"/>
  <c r="D35" i="14"/>
  <c r="C35" i="14"/>
  <c r="A35" i="14"/>
  <c r="G33" i="14"/>
  <c r="O34" i="14"/>
  <c r="F34" i="14"/>
  <c r="N34" i="14"/>
  <c r="M34" i="14"/>
  <c r="L34" i="14"/>
  <c r="K34" i="14"/>
  <c r="J34" i="14"/>
  <c r="I34" i="14"/>
  <c r="H34" i="14"/>
  <c r="E34" i="14"/>
  <c r="D34" i="14"/>
  <c r="C34" i="14"/>
  <c r="A34" i="14"/>
  <c r="G32" i="14"/>
  <c r="O33" i="14"/>
  <c r="F33" i="14"/>
  <c r="N33" i="14"/>
  <c r="M33" i="14"/>
  <c r="L33" i="14"/>
  <c r="K33" i="14"/>
  <c r="J33" i="14"/>
  <c r="I33" i="14"/>
  <c r="H33" i="14"/>
  <c r="E33" i="14"/>
  <c r="D33" i="14"/>
  <c r="C33" i="14"/>
  <c r="A33" i="14"/>
  <c r="G31" i="14"/>
  <c r="O32" i="14"/>
  <c r="F32" i="14"/>
  <c r="N32" i="14"/>
  <c r="M32" i="14"/>
  <c r="L32" i="14"/>
  <c r="K32" i="14"/>
  <c r="J32" i="14"/>
  <c r="I32" i="14"/>
  <c r="H32" i="14"/>
  <c r="E32" i="14"/>
  <c r="D32" i="14"/>
  <c r="C32" i="14"/>
  <c r="A32" i="14"/>
  <c r="G30" i="14"/>
  <c r="O31" i="14"/>
  <c r="F31" i="14"/>
  <c r="N31" i="14"/>
  <c r="M31" i="14"/>
  <c r="L31" i="14"/>
  <c r="K31" i="14"/>
  <c r="J31" i="14"/>
  <c r="I31" i="14"/>
  <c r="H31" i="14"/>
  <c r="E31" i="14"/>
  <c r="D31" i="14"/>
  <c r="C31" i="14"/>
  <c r="A31" i="14"/>
  <c r="G29" i="14"/>
  <c r="O30" i="14"/>
  <c r="F30" i="14"/>
  <c r="N30" i="14"/>
  <c r="M30" i="14"/>
  <c r="L30" i="14"/>
  <c r="K30" i="14"/>
  <c r="J30" i="14"/>
  <c r="I30" i="14"/>
  <c r="H30" i="14"/>
  <c r="E30" i="14"/>
  <c r="D30" i="14"/>
  <c r="C30" i="14"/>
  <c r="A30" i="14"/>
  <c r="G28" i="14"/>
  <c r="O29" i="14"/>
  <c r="F29" i="14"/>
  <c r="N29" i="14"/>
  <c r="M29" i="14"/>
  <c r="L29" i="14"/>
  <c r="K29" i="14"/>
  <c r="J29" i="14"/>
  <c r="I29" i="14"/>
  <c r="H29" i="14"/>
  <c r="E29" i="14"/>
  <c r="D29" i="14"/>
  <c r="C29" i="14"/>
  <c r="A29" i="14"/>
  <c r="G27" i="14"/>
  <c r="O28" i="14"/>
  <c r="F28" i="14"/>
  <c r="N28" i="14"/>
  <c r="M28" i="14"/>
  <c r="L28" i="14"/>
  <c r="K28" i="14"/>
  <c r="J28" i="14"/>
  <c r="I28" i="14"/>
  <c r="H28" i="14"/>
  <c r="E28" i="14"/>
  <c r="D28" i="14"/>
  <c r="C28" i="14"/>
  <c r="A28" i="14"/>
  <c r="G26" i="14"/>
  <c r="O27" i="14"/>
  <c r="F27" i="14"/>
  <c r="N27" i="14"/>
  <c r="M27" i="14"/>
  <c r="L27" i="14"/>
  <c r="K27" i="14"/>
  <c r="J27" i="14"/>
  <c r="I27" i="14"/>
  <c r="H27" i="14"/>
  <c r="E27" i="14"/>
  <c r="D27" i="14"/>
  <c r="C27" i="14"/>
  <c r="A27" i="14"/>
  <c r="G25" i="14"/>
  <c r="O26" i="14"/>
  <c r="F26" i="14"/>
  <c r="N26" i="14"/>
  <c r="M26" i="14"/>
  <c r="L26" i="14"/>
  <c r="K26" i="14"/>
  <c r="J26" i="14"/>
  <c r="I26" i="14"/>
  <c r="H26" i="14"/>
  <c r="E26" i="14"/>
  <c r="D26" i="14"/>
  <c r="C26" i="14"/>
  <c r="A26" i="14"/>
  <c r="G24" i="14"/>
  <c r="O25" i="14"/>
  <c r="F25" i="14"/>
  <c r="N25" i="14"/>
  <c r="M25" i="14"/>
  <c r="L25" i="14"/>
  <c r="K25" i="14"/>
  <c r="J25" i="14"/>
  <c r="I25" i="14"/>
  <c r="H25" i="14"/>
  <c r="E25" i="14"/>
  <c r="D25" i="14"/>
  <c r="C25" i="14"/>
  <c r="A25" i="14"/>
  <c r="O24" i="14"/>
  <c r="F24" i="14"/>
  <c r="N24" i="14"/>
  <c r="M24" i="14"/>
  <c r="L24" i="14"/>
  <c r="K24" i="14"/>
  <c r="J24" i="14"/>
  <c r="I24" i="14"/>
  <c r="H24" i="14"/>
  <c r="E24" i="14"/>
  <c r="D24" i="14"/>
  <c r="C24" i="14"/>
  <c r="A24" i="14"/>
  <c r="G23" i="14"/>
  <c r="O23" i="14"/>
  <c r="F23" i="14"/>
  <c r="N23" i="14"/>
  <c r="M23" i="14"/>
  <c r="L23" i="14"/>
  <c r="K23" i="14"/>
  <c r="J23" i="14"/>
  <c r="I23" i="14"/>
  <c r="H23" i="14"/>
  <c r="E23" i="14"/>
  <c r="D23" i="14"/>
  <c r="C23" i="14"/>
  <c r="A23" i="14"/>
  <c r="G22" i="14"/>
  <c r="O22" i="14"/>
  <c r="F22" i="14"/>
  <c r="N22" i="14"/>
  <c r="M22" i="14"/>
  <c r="L22" i="14"/>
  <c r="K22" i="14"/>
  <c r="J22" i="14"/>
  <c r="I22" i="14"/>
  <c r="H22" i="14"/>
  <c r="E22" i="14"/>
  <c r="D22" i="14"/>
  <c r="C22" i="14"/>
  <c r="A22" i="14"/>
  <c r="G21" i="14"/>
  <c r="O21" i="14"/>
  <c r="F21" i="14"/>
  <c r="N21" i="14"/>
  <c r="M21" i="14"/>
  <c r="L21" i="14"/>
  <c r="K21" i="14"/>
  <c r="J21" i="14"/>
  <c r="I21" i="14"/>
  <c r="H21" i="14"/>
  <c r="E21" i="14"/>
  <c r="D21" i="14"/>
  <c r="C21" i="14"/>
  <c r="A21" i="14"/>
  <c r="G20" i="14"/>
  <c r="O20" i="14"/>
  <c r="F20" i="14"/>
  <c r="N20" i="14"/>
  <c r="M20" i="14"/>
  <c r="L20" i="14"/>
  <c r="K20" i="14"/>
  <c r="J20" i="14"/>
  <c r="I20" i="14"/>
  <c r="H20" i="14"/>
  <c r="E20" i="14"/>
  <c r="D20" i="14"/>
  <c r="C20" i="14"/>
  <c r="A20" i="14"/>
  <c r="G19" i="14"/>
  <c r="O19" i="14"/>
  <c r="F19" i="14"/>
  <c r="N19" i="14"/>
  <c r="M19" i="14"/>
  <c r="L19" i="14"/>
  <c r="K19" i="14"/>
  <c r="J19" i="14"/>
  <c r="I19" i="14"/>
  <c r="H19" i="14"/>
  <c r="E19" i="14"/>
  <c r="D19" i="14"/>
  <c r="C19" i="14"/>
  <c r="A19" i="14"/>
  <c r="G18" i="14"/>
  <c r="O18" i="14"/>
  <c r="F18" i="14"/>
  <c r="N18" i="14"/>
  <c r="M18" i="14"/>
  <c r="L18" i="14"/>
  <c r="K18" i="14"/>
  <c r="J18" i="14"/>
  <c r="I18" i="14"/>
  <c r="H18" i="14"/>
  <c r="E18" i="14"/>
  <c r="D18" i="14"/>
  <c r="C18" i="14"/>
  <c r="A18" i="14"/>
  <c r="G17" i="14"/>
  <c r="O17" i="14"/>
  <c r="F17" i="14"/>
  <c r="N17" i="14"/>
  <c r="M17" i="14"/>
  <c r="L17" i="14"/>
  <c r="K17" i="14"/>
  <c r="J17" i="14"/>
  <c r="I17" i="14"/>
  <c r="H17" i="14"/>
  <c r="E17" i="14"/>
  <c r="D17" i="14"/>
  <c r="C17" i="14"/>
  <c r="A17" i="14"/>
  <c r="G16" i="14"/>
  <c r="O16" i="14"/>
  <c r="F16" i="14"/>
  <c r="N16" i="14"/>
  <c r="M16" i="14"/>
  <c r="L16" i="14"/>
  <c r="K16" i="14"/>
  <c r="J16" i="14"/>
  <c r="I16" i="14"/>
  <c r="H16" i="14"/>
  <c r="E16" i="14"/>
  <c r="D16" i="14"/>
  <c r="C16" i="14"/>
  <c r="A16" i="14"/>
  <c r="R15" i="14"/>
  <c r="F15" i="14"/>
  <c r="M15" i="14"/>
  <c r="L15" i="14"/>
  <c r="K15" i="14"/>
  <c r="J15" i="14"/>
  <c r="I15" i="14"/>
  <c r="H15" i="14"/>
  <c r="G15" i="14"/>
  <c r="E15" i="14"/>
  <c r="D15" i="14"/>
  <c r="C15" i="14"/>
  <c r="A15" i="14"/>
  <c r="F14" i="14"/>
  <c r="M14" i="14"/>
  <c r="L14" i="14"/>
  <c r="K14" i="14"/>
  <c r="J14" i="14"/>
  <c r="I14" i="14"/>
  <c r="H14" i="14"/>
  <c r="G14" i="14"/>
  <c r="E14" i="14"/>
  <c r="D14" i="14"/>
  <c r="C14" i="14"/>
  <c r="A14" i="14"/>
  <c r="F13" i="14"/>
  <c r="M13" i="14" s="1"/>
  <c r="L13" i="14"/>
  <c r="K13" i="14"/>
  <c r="J13" i="14"/>
  <c r="I13" i="14"/>
  <c r="H13" i="14"/>
  <c r="G13" i="14"/>
  <c r="E13" i="14"/>
  <c r="D13" i="14"/>
  <c r="C13" i="14"/>
  <c r="A13" i="14"/>
  <c r="F12" i="14"/>
  <c r="M12" i="14" s="1"/>
  <c r="L12" i="14"/>
  <c r="K12" i="14"/>
  <c r="J12" i="14"/>
  <c r="I12" i="14"/>
  <c r="H12" i="14"/>
  <c r="G12" i="14"/>
  <c r="E12" i="14"/>
  <c r="D12" i="14"/>
  <c r="C12" i="14"/>
  <c r="A12" i="14"/>
  <c r="G11" i="14"/>
  <c r="O11" i="14"/>
  <c r="F11" i="14"/>
  <c r="M11" i="14" s="1"/>
  <c r="N11" i="14"/>
  <c r="L11" i="14"/>
  <c r="K11" i="14"/>
  <c r="J11" i="14"/>
  <c r="I11" i="14"/>
  <c r="H11" i="14"/>
  <c r="E11" i="14"/>
  <c r="D11" i="14"/>
  <c r="C11" i="14"/>
  <c r="A11" i="14"/>
  <c r="F8" i="14"/>
  <c r="F7" i="14"/>
  <c r="J4" i="14"/>
  <c r="J3" i="14"/>
  <c r="C5" i="14"/>
  <c r="C4" i="14"/>
  <c r="C3" i="14"/>
  <c r="L170" i="7"/>
  <c r="K170" i="7"/>
  <c r="J170" i="7"/>
  <c r="H170" i="7"/>
  <c r="G170" i="7"/>
  <c r="I170" i="7" s="1"/>
  <c r="F170" i="7"/>
  <c r="E170" i="7"/>
  <c r="D170" i="7"/>
  <c r="M170" i="7" s="1"/>
  <c r="C170" i="7"/>
  <c r="A170" i="7"/>
  <c r="L169" i="7"/>
  <c r="K169" i="7"/>
  <c r="J169" i="7"/>
  <c r="H169" i="7"/>
  <c r="G169" i="7"/>
  <c r="I169" i="7" s="1"/>
  <c r="F169" i="7"/>
  <c r="E169" i="7"/>
  <c r="D169" i="7"/>
  <c r="M169" i="7" s="1"/>
  <c r="C169" i="7"/>
  <c r="A169" i="7"/>
  <c r="L168" i="7"/>
  <c r="K168" i="7"/>
  <c r="J168" i="7"/>
  <c r="H168" i="7"/>
  <c r="G168" i="7"/>
  <c r="I168" i="7" s="1"/>
  <c r="F168" i="7"/>
  <c r="E168" i="7"/>
  <c r="D168" i="7"/>
  <c r="M168" i="7" s="1"/>
  <c r="C168" i="7"/>
  <c r="A168" i="7"/>
  <c r="L167" i="7"/>
  <c r="K167" i="7"/>
  <c r="J167" i="7"/>
  <c r="H167" i="7"/>
  <c r="G167" i="7"/>
  <c r="I167" i="7" s="1"/>
  <c r="F167" i="7"/>
  <c r="E167" i="7"/>
  <c r="D167" i="7"/>
  <c r="M167" i="7" s="1"/>
  <c r="C167" i="7"/>
  <c r="A167" i="7"/>
  <c r="L166" i="7"/>
  <c r="K166" i="7"/>
  <c r="J166" i="7"/>
  <c r="H166" i="7"/>
  <c r="G166" i="7"/>
  <c r="I166" i="7" s="1"/>
  <c r="F166" i="7"/>
  <c r="E166" i="7"/>
  <c r="D166" i="7"/>
  <c r="M166" i="7" s="1"/>
  <c r="C166" i="7"/>
  <c r="A166" i="7"/>
  <c r="L165" i="7"/>
  <c r="K165" i="7"/>
  <c r="J165" i="7"/>
  <c r="H165" i="7"/>
  <c r="G165" i="7"/>
  <c r="I165" i="7" s="1"/>
  <c r="F165" i="7"/>
  <c r="E165" i="7"/>
  <c r="D165" i="7"/>
  <c r="M165" i="7" s="1"/>
  <c r="C165" i="7"/>
  <c r="A165" i="7"/>
  <c r="L164" i="7"/>
  <c r="K164" i="7"/>
  <c r="J164" i="7"/>
  <c r="H164" i="7"/>
  <c r="G164" i="7"/>
  <c r="I164" i="7" s="1"/>
  <c r="F164" i="7"/>
  <c r="E164" i="7"/>
  <c r="D164" i="7"/>
  <c r="M164" i="7" s="1"/>
  <c r="C164" i="7"/>
  <c r="A164" i="7"/>
  <c r="L163" i="7"/>
  <c r="K163" i="7"/>
  <c r="J163" i="7"/>
  <c r="H163" i="7"/>
  <c r="G163" i="7"/>
  <c r="I163" i="7" s="1"/>
  <c r="F163" i="7"/>
  <c r="E163" i="7"/>
  <c r="D163" i="7"/>
  <c r="M163" i="7" s="1"/>
  <c r="C163" i="7"/>
  <c r="A163" i="7"/>
  <c r="L162" i="7"/>
  <c r="K162" i="7"/>
  <c r="J162" i="7"/>
  <c r="H162" i="7"/>
  <c r="G162" i="7"/>
  <c r="I162" i="7" s="1"/>
  <c r="F162" i="7"/>
  <c r="E162" i="7"/>
  <c r="D162" i="7"/>
  <c r="M162" i="7" s="1"/>
  <c r="C162" i="7"/>
  <c r="A162" i="7"/>
  <c r="L161" i="7"/>
  <c r="K161" i="7"/>
  <c r="J161" i="7"/>
  <c r="H161" i="7"/>
  <c r="G161" i="7"/>
  <c r="I161" i="7" s="1"/>
  <c r="F161" i="7"/>
  <c r="E161" i="7"/>
  <c r="D161" i="7"/>
  <c r="M161" i="7" s="1"/>
  <c r="C161" i="7"/>
  <c r="A161" i="7"/>
  <c r="L160" i="7"/>
  <c r="K160" i="7"/>
  <c r="J160" i="7"/>
  <c r="H160" i="7"/>
  <c r="G160" i="7"/>
  <c r="I160" i="7" s="1"/>
  <c r="F160" i="7"/>
  <c r="E160" i="7"/>
  <c r="D160" i="7"/>
  <c r="M160" i="7" s="1"/>
  <c r="C160" i="7"/>
  <c r="A160" i="7"/>
  <c r="L159" i="7"/>
  <c r="K159" i="7"/>
  <c r="J159" i="7"/>
  <c r="H159" i="7"/>
  <c r="G159" i="7"/>
  <c r="I159" i="7" s="1"/>
  <c r="F159" i="7"/>
  <c r="E159" i="7"/>
  <c r="D159" i="7"/>
  <c r="M159" i="7" s="1"/>
  <c r="C159" i="7"/>
  <c r="A159" i="7"/>
  <c r="L158" i="7"/>
  <c r="K158" i="7"/>
  <c r="J158" i="7"/>
  <c r="H158" i="7"/>
  <c r="G158" i="7"/>
  <c r="I158" i="7" s="1"/>
  <c r="F158" i="7"/>
  <c r="E158" i="7"/>
  <c r="D158" i="7"/>
  <c r="M158" i="7" s="1"/>
  <c r="C158" i="7"/>
  <c r="A158" i="7"/>
  <c r="L157" i="7"/>
  <c r="K157" i="7"/>
  <c r="J157" i="7"/>
  <c r="H157" i="7"/>
  <c r="G157" i="7"/>
  <c r="I157" i="7" s="1"/>
  <c r="F157" i="7"/>
  <c r="E157" i="7"/>
  <c r="D157" i="7"/>
  <c r="M157" i="7" s="1"/>
  <c r="C157" i="7"/>
  <c r="A157" i="7"/>
  <c r="L156" i="7"/>
  <c r="K156" i="7"/>
  <c r="J156" i="7"/>
  <c r="H156" i="7"/>
  <c r="G156" i="7"/>
  <c r="I156" i="7" s="1"/>
  <c r="F156" i="7"/>
  <c r="E156" i="7"/>
  <c r="D156" i="7"/>
  <c r="M156" i="7" s="1"/>
  <c r="C156" i="7"/>
  <c r="A156" i="7"/>
  <c r="L155" i="7"/>
  <c r="I155" i="7" s="1"/>
  <c r="K155" i="7"/>
  <c r="J155" i="7"/>
  <c r="H155" i="7"/>
  <c r="G155" i="7"/>
  <c r="F155" i="7"/>
  <c r="E155" i="7"/>
  <c r="D155" i="7"/>
  <c r="M155" i="7" s="1"/>
  <c r="C155" i="7"/>
  <c r="A155" i="7"/>
  <c r="L154" i="7"/>
  <c r="K154" i="7"/>
  <c r="J154" i="7"/>
  <c r="H154" i="7"/>
  <c r="G154" i="7"/>
  <c r="F154" i="7"/>
  <c r="E154" i="7"/>
  <c r="D154" i="7"/>
  <c r="M154" i="7" s="1"/>
  <c r="C154" i="7"/>
  <c r="A154" i="7"/>
  <c r="L153" i="7"/>
  <c r="K153" i="7"/>
  <c r="J153" i="7"/>
  <c r="H153" i="7"/>
  <c r="G153" i="7"/>
  <c r="F153" i="7"/>
  <c r="E153" i="7"/>
  <c r="D153" i="7"/>
  <c r="M153" i="7" s="1"/>
  <c r="C153" i="7"/>
  <c r="A153" i="7"/>
  <c r="L152" i="7"/>
  <c r="K152" i="7"/>
  <c r="J152" i="7"/>
  <c r="H152" i="7"/>
  <c r="G152" i="7"/>
  <c r="F152" i="7"/>
  <c r="E152" i="7"/>
  <c r="D152" i="7"/>
  <c r="M152" i="7" s="1"/>
  <c r="C152" i="7"/>
  <c r="A152" i="7"/>
  <c r="L151" i="7"/>
  <c r="K151" i="7"/>
  <c r="J151" i="7"/>
  <c r="H151" i="7"/>
  <c r="G151" i="7"/>
  <c r="F151" i="7"/>
  <c r="E151" i="7"/>
  <c r="D151" i="7"/>
  <c r="M151" i="7" s="1"/>
  <c r="C151" i="7"/>
  <c r="A151" i="7"/>
  <c r="L150" i="7"/>
  <c r="K150" i="7"/>
  <c r="J150" i="7"/>
  <c r="H150" i="7"/>
  <c r="G150" i="7"/>
  <c r="F150" i="7"/>
  <c r="E150" i="7"/>
  <c r="D150" i="7"/>
  <c r="M150" i="7" s="1"/>
  <c r="C150" i="7"/>
  <c r="A150" i="7"/>
  <c r="L149" i="7"/>
  <c r="K149" i="7"/>
  <c r="J149" i="7"/>
  <c r="H149" i="7"/>
  <c r="G149" i="7"/>
  <c r="F149" i="7"/>
  <c r="E149" i="7"/>
  <c r="D149" i="7"/>
  <c r="M149" i="7" s="1"/>
  <c r="C149" i="7"/>
  <c r="A149" i="7"/>
  <c r="L148" i="7"/>
  <c r="K148" i="7"/>
  <c r="J148" i="7"/>
  <c r="H148" i="7"/>
  <c r="G148" i="7"/>
  <c r="F148" i="7"/>
  <c r="E148" i="7"/>
  <c r="D148" i="7"/>
  <c r="M148" i="7" s="1"/>
  <c r="C148" i="7"/>
  <c r="A148" i="7"/>
  <c r="L147" i="7"/>
  <c r="K147" i="7"/>
  <c r="J147" i="7"/>
  <c r="H147" i="7"/>
  <c r="G147" i="7"/>
  <c r="F147" i="7"/>
  <c r="E147" i="7"/>
  <c r="D147" i="7"/>
  <c r="M147" i="7" s="1"/>
  <c r="C147" i="7"/>
  <c r="A147" i="7"/>
  <c r="L146" i="7"/>
  <c r="K146" i="7"/>
  <c r="J146" i="7"/>
  <c r="H146" i="7"/>
  <c r="G146" i="7"/>
  <c r="F146" i="7"/>
  <c r="E146" i="7"/>
  <c r="D146" i="7"/>
  <c r="M146" i="7" s="1"/>
  <c r="C146" i="7"/>
  <c r="A146" i="7"/>
  <c r="L145" i="7"/>
  <c r="K145" i="7"/>
  <c r="J145" i="7"/>
  <c r="H145" i="7"/>
  <c r="G145" i="7"/>
  <c r="F145" i="7"/>
  <c r="E145" i="7"/>
  <c r="D145" i="7"/>
  <c r="M145" i="7" s="1"/>
  <c r="C145" i="7"/>
  <c r="A145" i="7"/>
  <c r="L144" i="7"/>
  <c r="K144" i="7"/>
  <c r="J144" i="7"/>
  <c r="H144" i="7"/>
  <c r="G144" i="7"/>
  <c r="F144" i="7"/>
  <c r="E144" i="7"/>
  <c r="D144" i="7"/>
  <c r="M144" i="7" s="1"/>
  <c r="C144" i="7"/>
  <c r="A144" i="7"/>
  <c r="L143" i="7"/>
  <c r="K143" i="7"/>
  <c r="J143" i="7"/>
  <c r="H143" i="7"/>
  <c r="G143" i="7"/>
  <c r="F143" i="7"/>
  <c r="E143" i="7"/>
  <c r="D143" i="7"/>
  <c r="M143" i="7" s="1"/>
  <c r="C143" i="7"/>
  <c r="A143" i="7"/>
  <c r="L142" i="7"/>
  <c r="K142" i="7"/>
  <c r="J142" i="7"/>
  <c r="H142" i="7"/>
  <c r="G142" i="7"/>
  <c r="F142" i="7"/>
  <c r="E142" i="7"/>
  <c r="D142" i="7"/>
  <c r="C142" i="7"/>
  <c r="A142" i="7"/>
  <c r="L141" i="7"/>
  <c r="K141" i="7"/>
  <c r="J141" i="7"/>
  <c r="H141" i="7"/>
  <c r="G141" i="7"/>
  <c r="F141" i="7"/>
  <c r="E141" i="7"/>
  <c r="D141" i="7"/>
  <c r="C141" i="7"/>
  <c r="A141" i="7"/>
  <c r="L140" i="7"/>
  <c r="K140" i="7"/>
  <c r="J140" i="7"/>
  <c r="H140" i="7"/>
  <c r="G140" i="7"/>
  <c r="F140" i="7"/>
  <c r="E140" i="7"/>
  <c r="D140" i="7"/>
  <c r="C140" i="7"/>
  <c r="A140" i="7"/>
  <c r="L139" i="7"/>
  <c r="K139" i="7"/>
  <c r="J139" i="7"/>
  <c r="H139" i="7"/>
  <c r="G139" i="7"/>
  <c r="F139" i="7"/>
  <c r="E139" i="7"/>
  <c r="D139" i="7"/>
  <c r="C139" i="7"/>
  <c r="A139" i="7"/>
  <c r="L138" i="7"/>
  <c r="K138" i="7"/>
  <c r="J138" i="7"/>
  <c r="H138" i="7"/>
  <c r="G138" i="7"/>
  <c r="F138" i="7"/>
  <c r="E138" i="7"/>
  <c r="D138" i="7"/>
  <c r="C138" i="7"/>
  <c r="A138" i="7"/>
  <c r="L137" i="7"/>
  <c r="K137" i="7"/>
  <c r="J137" i="7"/>
  <c r="H137" i="7"/>
  <c r="G137" i="7"/>
  <c r="F137" i="7"/>
  <c r="E137" i="7"/>
  <c r="D137" i="7"/>
  <c r="C137" i="7"/>
  <c r="A137" i="7"/>
  <c r="L136" i="7"/>
  <c r="K136" i="7"/>
  <c r="J136" i="7"/>
  <c r="H136" i="7"/>
  <c r="G136" i="7"/>
  <c r="F136" i="7"/>
  <c r="E136" i="7"/>
  <c r="D136" i="7"/>
  <c r="C136" i="7"/>
  <c r="A136" i="7"/>
  <c r="L135" i="7"/>
  <c r="K135" i="7"/>
  <c r="J135" i="7"/>
  <c r="H135" i="7"/>
  <c r="G135" i="7"/>
  <c r="F135" i="7"/>
  <c r="E135" i="7"/>
  <c r="D135" i="7"/>
  <c r="C135" i="7"/>
  <c r="A135" i="7"/>
  <c r="L134" i="7"/>
  <c r="K134" i="7"/>
  <c r="J134" i="7"/>
  <c r="H134" i="7"/>
  <c r="G134" i="7"/>
  <c r="I134" i="7" s="1"/>
  <c r="F134" i="7"/>
  <c r="E134" i="7"/>
  <c r="D134" i="7"/>
  <c r="C134" i="7"/>
  <c r="A134" i="7"/>
  <c r="L133" i="7"/>
  <c r="K133" i="7"/>
  <c r="J133" i="7"/>
  <c r="H133" i="7"/>
  <c r="G133" i="7"/>
  <c r="I133" i="7" s="1"/>
  <c r="F133" i="7"/>
  <c r="E133" i="7"/>
  <c r="D133" i="7"/>
  <c r="C133" i="7"/>
  <c r="A133" i="7"/>
  <c r="L132" i="7"/>
  <c r="K132" i="7"/>
  <c r="J132" i="7"/>
  <c r="H132" i="7"/>
  <c r="G132" i="7"/>
  <c r="I132" i="7" s="1"/>
  <c r="F132" i="7"/>
  <c r="E132" i="7"/>
  <c r="D132" i="7"/>
  <c r="C132" i="7"/>
  <c r="A132" i="7"/>
  <c r="L131" i="7"/>
  <c r="K131" i="7"/>
  <c r="J131" i="7"/>
  <c r="H131" i="7"/>
  <c r="G131" i="7"/>
  <c r="I131" i="7" s="1"/>
  <c r="F131" i="7"/>
  <c r="E131" i="7"/>
  <c r="D131" i="7"/>
  <c r="C131" i="7"/>
  <c r="A131" i="7"/>
  <c r="C125" i="7"/>
  <c r="J124" i="7"/>
  <c r="C124" i="7"/>
  <c r="J123" i="7"/>
  <c r="C123" i="7"/>
  <c r="L120" i="7"/>
  <c r="K120" i="7"/>
  <c r="J120" i="7"/>
  <c r="I120" i="7"/>
  <c r="H120" i="7"/>
  <c r="G120" i="7"/>
  <c r="F120" i="7"/>
  <c r="E120" i="7"/>
  <c r="D120" i="7"/>
  <c r="C120" i="7"/>
  <c r="A120" i="7"/>
  <c r="L119" i="7"/>
  <c r="K119" i="7"/>
  <c r="J119" i="7"/>
  <c r="I119" i="7"/>
  <c r="H119" i="7"/>
  <c r="G119" i="7"/>
  <c r="F119" i="7"/>
  <c r="E119" i="7"/>
  <c r="D119" i="7"/>
  <c r="C119" i="7"/>
  <c r="A119" i="7"/>
  <c r="L118" i="7"/>
  <c r="K118" i="7"/>
  <c r="J118" i="7"/>
  <c r="I118" i="7"/>
  <c r="H118" i="7"/>
  <c r="G118" i="7"/>
  <c r="F118" i="7"/>
  <c r="E118" i="7"/>
  <c r="D118" i="7"/>
  <c r="C118" i="7"/>
  <c r="A118" i="7"/>
  <c r="L117" i="7"/>
  <c r="K117" i="7"/>
  <c r="J117" i="7"/>
  <c r="I117" i="7"/>
  <c r="H117" i="7"/>
  <c r="G117" i="7"/>
  <c r="F117" i="7"/>
  <c r="E117" i="7"/>
  <c r="D117" i="7"/>
  <c r="C117" i="7"/>
  <c r="A117" i="7"/>
  <c r="L116" i="7"/>
  <c r="K116" i="7"/>
  <c r="J116" i="7"/>
  <c r="I116" i="7"/>
  <c r="H116" i="7"/>
  <c r="G116" i="7"/>
  <c r="F116" i="7"/>
  <c r="E116" i="7"/>
  <c r="D116" i="7"/>
  <c r="C116" i="7"/>
  <c r="A116" i="7"/>
  <c r="L115" i="7"/>
  <c r="K115" i="7"/>
  <c r="J115" i="7"/>
  <c r="I115" i="7"/>
  <c r="H115" i="7"/>
  <c r="G115" i="7"/>
  <c r="F115" i="7"/>
  <c r="E115" i="7"/>
  <c r="D115" i="7"/>
  <c r="C115" i="7"/>
  <c r="A115" i="7"/>
  <c r="L114" i="7"/>
  <c r="K114" i="7"/>
  <c r="J114" i="7"/>
  <c r="I114" i="7"/>
  <c r="H114" i="7"/>
  <c r="G114" i="7"/>
  <c r="F114" i="7"/>
  <c r="E114" i="7"/>
  <c r="D114" i="7"/>
  <c r="C114" i="7"/>
  <c r="A114" i="7"/>
  <c r="L113" i="7"/>
  <c r="K113" i="7"/>
  <c r="J113" i="7"/>
  <c r="I113" i="7"/>
  <c r="H113" i="7"/>
  <c r="G113" i="7"/>
  <c r="F113" i="7"/>
  <c r="E113" i="7"/>
  <c r="D113" i="7"/>
  <c r="C113" i="7"/>
  <c r="A113" i="7"/>
  <c r="L112" i="7"/>
  <c r="K112" i="7"/>
  <c r="J112" i="7"/>
  <c r="I112" i="7"/>
  <c r="H112" i="7"/>
  <c r="G112" i="7"/>
  <c r="F112" i="7"/>
  <c r="E112" i="7"/>
  <c r="D112" i="7"/>
  <c r="C112" i="7"/>
  <c r="A112" i="7"/>
  <c r="L111" i="7"/>
  <c r="K111" i="7"/>
  <c r="J111" i="7"/>
  <c r="I111" i="7"/>
  <c r="H111" i="7"/>
  <c r="G111" i="7"/>
  <c r="F111" i="7"/>
  <c r="E111" i="7"/>
  <c r="D111" i="7"/>
  <c r="C111" i="7"/>
  <c r="A111" i="7"/>
  <c r="L110" i="7"/>
  <c r="K110" i="7"/>
  <c r="J110" i="7"/>
  <c r="I110" i="7"/>
  <c r="H110" i="7"/>
  <c r="G110" i="7"/>
  <c r="F110" i="7"/>
  <c r="E110" i="7"/>
  <c r="D110" i="7"/>
  <c r="C110" i="7"/>
  <c r="A110" i="7"/>
  <c r="L109" i="7"/>
  <c r="K109" i="7"/>
  <c r="J109" i="7"/>
  <c r="I109" i="7"/>
  <c r="H109" i="7"/>
  <c r="G109" i="7"/>
  <c r="F109" i="7"/>
  <c r="E109" i="7"/>
  <c r="D109" i="7"/>
  <c r="C109" i="7"/>
  <c r="A109" i="7"/>
  <c r="L108" i="7"/>
  <c r="K108" i="7"/>
  <c r="J108" i="7"/>
  <c r="I108" i="7"/>
  <c r="H108" i="7"/>
  <c r="G108" i="7"/>
  <c r="F108" i="7"/>
  <c r="E108" i="7"/>
  <c r="D108" i="7"/>
  <c r="C108" i="7"/>
  <c r="A108" i="7"/>
  <c r="L107" i="7"/>
  <c r="K107" i="7"/>
  <c r="J107" i="7"/>
  <c r="I107" i="7"/>
  <c r="H107" i="7"/>
  <c r="G107" i="7"/>
  <c r="F107" i="7"/>
  <c r="E107" i="7"/>
  <c r="D107" i="7"/>
  <c r="C107" i="7"/>
  <c r="A107" i="7"/>
  <c r="L106" i="7"/>
  <c r="K106" i="7"/>
  <c r="J106" i="7"/>
  <c r="I106" i="7"/>
  <c r="H106" i="7"/>
  <c r="G106" i="7"/>
  <c r="F106" i="7"/>
  <c r="E106" i="7"/>
  <c r="D106" i="7"/>
  <c r="C106" i="7"/>
  <c r="A106" i="7"/>
  <c r="L105" i="7"/>
  <c r="K105" i="7"/>
  <c r="J105" i="7"/>
  <c r="I105" i="7"/>
  <c r="H105" i="7"/>
  <c r="G105" i="7"/>
  <c r="F105" i="7"/>
  <c r="E105" i="7"/>
  <c r="D105" i="7"/>
  <c r="C105" i="7"/>
  <c r="A105" i="7"/>
  <c r="L104" i="7"/>
  <c r="K104" i="7"/>
  <c r="J104" i="7"/>
  <c r="I104" i="7"/>
  <c r="H104" i="7"/>
  <c r="G104" i="7"/>
  <c r="F104" i="7"/>
  <c r="E104" i="7"/>
  <c r="D104" i="7"/>
  <c r="C104" i="7"/>
  <c r="A104" i="7"/>
  <c r="L103" i="7"/>
  <c r="K103" i="7"/>
  <c r="J103" i="7"/>
  <c r="I103" i="7"/>
  <c r="H103" i="7"/>
  <c r="G103" i="7"/>
  <c r="F103" i="7"/>
  <c r="E103" i="7"/>
  <c r="D103" i="7"/>
  <c r="C103" i="7"/>
  <c r="A103" i="7"/>
  <c r="L102" i="7"/>
  <c r="K102" i="7"/>
  <c r="J102" i="7"/>
  <c r="I102" i="7"/>
  <c r="H102" i="7"/>
  <c r="G102" i="7"/>
  <c r="F102" i="7"/>
  <c r="E102" i="7"/>
  <c r="D102" i="7"/>
  <c r="C102" i="7"/>
  <c r="A102" i="7"/>
  <c r="L101" i="7"/>
  <c r="K101" i="7"/>
  <c r="J101" i="7"/>
  <c r="I101" i="7"/>
  <c r="H101" i="7"/>
  <c r="G101" i="7"/>
  <c r="F101" i="7"/>
  <c r="E101" i="7"/>
  <c r="D101" i="7"/>
  <c r="C101" i="7"/>
  <c r="A101" i="7"/>
  <c r="L100" i="7"/>
  <c r="K100" i="7"/>
  <c r="J100" i="7"/>
  <c r="I100" i="7"/>
  <c r="H100" i="7"/>
  <c r="G100" i="7"/>
  <c r="F100" i="7"/>
  <c r="E100" i="7"/>
  <c r="D100" i="7"/>
  <c r="C100" i="7"/>
  <c r="A100" i="7"/>
  <c r="L99" i="7"/>
  <c r="K99" i="7"/>
  <c r="J99" i="7"/>
  <c r="I99" i="7"/>
  <c r="H99" i="7"/>
  <c r="G99" i="7"/>
  <c r="F99" i="7"/>
  <c r="E99" i="7"/>
  <c r="D99" i="7"/>
  <c r="C99" i="7"/>
  <c r="A99" i="7"/>
  <c r="L98" i="7"/>
  <c r="K98" i="7"/>
  <c r="J98" i="7"/>
  <c r="I98" i="7"/>
  <c r="H98" i="7"/>
  <c r="G98" i="7"/>
  <c r="F98" i="7"/>
  <c r="E98" i="7"/>
  <c r="D98" i="7"/>
  <c r="C98" i="7"/>
  <c r="A98" i="7"/>
  <c r="L97" i="7"/>
  <c r="K97" i="7"/>
  <c r="J97" i="7"/>
  <c r="I97" i="7"/>
  <c r="H97" i="7"/>
  <c r="G97" i="7"/>
  <c r="F97" i="7"/>
  <c r="E97" i="7"/>
  <c r="D97" i="7"/>
  <c r="C97" i="7"/>
  <c r="A97" i="7"/>
  <c r="L96" i="7"/>
  <c r="K96" i="7"/>
  <c r="J96" i="7"/>
  <c r="I96" i="7"/>
  <c r="H96" i="7"/>
  <c r="G96" i="7"/>
  <c r="F96" i="7"/>
  <c r="E96" i="7"/>
  <c r="D96" i="7"/>
  <c r="C96" i="7"/>
  <c r="A96" i="7"/>
  <c r="L95" i="7"/>
  <c r="K95" i="7"/>
  <c r="J95" i="7"/>
  <c r="I95" i="7"/>
  <c r="H95" i="7"/>
  <c r="G95" i="7"/>
  <c r="F95" i="7"/>
  <c r="E95" i="7"/>
  <c r="D95" i="7"/>
  <c r="C95" i="7"/>
  <c r="A95" i="7"/>
  <c r="L94" i="7"/>
  <c r="K94" i="7"/>
  <c r="J94" i="7"/>
  <c r="I94" i="7"/>
  <c r="H94" i="7"/>
  <c r="G94" i="7"/>
  <c r="F94" i="7"/>
  <c r="E94" i="7"/>
  <c r="D94" i="7"/>
  <c r="C94" i="7"/>
  <c r="A94" i="7"/>
  <c r="L93" i="7"/>
  <c r="K93" i="7"/>
  <c r="J93" i="7"/>
  <c r="I93" i="7"/>
  <c r="H93" i="7"/>
  <c r="G93" i="7"/>
  <c r="F93" i="7"/>
  <c r="E93" i="7"/>
  <c r="D93" i="7"/>
  <c r="C93" i="7"/>
  <c r="A93" i="7"/>
  <c r="L92" i="7"/>
  <c r="K92" i="7"/>
  <c r="J92" i="7"/>
  <c r="I92" i="7"/>
  <c r="H92" i="7"/>
  <c r="G92" i="7"/>
  <c r="F92" i="7"/>
  <c r="E92" i="7"/>
  <c r="D92" i="7"/>
  <c r="C92" i="7"/>
  <c r="A92" i="7"/>
  <c r="L91" i="7"/>
  <c r="K91" i="7"/>
  <c r="J91" i="7"/>
  <c r="I91" i="7"/>
  <c r="H91" i="7"/>
  <c r="G91" i="7"/>
  <c r="F91" i="7"/>
  <c r="E91" i="7"/>
  <c r="D91" i="7"/>
  <c r="C91" i="7"/>
  <c r="A91" i="7"/>
  <c r="L90" i="7"/>
  <c r="K90" i="7"/>
  <c r="J90" i="7"/>
  <c r="I90" i="7"/>
  <c r="H90" i="7"/>
  <c r="G90" i="7"/>
  <c r="F90" i="7"/>
  <c r="E90" i="7"/>
  <c r="D90" i="7"/>
  <c r="C90" i="7"/>
  <c r="A90" i="7"/>
  <c r="L89" i="7"/>
  <c r="K89" i="7"/>
  <c r="J89" i="7"/>
  <c r="I89" i="7"/>
  <c r="H89" i="7"/>
  <c r="G89" i="7"/>
  <c r="F89" i="7"/>
  <c r="E89" i="7"/>
  <c r="D89" i="7"/>
  <c r="C89" i="7"/>
  <c r="A89" i="7"/>
  <c r="L88" i="7"/>
  <c r="K88" i="7"/>
  <c r="J88" i="7"/>
  <c r="I88" i="7"/>
  <c r="H88" i="7"/>
  <c r="G88" i="7"/>
  <c r="F88" i="7"/>
  <c r="E88" i="7"/>
  <c r="D88" i="7"/>
  <c r="C88" i="7"/>
  <c r="A88" i="7"/>
  <c r="L87" i="7"/>
  <c r="K87" i="7"/>
  <c r="J87" i="7"/>
  <c r="I87" i="7"/>
  <c r="H87" i="7"/>
  <c r="G87" i="7"/>
  <c r="F87" i="7"/>
  <c r="E87" i="7"/>
  <c r="D87" i="7"/>
  <c r="C87" i="7"/>
  <c r="A87" i="7"/>
  <c r="L86" i="7"/>
  <c r="K86" i="7"/>
  <c r="J86" i="7"/>
  <c r="I86" i="7"/>
  <c r="H86" i="7"/>
  <c r="G86" i="7"/>
  <c r="F86" i="7"/>
  <c r="E86" i="7"/>
  <c r="D86" i="7"/>
  <c r="C86" i="7"/>
  <c r="A86" i="7"/>
  <c r="L85" i="7"/>
  <c r="K85" i="7"/>
  <c r="J85" i="7"/>
  <c r="I85" i="7"/>
  <c r="H85" i="7"/>
  <c r="G85" i="7"/>
  <c r="F85" i="7"/>
  <c r="E85" i="7"/>
  <c r="D85" i="7"/>
  <c r="C85" i="7"/>
  <c r="A85" i="7"/>
  <c r="L84" i="7"/>
  <c r="K84" i="7"/>
  <c r="J84" i="7"/>
  <c r="I84" i="7"/>
  <c r="H84" i="7"/>
  <c r="G84" i="7"/>
  <c r="F84" i="7"/>
  <c r="E84" i="7"/>
  <c r="D84" i="7"/>
  <c r="C84" i="7"/>
  <c r="A84" i="7"/>
  <c r="L83" i="7"/>
  <c r="K83" i="7"/>
  <c r="J83" i="7"/>
  <c r="I83" i="7"/>
  <c r="H83" i="7"/>
  <c r="G83" i="7"/>
  <c r="F83" i="7"/>
  <c r="E83" i="7"/>
  <c r="D83" i="7"/>
  <c r="C83" i="7"/>
  <c r="A83" i="7"/>
  <c r="L82" i="7"/>
  <c r="K82" i="7"/>
  <c r="J82" i="7"/>
  <c r="I82" i="7"/>
  <c r="H82" i="7"/>
  <c r="G82" i="7"/>
  <c r="F82" i="7"/>
  <c r="E82" i="7"/>
  <c r="D82" i="7"/>
  <c r="C82" i="7"/>
  <c r="A82" i="7"/>
  <c r="L81" i="7"/>
  <c r="K81" i="7"/>
  <c r="J81" i="7"/>
  <c r="I81" i="7"/>
  <c r="H81" i="7"/>
  <c r="G81" i="7"/>
  <c r="F81" i="7"/>
  <c r="E81" i="7"/>
  <c r="D81" i="7"/>
  <c r="C81" i="7"/>
  <c r="A81" i="7"/>
  <c r="L80" i="7"/>
  <c r="K80" i="7"/>
  <c r="J80" i="7"/>
  <c r="I80" i="7"/>
  <c r="H80" i="7"/>
  <c r="G80" i="7"/>
  <c r="F80" i="7"/>
  <c r="E80" i="7"/>
  <c r="D80" i="7"/>
  <c r="C80" i="7"/>
  <c r="A80" i="7"/>
  <c r="L79" i="7"/>
  <c r="K79" i="7"/>
  <c r="J79" i="7"/>
  <c r="I79" i="7"/>
  <c r="H79" i="7"/>
  <c r="G79" i="7"/>
  <c r="F79" i="7"/>
  <c r="E79" i="7"/>
  <c r="D79" i="7"/>
  <c r="C79" i="7"/>
  <c r="A79" i="7"/>
  <c r="L78" i="7"/>
  <c r="K78" i="7"/>
  <c r="J78" i="7"/>
  <c r="I78" i="7"/>
  <c r="H78" i="7"/>
  <c r="G78" i="7"/>
  <c r="F78" i="7"/>
  <c r="E78" i="7"/>
  <c r="D78" i="7"/>
  <c r="C78" i="7"/>
  <c r="A78" i="7"/>
  <c r="L77" i="7"/>
  <c r="K77" i="7"/>
  <c r="J77" i="7"/>
  <c r="I77" i="7"/>
  <c r="H77" i="7"/>
  <c r="G77" i="7"/>
  <c r="F77" i="7"/>
  <c r="E77" i="7"/>
  <c r="D77" i="7"/>
  <c r="C77" i="7"/>
  <c r="A77" i="7"/>
  <c r="L76" i="7"/>
  <c r="K76" i="7"/>
  <c r="J76" i="7"/>
  <c r="I76" i="7"/>
  <c r="H76" i="7"/>
  <c r="G76" i="7"/>
  <c r="F76" i="7"/>
  <c r="E76" i="7"/>
  <c r="D76" i="7"/>
  <c r="C76" i="7"/>
  <c r="A76" i="7"/>
  <c r="L75" i="7"/>
  <c r="K75" i="7"/>
  <c r="J75" i="7"/>
  <c r="I75" i="7"/>
  <c r="H75" i="7"/>
  <c r="G75" i="7"/>
  <c r="F75" i="7"/>
  <c r="E75" i="7"/>
  <c r="D75" i="7"/>
  <c r="C75" i="7"/>
  <c r="A75" i="7"/>
  <c r="L74" i="7"/>
  <c r="K74" i="7"/>
  <c r="J74" i="7"/>
  <c r="I74" i="7"/>
  <c r="H74" i="7"/>
  <c r="G74" i="7"/>
  <c r="F74" i="7"/>
  <c r="E74" i="7"/>
  <c r="D74" i="7"/>
  <c r="C74" i="7"/>
  <c r="A74" i="7"/>
  <c r="L73" i="7"/>
  <c r="K73" i="7"/>
  <c r="J73" i="7"/>
  <c r="I73" i="7"/>
  <c r="H73" i="7"/>
  <c r="G73" i="7"/>
  <c r="F73" i="7"/>
  <c r="E73" i="7"/>
  <c r="D73" i="7"/>
  <c r="C73" i="7"/>
  <c r="A73" i="7"/>
  <c r="L72" i="7"/>
  <c r="K72" i="7"/>
  <c r="J72" i="7"/>
  <c r="I72" i="7"/>
  <c r="H72" i="7"/>
  <c r="G72" i="7"/>
  <c r="F72" i="7"/>
  <c r="E72" i="7"/>
  <c r="D72" i="7"/>
  <c r="C72" i="7"/>
  <c r="A72" i="7"/>
  <c r="L71" i="7"/>
  <c r="K71" i="7"/>
  <c r="J71" i="7"/>
  <c r="I71" i="7"/>
  <c r="H71" i="7"/>
  <c r="G71" i="7"/>
  <c r="F71" i="7"/>
  <c r="E71" i="7"/>
  <c r="D71" i="7"/>
  <c r="C71" i="7"/>
  <c r="A71" i="7"/>
  <c r="O66" i="7"/>
  <c r="N66" i="7"/>
  <c r="O65" i="7"/>
  <c r="N65" i="7"/>
  <c r="C65" i="7"/>
  <c r="O64" i="7"/>
  <c r="N64" i="7"/>
  <c r="J64" i="7"/>
  <c r="C64" i="7"/>
  <c r="O63" i="7"/>
  <c r="N63" i="7"/>
  <c r="J63" i="7"/>
  <c r="C63" i="7"/>
  <c r="O62" i="7"/>
  <c r="N62" i="7"/>
  <c r="O61" i="7"/>
  <c r="N61" i="7"/>
  <c r="G59" i="7"/>
  <c r="O60" i="7"/>
  <c r="F60" i="7"/>
  <c r="N60" i="7" s="1"/>
  <c r="L60" i="7"/>
  <c r="K60" i="7"/>
  <c r="J60" i="7"/>
  <c r="I60" i="7"/>
  <c r="H60" i="7"/>
  <c r="G60" i="7"/>
  <c r="E60" i="7"/>
  <c r="D60" i="7"/>
  <c r="C60" i="7"/>
  <c r="A60" i="7"/>
  <c r="G58" i="7"/>
  <c r="O59" i="7"/>
  <c r="F59" i="7"/>
  <c r="N59" i="7"/>
  <c r="L59" i="7"/>
  <c r="K59" i="7"/>
  <c r="J59" i="7"/>
  <c r="I59" i="7"/>
  <c r="H59" i="7"/>
  <c r="E59" i="7"/>
  <c r="D59" i="7"/>
  <c r="C59" i="7"/>
  <c r="A59" i="7"/>
  <c r="G57" i="7"/>
  <c r="O58" i="7"/>
  <c r="F58" i="7"/>
  <c r="N58" i="7"/>
  <c r="L58" i="7"/>
  <c r="K58" i="7"/>
  <c r="J58" i="7"/>
  <c r="I58" i="7"/>
  <c r="H58" i="7"/>
  <c r="E58" i="7"/>
  <c r="D58" i="7"/>
  <c r="C58" i="7"/>
  <c r="A58" i="7"/>
  <c r="G56" i="7"/>
  <c r="O57" i="7"/>
  <c r="F57" i="7"/>
  <c r="N57" i="7"/>
  <c r="L57" i="7"/>
  <c r="K57" i="7"/>
  <c r="J57" i="7"/>
  <c r="I57" i="7"/>
  <c r="H57" i="7"/>
  <c r="E57" i="7"/>
  <c r="D57" i="7"/>
  <c r="C57" i="7"/>
  <c r="A57" i="7"/>
  <c r="G55" i="7"/>
  <c r="O56" i="7"/>
  <c r="F56" i="7"/>
  <c r="N56" i="7"/>
  <c r="L56" i="7"/>
  <c r="K56" i="7"/>
  <c r="J56" i="7"/>
  <c r="I56" i="7"/>
  <c r="H56" i="7"/>
  <c r="E56" i="7"/>
  <c r="D56" i="7"/>
  <c r="C56" i="7"/>
  <c r="A56" i="7"/>
  <c r="G54" i="7"/>
  <c r="O55" i="7"/>
  <c r="F55" i="7"/>
  <c r="N55" i="7"/>
  <c r="L55" i="7"/>
  <c r="K55" i="7"/>
  <c r="J55" i="7"/>
  <c r="I55" i="7"/>
  <c r="H55" i="7"/>
  <c r="E55" i="7"/>
  <c r="D55" i="7"/>
  <c r="C55" i="7"/>
  <c r="A55" i="7"/>
  <c r="G53" i="7"/>
  <c r="O54" i="7"/>
  <c r="F54" i="7"/>
  <c r="N54" i="7"/>
  <c r="L54" i="7"/>
  <c r="K54" i="7"/>
  <c r="J54" i="7"/>
  <c r="I54" i="7"/>
  <c r="H54" i="7"/>
  <c r="E54" i="7"/>
  <c r="D54" i="7"/>
  <c r="C54" i="7"/>
  <c r="A54" i="7"/>
  <c r="G52" i="7"/>
  <c r="O53" i="7"/>
  <c r="F53" i="7"/>
  <c r="N53" i="7"/>
  <c r="L53" i="7"/>
  <c r="K53" i="7"/>
  <c r="J53" i="7"/>
  <c r="I53" i="7"/>
  <c r="H53" i="7"/>
  <c r="E53" i="7"/>
  <c r="D53" i="7"/>
  <c r="C53" i="7"/>
  <c r="A53" i="7"/>
  <c r="G51" i="7"/>
  <c r="O52" i="7"/>
  <c r="F52" i="7"/>
  <c r="N52" i="7"/>
  <c r="L52" i="7"/>
  <c r="K52" i="7"/>
  <c r="J52" i="7"/>
  <c r="I52" i="7"/>
  <c r="H52" i="7"/>
  <c r="E52" i="7"/>
  <c r="D52" i="7"/>
  <c r="C52" i="7"/>
  <c r="A52" i="7"/>
  <c r="G50" i="7"/>
  <c r="O51" i="7"/>
  <c r="F51" i="7"/>
  <c r="N51" i="7"/>
  <c r="L51" i="7"/>
  <c r="K51" i="7"/>
  <c r="J51" i="7"/>
  <c r="I51" i="7"/>
  <c r="H51" i="7"/>
  <c r="E51" i="7"/>
  <c r="D51" i="7"/>
  <c r="C51" i="7"/>
  <c r="A51" i="7"/>
  <c r="G49" i="7"/>
  <c r="O50" i="7"/>
  <c r="F50" i="7"/>
  <c r="N50" i="7"/>
  <c r="L50" i="7"/>
  <c r="K50" i="7"/>
  <c r="J50" i="7"/>
  <c r="I50" i="7"/>
  <c r="H50" i="7"/>
  <c r="E50" i="7"/>
  <c r="D50" i="7"/>
  <c r="C50" i="7"/>
  <c r="A50" i="7"/>
  <c r="G48" i="7"/>
  <c r="O49" i="7"/>
  <c r="F49" i="7"/>
  <c r="N49" i="7"/>
  <c r="L49" i="7"/>
  <c r="K49" i="7"/>
  <c r="J49" i="7"/>
  <c r="I49" i="7"/>
  <c r="H49" i="7"/>
  <c r="E49" i="7"/>
  <c r="D49" i="7"/>
  <c r="C49" i="7"/>
  <c r="A49" i="7"/>
  <c r="G47" i="7"/>
  <c r="O48" i="7"/>
  <c r="F48" i="7"/>
  <c r="N48" i="7"/>
  <c r="L48" i="7"/>
  <c r="K48" i="7"/>
  <c r="J48" i="7"/>
  <c r="I48" i="7"/>
  <c r="H48" i="7"/>
  <c r="E48" i="7"/>
  <c r="D48" i="7"/>
  <c r="C48" i="7"/>
  <c r="A48" i="7"/>
  <c r="G46" i="7"/>
  <c r="O47" i="7"/>
  <c r="F47" i="7"/>
  <c r="N47" i="7"/>
  <c r="L47" i="7"/>
  <c r="K47" i="7"/>
  <c r="J47" i="7"/>
  <c r="I47" i="7"/>
  <c r="H47" i="7"/>
  <c r="E47" i="7"/>
  <c r="D47" i="7"/>
  <c r="C47" i="7"/>
  <c r="A47" i="7"/>
  <c r="G45" i="7"/>
  <c r="O46" i="7"/>
  <c r="F46" i="7"/>
  <c r="N46" i="7"/>
  <c r="L46" i="7"/>
  <c r="K46" i="7"/>
  <c r="J46" i="7"/>
  <c r="I46" i="7"/>
  <c r="H46" i="7"/>
  <c r="E46" i="7"/>
  <c r="D46" i="7"/>
  <c r="C46" i="7"/>
  <c r="A46" i="7"/>
  <c r="G44" i="7"/>
  <c r="O45" i="7"/>
  <c r="F45" i="7"/>
  <c r="N45" i="7"/>
  <c r="L45" i="7"/>
  <c r="K45" i="7"/>
  <c r="J45" i="7"/>
  <c r="I45" i="7"/>
  <c r="H45" i="7"/>
  <c r="E45" i="7"/>
  <c r="D45" i="7"/>
  <c r="C45" i="7"/>
  <c r="A45" i="7"/>
  <c r="G43" i="7"/>
  <c r="O44" i="7"/>
  <c r="F44" i="7"/>
  <c r="N44" i="7"/>
  <c r="L44" i="7"/>
  <c r="K44" i="7"/>
  <c r="J44" i="7"/>
  <c r="I44" i="7"/>
  <c r="H44" i="7"/>
  <c r="E44" i="7"/>
  <c r="D44" i="7"/>
  <c r="C44" i="7"/>
  <c r="A44" i="7"/>
  <c r="G42" i="7"/>
  <c r="O43" i="7"/>
  <c r="F43" i="7"/>
  <c r="N43" i="7"/>
  <c r="L43" i="7"/>
  <c r="K43" i="7"/>
  <c r="J43" i="7"/>
  <c r="I43" i="7"/>
  <c r="H43" i="7"/>
  <c r="E43" i="7"/>
  <c r="D43" i="7"/>
  <c r="C43" i="7"/>
  <c r="A43" i="7"/>
  <c r="G41" i="7"/>
  <c r="O42" i="7"/>
  <c r="F42" i="7"/>
  <c r="N42" i="7"/>
  <c r="L42" i="7"/>
  <c r="K42" i="7"/>
  <c r="J42" i="7"/>
  <c r="I42" i="7"/>
  <c r="H42" i="7"/>
  <c r="E42" i="7"/>
  <c r="D42" i="7"/>
  <c r="C42" i="7"/>
  <c r="A42" i="7"/>
  <c r="G40" i="7"/>
  <c r="O41" i="7"/>
  <c r="F41" i="7"/>
  <c r="N41" i="7"/>
  <c r="L41" i="7"/>
  <c r="K41" i="7"/>
  <c r="J41" i="7"/>
  <c r="I41" i="7"/>
  <c r="H41" i="7"/>
  <c r="E41" i="7"/>
  <c r="D41" i="7"/>
  <c r="C41" i="7"/>
  <c r="A41" i="7"/>
  <c r="G39" i="7"/>
  <c r="O40" i="7"/>
  <c r="F40" i="7"/>
  <c r="N40" i="7"/>
  <c r="L40" i="7"/>
  <c r="K40" i="7"/>
  <c r="J40" i="7"/>
  <c r="I40" i="7"/>
  <c r="H40" i="7"/>
  <c r="E40" i="7"/>
  <c r="D40" i="7"/>
  <c r="C40" i="7"/>
  <c r="A40" i="7"/>
  <c r="G38" i="7"/>
  <c r="O39" i="7"/>
  <c r="F39" i="7"/>
  <c r="N39" i="7"/>
  <c r="L39" i="7"/>
  <c r="K39" i="7"/>
  <c r="J39" i="7"/>
  <c r="I39" i="7"/>
  <c r="H39" i="7"/>
  <c r="E39" i="7"/>
  <c r="D39" i="7"/>
  <c r="C39" i="7"/>
  <c r="A39" i="7"/>
  <c r="G37" i="7"/>
  <c r="O38" i="7"/>
  <c r="F38" i="7"/>
  <c r="N38" i="7"/>
  <c r="L38" i="7"/>
  <c r="K38" i="7"/>
  <c r="J38" i="7"/>
  <c r="I38" i="7"/>
  <c r="H38" i="7"/>
  <c r="E38" i="7"/>
  <c r="D38" i="7"/>
  <c r="C38" i="7"/>
  <c r="A38" i="7"/>
  <c r="G36" i="7"/>
  <c r="O37" i="7"/>
  <c r="F37" i="7"/>
  <c r="N37" i="7"/>
  <c r="L37" i="7"/>
  <c r="K37" i="7"/>
  <c r="J37" i="7"/>
  <c r="I37" i="7"/>
  <c r="H37" i="7"/>
  <c r="E37" i="7"/>
  <c r="D37" i="7"/>
  <c r="C37" i="7"/>
  <c r="A37" i="7"/>
  <c r="G35" i="7"/>
  <c r="O36" i="7"/>
  <c r="F36" i="7"/>
  <c r="N36" i="7"/>
  <c r="L36" i="7"/>
  <c r="K36" i="7"/>
  <c r="J36" i="7"/>
  <c r="I36" i="7"/>
  <c r="H36" i="7"/>
  <c r="E36" i="7"/>
  <c r="D36" i="7"/>
  <c r="C36" i="7"/>
  <c r="A36" i="7"/>
  <c r="G34" i="7"/>
  <c r="O35" i="7"/>
  <c r="F35" i="7"/>
  <c r="N35" i="7"/>
  <c r="L35" i="7"/>
  <c r="K35" i="7"/>
  <c r="J35" i="7"/>
  <c r="I35" i="7"/>
  <c r="H35" i="7"/>
  <c r="E35" i="7"/>
  <c r="D35" i="7"/>
  <c r="C35" i="7"/>
  <c r="A35" i="7"/>
  <c r="G33" i="7"/>
  <c r="O34" i="7"/>
  <c r="F34" i="7"/>
  <c r="N34" i="7"/>
  <c r="L34" i="7"/>
  <c r="K34" i="7"/>
  <c r="J34" i="7"/>
  <c r="I34" i="7"/>
  <c r="H34" i="7"/>
  <c r="E34" i="7"/>
  <c r="D34" i="7"/>
  <c r="C34" i="7"/>
  <c r="A34" i="7"/>
  <c r="G32" i="7"/>
  <c r="O33" i="7"/>
  <c r="F33" i="7"/>
  <c r="N33" i="7"/>
  <c r="L33" i="7"/>
  <c r="K33" i="7"/>
  <c r="J33" i="7"/>
  <c r="I33" i="7"/>
  <c r="H33" i="7"/>
  <c r="E33" i="7"/>
  <c r="D33" i="7"/>
  <c r="C33" i="7"/>
  <c r="A33" i="7"/>
  <c r="G31" i="7"/>
  <c r="O32" i="7" s="1"/>
  <c r="F32" i="7"/>
  <c r="N32" i="7"/>
  <c r="L32" i="7"/>
  <c r="K32" i="7"/>
  <c r="J32" i="7"/>
  <c r="I32" i="7"/>
  <c r="H32" i="7"/>
  <c r="E32" i="7"/>
  <c r="D32" i="7"/>
  <c r="C32" i="7"/>
  <c r="A32" i="7"/>
  <c r="G30" i="7"/>
  <c r="O31" i="7" s="1"/>
  <c r="F31" i="7"/>
  <c r="N31" i="7"/>
  <c r="L31" i="7"/>
  <c r="K31" i="7"/>
  <c r="J31" i="7"/>
  <c r="I31" i="7"/>
  <c r="H31" i="7"/>
  <c r="E31" i="7"/>
  <c r="D31" i="7"/>
  <c r="C31" i="7"/>
  <c r="A31" i="7"/>
  <c r="G29" i="7"/>
  <c r="O30" i="7"/>
  <c r="F30" i="7"/>
  <c r="N30" i="7"/>
  <c r="L30" i="7"/>
  <c r="K30" i="7"/>
  <c r="J30" i="7"/>
  <c r="I30" i="7"/>
  <c r="H30" i="7"/>
  <c r="E30" i="7"/>
  <c r="D30" i="7"/>
  <c r="C30" i="7"/>
  <c r="A30" i="7"/>
  <c r="G28" i="7"/>
  <c r="O29" i="7" s="1"/>
  <c r="F29" i="7"/>
  <c r="N29" i="7" s="1"/>
  <c r="L29" i="7"/>
  <c r="K29" i="7"/>
  <c r="J29" i="7"/>
  <c r="I29" i="7"/>
  <c r="H29" i="7"/>
  <c r="E29" i="7"/>
  <c r="D29" i="7"/>
  <c r="C29" i="7"/>
  <c r="A29" i="7"/>
  <c r="G27" i="7"/>
  <c r="O28" i="7"/>
  <c r="F28" i="7"/>
  <c r="N28" i="7"/>
  <c r="L28" i="7"/>
  <c r="K28" i="7"/>
  <c r="J28" i="7"/>
  <c r="I28" i="7"/>
  <c r="H28" i="7"/>
  <c r="E28" i="7"/>
  <c r="D28" i="7"/>
  <c r="C28" i="7"/>
  <c r="A28" i="7"/>
  <c r="G26" i="7"/>
  <c r="O27" i="7"/>
  <c r="F27" i="7"/>
  <c r="N27" i="7"/>
  <c r="L27" i="7"/>
  <c r="K27" i="7"/>
  <c r="J27" i="7"/>
  <c r="I27" i="7"/>
  <c r="H27" i="7"/>
  <c r="E27" i="7"/>
  <c r="D27" i="7"/>
  <c r="C27" i="7"/>
  <c r="A27" i="7"/>
  <c r="G25" i="7"/>
  <c r="O26" i="7"/>
  <c r="F26" i="7"/>
  <c r="N26" i="7"/>
  <c r="L26" i="7"/>
  <c r="K26" i="7"/>
  <c r="J26" i="7"/>
  <c r="I26" i="7"/>
  <c r="H26" i="7"/>
  <c r="E26" i="7"/>
  <c r="D26" i="7"/>
  <c r="C26" i="7"/>
  <c r="A26" i="7"/>
  <c r="G24" i="7"/>
  <c r="O25" i="7"/>
  <c r="F25" i="7"/>
  <c r="N25" i="7"/>
  <c r="L25" i="7"/>
  <c r="K25" i="7"/>
  <c r="J25" i="7"/>
  <c r="I25" i="7"/>
  <c r="H25" i="7"/>
  <c r="E25" i="7"/>
  <c r="D25" i="7"/>
  <c r="C25" i="7"/>
  <c r="A25" i="7"/>
  <c r="O24" i="7"/>
  <c r="F24" i="7"/>
  <c r="N24" i="7"/>
  <c r="L24" i="7"/>
  <c r="K24" i="7"/>
  <c r="J24" i="7"/>
  <c r="I24" i="7"/>
  <c r="H24" i="7"/>
  <c r="E24" i="7"/>
  <c r="D24" i="7"/>
  <c r="C24" i="7"/>
  <c r="A24" i="7"/>
  <c r="G23" i="7"/>
  <c r="O23" i="7"/>
  <c r="F23" i="7"/>
  <c r="N23" i="7"/>
  <c r="L23" i="7"/>
  <c r="K23" i="7"/>
  <c r="J23" i="7"/>
  <c r="I23" i="7"/>
  <c r="H23" i="7"/>
  <c r="E23" i="7"/>
  <c r="D23" i="7"/>
  <c r="C23" i="7"/>
  <c r="A23" i="7"/>
  <c r="G22" i="7"/>
  <c r="O22" i="7"/>
  <c r="F22" i="7"/>
  <c r="N22" i="7"/>
  <c r="L22" i="7"/>
  <c r="K22" i="7"/>
  <c r="J22" i="7"/>
  <c r="I22" i="7"/>
  <c r="H22" i="7"/>
  <c r="E22" i="7"/>
  <c r="D22" i="7"/>
  <c r="C22" i="7"/>
  <c r="A22" i="7"/>
  <c r="G21" i="7"/>
  <c r="O21" i="7"/>
  <c r="F21" i="7"/>
  <c r="N21" i="7"/>
  <c r="L21" i="7"/>
  <c r="K21" i="7"/>
  <c r="J21" i="7"/>
  <c r="I21" i="7"/>
  <c r="H21" i="7"/>
  <c r="E21" i="7"/>
  <c r="D21" i="7"/>
  <c r="C21" i="7"/>
  <c r="A21" i="7"/>
  <c r="G20" i="7"/>
  <c r="O20" i="7"/>
  <c r="F20" i="7"/>
  <c r="N20" i="7"/>
  <c r="L20" i="7"/>
  <c r="K20" i="7"/>
  <c r="J20" i="7"/>
  <c r="I20" i="7"/>
  <c r="H20" i="7"/>
  <c r="E20" i="7"/>
  <c r="D20" i="7"/>
  <c r="C20" i="7"/>
  <c r="A20" i="7"/>
  <c r="G19" i="7"/>
  <c r="O19" i="7"/>
  <c r="F19" i="7"/>
  <c r="N19" i="7"/>
  <c r="L19" i="7"/>
  <c r="K19" i="7"/>
  <c r="J19" i="7"/>
  <c r="I19" i="7"/>
  <c r="H19" i="7"/>
  <c r="E19" i="7"/>
  <c r="D19" i="7"/>
  <c r="C19" i="7"/>
  <c r="A19" i="7"/>
  <c r="G18" i="7"/>
  <c r="O18" i="7"/>
  <c r="F18" i="7"/>
  <c r="N18" i="7"/>
  <c r="L18" i="7"/>
  <c r="K18" i="7"/>
  <c r="J18" i="7"/>
  <c r="I18" i="7"/>
  <c r="H18" i="7"/>
  <c r="E18" i="7"/>
  <c r="D18" i="7"/>
  <c r="C18" i="7"/>
  <c r="A18" i="7"/>
  <c r="G17" i="7"/>
  <c r="O17" i="7"/>
  <c r="F17" i="7"/>
  <c r="N17" i="7"/>
  <c r="L17" i="7"/>
  <c r="K17" i="7"/>
  <c r="J17" i="7"/>
  <c r="I17" i="7"/>
  <c r="H17" i="7"/>
  <c r="E17" i="7"/>
  <c r="D17" i="7"/>
  <c r="C17" i="7"/>
  <c r="A17" i="7"/>
  <c r="G16" i="7"/>
  <c r="O16" i="7"/>
  <c r="F16" i="7"/>
  <c r="N16" i="7"/>
  <c r="L16" i="7"/>
  <c r="K16" i="7"/>
  <c r="J16" i="7"/>
  <c r="I16" i="7"/>
  <c r="H16" i="7"/>
  <c r="E16" i="7"/>
  <c r="D16" i="7"/>
  <c r="C16" i="7"/>
  <c r="A16" i="7"/>
  <c r="R15" i="7"/>
  <c r="L15" i="7"/>
  <c r="K15" i="7"/>
  <c r="J15" i="7"/>
  <c r="I15" i="7"/>
  <c r="H15" i="7"/>
  <c r="G15" i="7"/>
  <c r="F15" i="7"/>
  <c r="E15" i="7"/>
  <c r="D15" i="7"/>
  <c r="C15" i="7"/>
  <c r="A15" i="7"/>
  <c r="L14" i="7"/>
  <c r="K14" i="7"/>
  <c r="J14" i="7"/>
  <c r="I14" i="7"/>
  <c r="H14" i="7"/>
  <c r="G14" i="7"/>
  <c r="F14" i="7"/>
  <c r="E14" i="7"/>
  <c r="D14" i="7"/>
  <c r="C14" i="7"/>
  <c r="A14" i="7"/>
  <c r="L13" i="7"/>
  <c r="K13" i="7"/>
  <c r="J13" i="7"/>
  <c r="I13" i="7"/>
  <c r="H13" i="7"/>
  <c r="G13" i="7"/>
  <c r="F13" i="7"/>
  <c r="E13" i="7"/>
  <c r="D13" i="7"/>
  <c r="C13" i="7"/>
  <c r="A13" i="7"/>
  <c r="L12" i="7"/>
  <c r="K12" i="7"/>
  <c r="J12" i="7"/>
  <c r="I12" i="7"/>
  <c r="H12" i="7"/>
  <c r="G12" i="7"/>
  <c r="F12" i="7"/>
  <c r="E12" i="7"/>
  <c r="D12" i="7"/>
  <c r="C12" i="7"/>
  <c r="A12" i="7"/>
  <c r="G11" i="7"/>
  <c r="O11" i="7"/>
  <c r="F11" i="7"/>
  <c r="N11" i="7"/>
  <c r="L11" i="7"/>
  <c r="K11" i="7"/>
  <c r="J11" i="7"/>
  <c r="I11" i="7"/>
  <c r="H11" i="7"/>
  <c r="E11" i="7"/>
  <c r="D11" i="7"/>
  <c r="C11" i="7"/>
  <c r="A11" i="7"/>
  <c r="F8" i="7"/>
  <c r="F7" i="7"/>
  <c r="J4" i="7"/>
  <c r="J3" i="7"/>
  <c r="C5" i="7"/>
  <c r="C4" i="7"/>
  <c r="C3" i="7"/>
  <c r="F62" i="15"/>
  <c r="E62" i="15"/>
  <c r="D62" i="15"/>
  <c r="C62" i="15"/>
  <c r="F61" i="15"/>
  <c r="E61" i="15"/>
  <c r="D61" i="15"/>
  <c r="C61" i="15"/>
  <c r="F60" i="15"/>
  <c r="D60" i="15"/>
  <c r="C60" i="15"/>
  <c r="F59" i="15"/>
  <c r="E59" i="15"/>
  <c r="C59" i="15"/>
  <c r="F58" i="15"/>
  <c r="E58" i="15"/>
  <c r="D58" i="15"/>
  <c r="H57" i="15"/>
  <c r="G57" i="15"/>
  <c r="F57" i="15"/>
  <c r="E57" i="15"/>
  <c r="D57" i="15"/>
  <c r="C57" i="15"/>
  <c r="H56" i="15"/>
  <c r="G56" i="15"/>
  <c r="F56" i="15"/>
  <c r="E56" i="15"/>
  <c r="D56" i="15"/>
  <c r="C56" i="15"/>
  <c r="H55" i="15"/>
  <c r="G55" i="15"/>
  <c r="F55" i="15"/>
  <c r="E55" i="15"/>
  <c r="D55" i="15"/>
  <c r="C55" i="15"/>
  <c r="H54" i="15"/>
  <c r="G54" i="15"/>
  <c r="F54" i="15"/>
  <c r="E54" i="15"/>
  <c r="D54" i="15"/>
  <c r="C54" i="15"/>
  <c r="H53" i="15"/>
  <c r="G53" i="15"/>
  <c r="F53" i="15"/>
  <c r="E53" i="15"/>
  <c r="D53" i="15"/>
  <c r="C53" i="15"/>
  <c r="H52" i="15"/>
  <c r="G52" i="15"/>
  <c r="F52" i="15"/>
  <c r="E52" i="15"/>
  <c r="D52" i="15"/>
  <c r="C52" i="15"/>
  <c r="H51" i="15"/>
  <c r="G51" i="15"/>
  <c r="F51" i="15"/>
  <c r="E51" i="15"/>
  <c r="D51" i="15"/>
  <c r="C51" i="15"/>
  <c r="H50" i="15"/>
  <c r="G50" i="15"/>
  <c r="F50" i="15"/>
  <c r="E50" i="15"/>
  <c r="D50" i="15"/>
  <c r="C50" i="15"/>
  <c r="H49" i="15"/>
  <c r="G49" i="15"/>
  <c r="H48" i="15"/>
  <c r="G48" i="15"/>
  <c r="E44" i="15"/>
  <c r="C44" i="15"/>
  <c r="B44" i="15"/>
  <c r="E43" i="15"/>
  <c r="C43" i="15"/>
  <c r="B43" i="15"/>
  <c r="F39" i="15"/>
  <c r="D39" i="15"/>
  <c r="C39" i="15"/>
  <c r="B39" i="15"/>
  <c r="A39" i="15"/>
  <c r="F38" i="15"/>
  <c r="D38" i="15"/>
  <c r="C38" i="15"/>
  <c r="B38" i="15"/>
  <c r="A38" i="15"/>
  <c r="F37" i="15"/>
  <c r="D37" i="15"/>
  <c r="C37" i="15"/>
  <c r="B37" i="15"/>
  <c r="A37" i="15"/>
  <c r="F36" i="15"/>
  <c r="D36" i="15"/>
  <c r="C36" i="15"/>
  <c r="B36" i="15"/>
  <c r="A36" i="15"/>
  <c r="F35" i="15"/>
  <c r="D35" i="15"/>
  <c r="C35" i="15"/>
  <c r="B35" i="15"/>
  <c r="A35" i="15"/>
  <c r="F34" i="15"/>
  <c r="D34" i="15"/>
  <c r="C34" i="15"/>
  <c r="B34" i="15"/>
  <c r="A34" i="15"/>
  <c r="F33" i="15"/>
  <c r="D33" i="15"/>
  <c r="C33" i="15"/>
  <c r="B33" i="15"/>
  <c r="A33" i="15"/>
  <c r="F32" i="15"/>
  <c r="D32" i="15"/>
  <c r="C32" i="15"/>
  <c r="B32" i="15"/>
  <c r="A32" i="15"/>
  <c r="F31" i="15"/>
  <c r="D31" i="15"/>
  <c r="C31" i="15"/>
  <c r="B31" i="15"/>
  <c r="A31" i="15"/>
  <c r="F30" i="15"/>
  <c r="D30" i="15"/>
  <c r="C30" i="15"/>
  <c r="B30" i="15"/>
  <c r="A30" i="15"/>
  <c r="F29" i="15"/>
  <c r="D29" i="15"/>
  <c r="C29" i="15"/>
  <c r="B29" i="15"/>
  <c r="A29" i="15"/>
  <c r="H28" i="15"/>
  <c r="G28" i="15"/>
  <c r="F28" i="15"/>
  <c r="D28" i="15"/>
  <c r="C28" i="15"/>
  <c r="B28" i="15"/>
  <c r="A28" i="15"/>
  <c r="H27" i="15"/>
  <c r="G27" i="15"/>
  <c r="F27" i="15"/>
  <c r="D27" i="15"/>
  <c r="C27" i="15"/>
  <c r="B27" i="15"/>
  <c r="A27" i="15"/>
  <c r="H26" i="15"/>
  <c r="G26" i="15"/>
  <c r="F26" i="15"/>
  <c r="D26" i="15"/>
  <c r="C26" i="15"/>
  <c r="B26" i="15"/>
  <c r="A26" i="15"/>
  <c r="H25" i="15"/>
  <c r="G25" i="15"/>
  <c r="F25" i="15"/>
  <c r="D25" i="15"/>
  <c r="C25" i="15"/>
  <c r="B25" i="15"/>
  <c r="A25" i="15"/>
  <c r="H24" i="15"/>
  <c r="G24" i="15"/>
  <c r="F24" i="15"/>
  <c r="D24" i="15"/>
  <c r="C24" i="15"/>
  <c r="B24" i="15"/>
  <c r="A24" i="15"/>
  <c r="H23" i="15"/>
  <c r="G23" i="15"/>
  <c r="F23" i="15"/>
  <c r="D23" i="15"/>
  <c r="C23" i="15"/>
  <c r="B23" i="15"/>
  <c r="A23" i="15"/>
  <c r="H22" i="15"/>
  <c r="G22" i="15"/>
  <c r="F22" i="15"/>
  <c r="D22" i="15"/>
  <c r="C22" i="15"/>
  <c r="B22" i="15"/>
  <c r="A22" i="15"/>
  <c r="H21" i="15"/>
  <c r="G21" i="15"/>
  <c r="F21" i="15"/>
  <c r="D21" i="15"/>
  <c r="C21" i="15"/>
  <c r="B21" i="15"/>
  <c r="A21" i="15"/>
  <c r="H20" i="15"/>
  <c r="G20" i="15"/>
  <c r="F20" i="15"/>
  <c r="D20" i="15"/>
  <c r="C20" i="15"/>
  <c r="B20" i="15"/>
  <c r="A20" i="15"/>
  <c r="H19" i="15"/>
  <c r="G19" i="15"/>
  <c r="F19" i="15"/>
  <c r="D19" i="15"/>
  <c r="C19" i="15"/>
  <c r="B19" i="15"/>
  <c r="A19" i="15"/>
  <c r="H18" i="15"/>
  <c r="G18" i="15"/>
  <c r="F18" i="15"/>
  <c r="D18" i="15"/>
  <c r="C18" i="15"/>
  <c r="B18" i="15"/>
  <c r="A18" i="15"/>
  <c r="H17" i="15"/>
  <c r="G17" i="15"/>
  <c r="F17" i="15"/>
  <c r="D17" i="15"/>
  <c r="C17" i="15"/>
  <c r="B17" i="15"/>
  <c r="A17" i="15"/>
  <c r="H16" i="15"/>
  <c r="G16" i="15"/>
  <c r="F16" i="15"/>
  <c r="D16" i="15"/>
  <c r="C16" i="15"/>
  <c r="B16" i="15"/>
  <c r="A16" i="15"/>
  <c r="H15" i="15"/>
  <c r="G15" i="15"/>
  <c r="F15" i="15"/>
  <c r="D15" i="15"/>
  <c r="C15" i="15"/>
  <c r="B15" i="15"/>
  <c r="A15" i="15"/>
  <c r="F14" i="15"/>
  <c r="D14" i="15"/>
  <c r="C14" i="15"/>
  <c r="B14" i="15"/>
  <c r="A14" i="15"/>
  <c r="H13" i="15"/>
  <c r="F13" i="15"/>
  <c r="D13" i="15"/>
  <c r="C13" i="15"/>
  <c r="B13" i="15"/>
  <c r="A13" i="15"/>
  <c r="H12" i="15"/>
  <c r="F12" i="15"/>
  <c r="D12" i="15"/>
  <c r="C12" i="15"/>
  <c r="B12" i="15"/>
  <c r="A12" i="15"/>
  <c r="H11" i="15"/>
  <c r="F11" i="15"/>
  <c r="D11" i="15"/>
  <c r="C11" i="15"/>
  <c r="B11" i="15"/>
  <c r="A11" i="15"/>
  <c r="H10" i="15"/>
  <c r="F10" i="15"/>
  <c r="D10" i="15"/>
  <c r="C10" i="15"/>
  <c r="B10" i="15"/>
  <c r="A10" i="15"/>
  <c r="D9" i="15"/>
  <c r="C9" i="15"/>
  <c r="B9" i="15"/>
  <c r="F6" i="15"/>
  <c r="B6" i="15"/>
  <c r="F5" i="15"/>
  <c r="B5" i="15"/>
  <c r="I64" i="13"/>
  <c r="G64" i="13"/>
  <c r="E64" i="13"/>
  <c r="C64" i="13"/>
  <c r="A64" i="13"/>
  <c r="A63" i="13"/>
  <c r="F61" i="13"/>
  <c r="E61" i="13"/>
  <c r="D61" i="13"/>
  <c r="C61" i="13"/>
  <c r="B61" i="13"/>
  <c r="A61" i="13"/>
  <c r="F60" i="13"/>
  <c r="E60" i="13"/>
  <c r="D60" i="13"/>
  <c r="C60" i="13"/>
  <c r="B60" i="13"/>
  <c r="A60" i="13"/>
  <c r="F59" i="13"/>
  <c r="E59" i="13"/>
  <c r="D59" i="13"/>
  <c r="C59" i="13"/>
  <c r="B59" i="13"/>
  <c r="A59" i="13"/>
  <c r="F58" i="13"/>
  <c r="E58" i="13"/>
  <c r="D58" i="13"/>
  <c r="C58" i="13"/>
  <c r="B58" i="13"/>
  <c r="A58" i="13"/>
  <c r="F57" i="13"/>
  <c r="E57" i="13"/>
  <c r="D57" i="13"/>
  <c r="C57" i="13"/>
  <c r="B57" i="13"/>
  <c r="A57" i="13"/>
  <c r="F56" i="13"/>
  <c r="E56" i="13"/>
  <c r="D56" i="13"/>
  <c r="C56" i="13"/>
  <c r="B56" i="13"/>
  <c r="A56" i="13"/>
  <c r="F55" i="13"/>
  <c r="E55" i="13"/>
  <c r="D55" i="13"/>
  <c r="C55" i="13"/>
  <c r="B55" i="13"/>
  <c r="A55" i="13"/>
  <c r="F54" i="13"/>
  <c r="E54" i="13"/>
  <c r="D54" i="13"/>
  <c r="C54" i="13"/>
  <c r="B54" i="13"/>
  <c r="A54" i="13"/>
  <c r="F53" i="13"/>
  <c r="E53" i="13"/>
  <c r="D53" i="13"/>
  <c r="C53" i="13"/>
  <c r="B53" i="13"/>
  <c r="A53" i="13"/>
  <c r="F52" i="13"/>
  <c r="E52" i="13"/>
  <c r="D52" i="13"/>
  <c r="C52" i="13"/>
  <c r="B52" i="13"/>
  <c r="A52" i="13"/>
  <c r="F51" i="13"/>
  <c r="E51" i="13"/>
  <c r="D51" i="13"/>
  <c r="C51" i="13"/>
  <c r="B51" i="13"/>
  <c r="A51" i="13"/>
  <c r="F50" i="13"/>
  <c r="E50" i="13"/>
  <c r="D50" i="13"/>
  <c r="C50" i="13"/>
  <c r="B50" i="13"/>
  <c r="A50" i="13"/>
  <c r="F49" i="13"/>
  <c r="E49" i="13"/>
  <c r="D49" i="13"/>
  <c r="C49" i="13"/>
  <c r="B49" i="13"/>
  <c r="A49" i="13"/>
  <c r="F48" i="13"/>
  <c r="E48" i="13"/>
  <c r="D48" i="13"/>
  <c r="C48" i="13"/>
  <c r="B48" i="13"/>
  <c r="A48" i="13"/>
  <c r="F47" i="13"/>
  <c r="E47" i="13"/>
  <c r="D47" i="13"/>
  <c r="C47" i="13"/>
  <c r="B47" i="13"/>
  <c r="A47" i="13"/>
  <c r="F46" i="13"/>
  <c r="E46" i="13"/>
  <c r="D46" i="13"/>
  <c r="C46" i="13"/>
  <c r="B46" i="13"/>
  <c r="A46" i="13"/>
  <c r="F45" i="13"/>
  <c r="E45" i="13"/>
  <c r="D45" i="13"/>
  <c r="C45" i="13"/>
  <c r="B45" i="13"/>
  <c r="A45" i="13"/>
  <c r="F44" i="13"/>
  <c r="E44" i="13"/>
  <c r="D44" i="13"/>
  <c r="C44" i="13"/>
  <c r="B44" i="13"/>
  <c r="A44" i="13"/>
  <c r="F43" i="13"/>
  <c r="E43" i="13"/>
  <c r="D43" i="13"/>
  <c r="C43" i="13"/>
  <c r="B43" i="13"/>
  <c r="A43" i="13"/>
  <c r="F42" i="13"/>
  <c r="E42" i="13"/>
  <c r="D42" i="13"/>
  <c r="C42" i="13"/>
  <c r="B42" i="13"/>
  <c r="A42" i="13"/>
  <c r="F41" i="13"/>
  <c r="E41" i="13"/>
  <c r="D41" i="13"/>
  <c r="C41" i="13"/>
  <c r="B41" i="13"/>
  <c r="A41" i="13"/>
  <c r="F40" i="13"/>
  <c r="E40" i="13"/>
  <c r="D40" i="13"/>
  <c r="C40" i="13"/>
  <c r="B40" i="13"/>
  <c r="A40" i="13"/>
  <c r="F39" i="13"/>
  <c r="E39" i="13"/>
  <c r="D39" i="13"/>
  <c r="C39" i="13"/>
  <c r="B39" i="13"/>
  <c r="A39" i="13"/>
  <c r="F38" i="13"/>
  <c r="E38" i="13"/>
  <c r="D38" i="13"/>
  <c r="C38" i="13"/>
  <c r="B38" i="13"/>
  <c r="A38" i="13"/>
  <c r="F37" i="13"/>
  <c r="E37" i="13"/>
  <c r="D37" i="13"/>
  <c r="C37" i="13"/>
  <c r="B37" i="13"/>
  <c r="A37" i="13"/>
  <c r="F36" i="13"/>
  <c r="E36" i="13"/>
  <c r="D36" i="13"/>
  <c r="C36" i="13"/>
  <c r="B36" i="13"/>
  <c r="A36" i="13"/>
  <c r="F35" i="13"/>
  <c r="E35" i="13"/>
  <c r="D35" i="13"/>
  <c r="C35" i="13"/>
  <c r="B35" i="13"/>
  <c r="A35" i="13"/>
  <c r="F34" i="13"/>
  <c r="E34" i="13"/>
  <c r="D34" i="13"/>
  <c r="C34" i="13"/>
  <c r="B34" i="13"/>
  <c r="A34" i="13"/>
  <c r="F33" i="13"/>
  <c r="E33" i="13"/>
  <c r="D33" i="13"/>
  <c r="C33" i="13"/>
  <c r="B33" i="13"/>
  <c r="A33" i="13"/>
  <c r="F32" i="13"/>
  <c r="E32" i="13"/>
  <c r="D32" i="13"/>
  <c r="C32" i="13"/>
  <c r="B32" i="13"/>
  <c r="A32" i="13"/>
  <c r="F31" i="13"/>
  <c r="E31" i="13"/>
  <c r="D31" i="13"/>
  <c r="C31" i="13"/>
  <c r="B31" i="13"/>
  <c r="A31" i="13"/>
  <c r="F30" i="13"/>
  <c r="E30" i="13"/>
  <c r="D30" i="13"/>
  <c r="C30" i="13"/>
  <c r="B30" i="13"/>
  <c r="A30" i="13"/>
  <c r="F29" i="13"/>
  <c r="E29" i="13"/>
  <c r="D29" i="13"/>
  <c r="C29" i="13"/>
  <c r="B29" i="13"/>
  <c r="A29" i="13"/>
  <c r="F28" i="13"/>
  <c r="E28" i="13"/>
  <c r="D28" i="13"/>
  <c r="C28" i="13"/>
  <c r="B28" i="13"/>
  <c r="A28" i="13"/>
  <c r="F27" i="13"/>
  <c r="E27" i="13"/>
  <c r="D27" i="13"/>
  <c r="C27" i="13"/>
  <c r="B27" i="13"/>
  <c r="A27" i="13"/>
  <c r="F26" i="13"/>
  <c r="E26" i="13"/>
  <c r="D26" i="13"/>
  <c r="C26" i="13"/>
  <c r="B26" i="13"/>
  <c r="A26" i="13"/>
  <c r="F25" i="13"/>
  <c r="E25" i="13"/>
  <c r="D25" i="13"/>
  <c r="C25" i="13"/>
  <c r="B25" i="13"/>
  <c r="A25" i="13"/>
  <c r="F24" i="13"/>
  <c r="E24" i="13"/>
  <c r="D24" i="13"/>
  <c r="C24" i="13"/>
  <c r="B24" i="13"/>
  <c r="A24" i="13"/>
  <c r="F23" i="13"/>
  <c r="E23" i="13"/>
  <c r="D23" i="13"/>
  <c r="C23" i="13"/>
  <c r="B23" i="13"/>
  <c r="A23" i="13"/>
  <c r="F22" i="13"/>
  <c r="E22" i="13"/>
  <c r="D22" i="13"/>
  <c r="C22" i="13"/>
  <c r="B22" i="13"/>
  <c r="A22" i="13"/>
  <c r="F21" i="13"/>
  <c r="E21" i="13"/>
  <c r="D21" i="13"/>
  <c r="C21" i="13"/>
  <c r="B21" i="13"/>
  <c r="A21" i="13"/>
  <c r="F20" i="13"/>
  <c r="E20" i="13"/>
  <c r="D20" i="13"/>
  <c r="C20" i="13"/>
  <c r="B20" i="13"/>
  <c r="A20" i="13"/>
  <c r="F19" i="13"/>
  <c r="E19" i="13"/>
  <c r="D19" i="13"/>
  <c r="C19" i="13"/>
  <c r="B19" i="13"/>
  <c r="A19" i="13"/>
  <c r="F18" i="13"/>
  <c r="E18" i="13"/>
  <c r="D18" i="13"/>
  <c r="C18" i="13"/>
  <c r="B18" i="13"/>
  <c r="A18" i="13"/>
  <c r="F17" i="13"/>
  <c r="E17" i="13"/>
  <c r="D17" i="13"/>
  <c r="C17" i="13"/>
  <c r="B17" i="13"/>
  <c r="A17" i="13"/>
  <c r="F16" i="13"/>
  <c r="E16" i="13"/>
  <c r="D16" i="13"/>
  <c r="C16" i="13"/>
  <c r="B16" i="13"/>
  <c r="A16" i="13"/>
  <c r="F15" i="13"/>
  <c r="E15" i="13"/>
  <c r="D15" i="13"/>
  <c r="C15" i="13"/>
  <c r="B15" i="13"/>
  <c r="A15" i="13"/>
  <c r="F14" i="13"/>
  <c r="E14" i="13"/>
  <c r="D14" i="13"/>
  <c r="C14" i="13"/>
  <c r="B14" i="13"/>
  <c r="A14" i="13"/>
  <c r="F13" i="13"/>
  <c r="E13" i="13"/>
  <c r="D13" i="13"/>
  <c r="C13" i="13"/>
  <c r="B13" i="13"/>
  <c r="A13" i="13"/>
  <c r="F12" i="13"/>
  <c r="E12" i="13"/>
  <c r="D12" i="13"/>
  <c r="C12" i="13"/>
  <c r="B12" i="13"/>
  <c r="A12" i="13"/>
  <c r="F11" i="13"/>
  <c r="E11" i="13"/>
  <c r="D11" i="13"/>
  <c r="C11" i="13"/>
  <c r="B11" i="13"/>
  <c r="A11" i="13"/>
  <c r="F10" i="13"/>
  <c r="E10" i="13"/>
  <c r="D10" i="13"/>
  <c r="C10" i="13"/>
  <c r="B10" i="13"/>
  <c r="A10" i="13"/>
  <c r="F9" i="13"/>
  <c r="E9" i="13"/>
  <c r="D9" i="13"/>
  <c r="C9" i="13"/>
  <c r="E7" i="13"/>
  <c r="B7" i="13"/>
  <c r="E6" i="13"/>
  <c r="B6" i="13"/>
  <c r="E5" i="13"/>
  <c r="B5" i="13"/>
  <c r="E4" i="13"/>
  <c r="B4" i="13"/>
  <c r="E3" i="13"/>
  <c r="B3" i="13"/>
  <c r="I7" i="13"/>
  <c r="I6" i="13"/>
  <c r="I5" i="13"/>
  <c r="I4" i="13"/>
  <c r="J3" i="13"/>
  <c r="I3" i="13"/>
  <c r="J2" i="13"/>
  <c r="I64" i="12"/>
  <c r="G64" i="12"/>
  <c r="E64" i="12"/>
  <c r="C64" i="12"/>
  <c r="A64" i="12"/>
  <c r="A63" i="12"/>
  <c r="F61" i="12"/>
  <c r="E61" i="12"/>
  <c r="D61" i="12"/>
  <c r="C61" i="12"/>
  <c r="B61" i="12"/>
  <c r="A61" i="12"/>
  <c r="F60" i="12"/>
  <c r="E60" i="12"/>
  <c r="D60" i="12"/>
  <c r="C60" i="12"/>
  <c r="B60" i="12"/>
  <c r="A60" i="12"/>
  <c r="F59" i="12"/>
  <c r="E59" i="12"/>
  <c r="D59" i="12"/>
  <c r="C59" i="12"/>
  <c r="B59" i="12"/>
  <c r="A59" i="12"/>
  <c r="F58" i="12"/>
  <c r="E58" i="12"/>
  <c r="D58" i="12"/>
  <c r="C58" i="12"/>
  <c r="B58" i="12"/>
  <c r="A58" i="12"/>
  <c r="F57" i="12"/>
  <c r="E57" i="12"/>
  <c r="D57" i="12"/>
  <c r="C57" i="12"/>
  <c r="B57" i="12"/>
  <c r="A57" i="12"/>
  <c r="F56" i="12"/>
  <c r="E56" i="12"/>
  <c r="D56" i="12"/>
  <c r="C56" i="12"/>
  <c r="B56" i="12"/>
  <c r="A56" i="12"/>
  <c r="F55" i="12"/>
  <c r="E55" i="12"/>
  <c r="D55" i="12"/>
  <c r="C55" i="12"/>
  <c r="B55" i="12"/>
  <c r="A55" i="12"/>
  <c r="F54" i="12"/>
  <c r="E54" i="12"/>
  <c r="D54" i="12"/>
  <c r="C54" i="12"/>
  <c r="B54" i="12"/>
  <c r="A54" i="12"/>
  <c r="F53" i="12"/>
  <c r="E53" i="12"/>
  <c r="D53" i="12"/>
  <c r="C53" i="12"/>
  <c r="B53" i="12"/>
  <c r="A53" i="12"/>
  <c r="F52" i="12"/>
  <c r="E52" i="12"/>
  <c r="D52" i="12"/>
  <c r="C52" i="12"/>
  <c r="B52" i="12"/>
  <c r="A52" i="12"/>
  <c r="F51" i="12"/>
  <c r="E51" i="12"/>
  <c r="D51" i="12"/>
  <c r="C51" i="12"/>
  <c r="B51" i="12"/>
  <c r="A51" i="12"/>
  <c r="F50" i="12"/>
  <c r="E50" i="12"/>
  <c r="D50" i="12"/>
  <c r="C50" i="12"/>
  <c r="B50" i="12"/>
  <c r="A50" i="12"/>
  <c r="F49" i="12"/>
  <c r="E49" i="12"/>
  <c r="D49" i="12"/>
  <c r="C49" i="12"/>
  <c r="B49" i="12"/>
  <c r="A49" i="12"/>
  <c r="F48" i="12"/>
  <c r="E48" i="12"/>
  <c r="D48" i="12"/>
  <c r="C48" i="12"/>
  <c r="B48" i="12"/>
  <c r="A48" i="12"/>
  <c r="F47" i="12"/>
  <c r="E47" i="12"/>
  <c r="D47" i="12"/>
  <c r="C47" i="12"/>
  <c r="B47" i="12"/>
  <c r="A47" i="12"/>
  <c r="F46" i="12"/>
  <c r="E46" i="12"/>
  <c r="D46" i="12"/>
  <c r="C46" i="12"/>
  <c r="B46" i="12"/>
  <c r="A46" i="12"/>
  <c r="F45" i="12"/>
  <c r="E45" i="12"/>
  <c r="D45" i="12"/>
  <c r="C45" i="12"/>
  <c r="B45" i="12"/>
  <c r="A45" i="12"/>
  <c r="F44" i="12"/>
  <c r="E44" i="12"/>
  <c r="D44" i="12"/>
  <c r="C44" i="12"/>
  <c r="B44" i="12"/>
  <c r="A44" i="12"/>
  <c r="F43" i="12"/>
  <c r="E43" i="12"/>
  <c r="D43" i="12"/>
  <c r="C43" i="12"/>
  <c r="B43" i="12"/>
  <c r="A43" i="12"/>
  <c r="F42" i="12"/>
  <c r="E42" i="12"/>
  <c r="D42" i="12"/>
  <c r="C42" i="12"/>
  <c r="B42" i="12"/>
  <c r="A42" i="12"/>
  <c r="F41" i="12"/>
  <c r="E41" i="12"/>
  <c r="D41" i="12"/>
  <c r="C41" i="12"/>
  <c r="B41" i="12"/>
  <c r="A41" i="12"/>
  <c r="F40" i="12"/>
  <c r="E40" i="12"/>
  <c r="D40" i="12"/>
  <c r="C40" i="12"/>
  <c r="B40" i="12"/>
  <c r="A40" i="12"/>
  <c r="F39" i="12"/>
  <c r="E39" i="12"/>
  <c r="D39" i="12"/>
  <c r="C39" i="12"/>
  <c r="B39" i="12"/>
  <c r="A39" i="12"/>
  <c r="F38" i="12"/>
  <c r="E38" i="12"/>
  <c r="D38" i="12"/>
  <c r="C38" i="12"/>
  <c r="B38" i="12"/>
  <c r="A38" i="12"/>
  <c r="F37" i="12"/>
  <c r="E37" i="12"/>
  <c r="D37" i="12"/>
  <c r="C37" i="12"/>
  <c r="B37" i="12"/>
  <c r="A37" i="12"/>
  <c r="F36" i="12"/>
  <c r="E36" i="12"/>
  <c r="D36" i="12"/>
  <c r="C36" i="12"/>
  <c r="B36" i="12"/>
  <c r="A36" i="12"/>
  <c r="F35" i="12"/>
  <c r="E35" i="12"/>
  <c r="D35" i="12"/>
  <c r="C35" i="12"/>
  <c r="B35" i="12"/>
  <c r="A35" i="12"/>
  <c r="F34" i="12"/>
  <c r="E34" i="12"/>
  <c r="D34" i="12"/>
  <c r="C34" i="12"/>
  <c r="B34" i="12"/>
  <c r="A34" i="12"/>
  <c r="F33" i="12"/>
  <c r="E33" i="12"/>
  <c r="D33" i="12"/>
  <c r="C33" i="12"/>
  <c r="B33" i="12"/>
  <c r="A33" i="12"/>
  <c r="F32" i="12"/>
  <c r="E32" i="12"/>
  <c r="D32" i="12"/>
  <c r="C32" i="12"/>
  <c r="B32" i="12"/>
  <c r="A32" i="12"/>
  <c r="F31" i="12"/>
  <c r="E31" i="12"/>
  <c r="D31" i="12"/>
  <c r="C31" i="12"/>
  <c r="B31" i="12"/>
  <c r="A31" i="12"/>
  <c r="F30" i="12"/>
  <c r="E30" i="12"/>
  <c r="D30" i="12"/>
  <c r="C30" i="12"/>
  <c r="B30" i="12"/>
  <c r="A30" i="12"/>
  <c r="F29" i="12"/>
  <c r="E29" i="12"/>
  <c r="D29" i="12"/>
  <c r="C29" i="12"/>
  <c r="B29" i="12"/>
  <c r="A29" i="12"/>
  <c r="F28" i="12"/>
  <c r="E28" i="12"/>
  <c r="D28" i="12"/>
  <c r="C28" i="12"/>
  <c r="B28" i="12"/>
  <c r="A28" i="12"/>
  <c r="F27" i="12"/>
  <c r="E27" i="12"/>
  <c r="D27" i="12"/>
  <c r="C27" i="12"/>
  <c r="B27" i="12"/>
  <c r="A27" i="12"/>
  <c r="F26" i="12"/>
  <c r="E26" i="12"/>
  <c r="D26" i="12"/>
  <c r="C26" i="12"/>
  <c r="B26" i="12"/>
  <c r="A26" i="12"/>
  <c r="F25" i="12"/>
  <c r="E25" i="12"/>
  <c r="D25" i="12"/>
  <c r="C25" i="12"/>
  <c r="B25" i="12"/>
  <c r="A25" i="12"/>
  <c r="F24" i="12"/>
  <c r="E24" i="12"/>
  <c r="D24" i="12"/>
  <c r="C24" i="12"/>
  <c r="B24" i="12"/>
  <c r="A24" i="12"/>
  <c r="F23" i="12"/>
  <c r="E23" i="12"/>
  <c r="D23" i="12"/>
  <c r="C23" i="12"/>
  <c r="B23" i="12"/>
  <c r="A23" i="12"/>
  <c r="F22" i="12"/>
  <c r="E22" i="12"/>
  <c r="D22" i="12"/>
  <c r="C22" i="12"/>
  <c r="B22" i="12"/>
  <c r="A22" i="12"/>
  <c r="F21" i="12"/>
  <c r="E21" i="12"/>
  <c r="D21" i="12"/>
  <c r="C21" i="12"/>
  <c r="B21" i="12"/>
  <c r="A21" i="12"/>
  <c r="F20" i="12"/>
  <c r="E20" i="12"/>
  <c r="D20" i="12"/>
  <c r="C20" i="12"/>
  <c r="B20" i="12"/>
  <c r="A20" i="12"/>
  <c r="F19" i="12"/>
  <c r="E19" i="12"/>
  <c r="D19" i="12"/>
  <c r="C19" i="12"/>
  <c r="B19" i="12"/>
  <c r="A19" i="12"/>
  <c r="F18" i="12"/>
  <c r="E18" i="12"/>
  <c r="D18" i="12"/>
  <c r="C18" i="12"/>
  <c r="B18" i="12"/>
  <c r="A18" i="12"/>
  <c r="F17" i="12"/>
  <c r="E17" i="12"/>
  <c r="D17" i="12"/>
  <c r="C17" i="12"/>
  <c r="B17" i="12"/>
  <c r="A17" i="12"/>
  <c r="F16" i="12"/>
  <c r="E16" i="12"/>
  <c r="D16" i="12"/>
  <c r="C16" i="12"/>
  <c r="B16" i="12"/>
  <c r="A16" i="12"/>
  <c r="F15" i="12"/>
  <c r="E15" i="12"/>
  <c r="D15" i="12"/>
  <c r="C15" i="12"/>
  <c r="B15" i="12"/>
  <c r="A15" i="12"/>
  <c r="F14" i="12"/>
  <c r="E14" i="12"/>
  <c r="D14" i="12"/>
  <c r="C14" i="12"/>
  <c r="B14" i="12"/>
  <c r="A14" i="12"/>
  <c r="F13" i="12"/>
  <c r="E13" i="12"/>
  <c r="D13" i="12"/>
  <c r="C13" i="12"/>
  <c r="B13" i="12"/>
  <c r="A13" i="12"/>
  <c r="F12" i="12"/>
  <c r="E12" i="12"/>
  <c r="D12" i="12"/>
  <c r="C12" i="12"/>
  <c r="B12" i="12"/>
  <c r="A12" i="12"/>
  <c r="F11" i="12"/>
  <c r="E11" i="12"/>
  <c r="D11" i="12"/>
  <c r="C11" i="12"/>
  <c r="B11" i="12"/>
  <c r="A11" i="12"/>
  <c r="F10" i="12"/>
  <c r="E10" i="12"/>
  <c r="D10" i="12"/>
  <c r="C10" i="12"/>
  <c r="B10" i="12"/>
  <c r="A10" i="12"/>
  <c r="F9" i="12"/>
  <c r="E9" i="12"/>
  <c r="D9" i="12"/>
  <c r="C9" i="12"/>
  <c r="E7" i="12"/>
  <c r="B7" i="12"/>
  <c r="E6" i="12"/>
  <c r="B6" i="12"/>
  <c r="E5" i="12"/>
  <c r="B5" i="12"/>
  <c r="E4" i="12"/>
  <c r="B4" i="12"/>
  <c r="E3" i="12"/>
  <c r="B3" i="12"/>
  <c r="I7" i="12"/>
  <c r="I6" i="12"/>
  <c r="I5" i="12"/>
  <c r="I4" i="12"/>
  <c r="J3" i="12"/>
  <c r="I3" i="12"/>
  <c r="J2" i="12"/>
  <c r="A71" i="5"/>
  <c r="C70" i="5"/>
  <c r="A70" i="5"/>
  <c r="D68" i="5"/>
  <c r="C68" i="5"/>
  <c r="D67" i="5"/>
  <c r="C67" i="5"/>
  <c r="D66" i="5"/>
  <c r="C66" i="5"/>
  <c r="D65" i="5"/>
  <c r="C65" i="5"/>
  <c r="J64" i="5"/>
  <c r="G64" i="5"/>
  <c r="E64" i="5"/>
  <c r="D64" i="5"/>
  <c r="C64" i="5"/>
  <c r="B64" i="5"/>
  <c r="A64" i="5"/>
  <c r="J63" i="5"/>
  <c r="G63" i="5"/>
  <c r="D63" i="5"/>
  <c r="C63" i="5"/>
  <c r="B63" i="5"/>
  <c r="A63" i="5"/>
  <c r="J62" i="5"/>
  <c r="G62" i="5"/>
  <c r="D62" i="5"/>
  <c r="C62" i="5"/>
  <c r="B62" i="5"/>
  <c r="A62" i="5"/>
  <c r="J61" i="5"/>
  <c r="G61" i="5"/>
  <c r="D61" i="5"/>
  <c r="C61" i="5"/>
  <c r="B61" i="5"/>
  <c r="A61" i="5"/>
  <c r="J60" i="5"/>
  <c r="G60" i="5"/>
  <c r="D60" i="5"/>
  <c r="C60" i="5"/>
  <c r="B60" i="5"/>
  <c r="A60" i="5"/>
  <c r="J59" i="5"/>
  <c r="G59" i="5"/>
  <c r="D59" i="5"/>
  <c r="C59" i="5"/>
  <c r="B59" i="5"/>
  <c r="A59" i="5"/>
  <c r="J58" i="5"/>
  <c r="G58" i="5"/>
  <c r="D58" i="5"/>
  <c r="B58" i="5"/>
  <c r="A58" i="5"/>
  <c r="J57" i="5"/>
  <c r="G57" i="5"/>
  <c r="D57" i="5"/>
  <c r="B57" i="5"/>
  <c r="A57" i="5"/>
  <c r="J56" i="5"/>
  <c r="G56" i="5"/>
  <c r="D56" i="5"/>
  <c r="B56" i="5"/>
  <c r="A56" i="5"/>
  <c r="J55" i="5"/>
  <c r="G55" i="5"/>
  <c r="D55" i="5"/>
  <c r="B55" i="5"/>
  <c r="A55" i="5"/>
  <c r="C54" i="5"/>
  <c r="E53" i="5"/>
  <c r="A53" i="5"/>
  <c r="C51" i="5"/>
  <c r="B51" i="5"/>
  <c r="J50" i="5"/>
  <c r="H50" i="5"/>
  <c r="F50" i="5"/>
  <c r="E50" i="5"/>
  <c r="D50" i="5"/>
  <c r="C50" i="5"/>
  <c r="B50" i="5"/>
  <c r="A50" i="5"/>
  <c r="J49" i="5"/>
  <c r="H49" i="5"/>
  <c r="F49" i="5"/>
  <c r="E49" i="5"/>
  <c r="D49" i="5"/>
  <c r="C49" i="5"/>
  <c r="B49" i="5"/>
  <c r="A49" i="5"/>
  <c r="J48" i="5"/>
  <c r="H48" i="5"/>
  <c r="F48" i="5"/>
  <c r="E48" i="5"/>
  <c r="D48" i="5"/>
  <c r="C48" i="5"/>
  <c r="B48" i="5"/>
  <c r="A48" i="5"/>
  <c r="F47" i="5"/>
  <c r="E47" i="5"/>
  <c r="D47" i="5"/>
  <c r="C47" i="5"/>
  <c r="B47" i="5"/>
  <c r="A47" i="5"/>
  <c r="J46" i="5"/>
  <c r="I46" i="5"/>
  <c r="G46" i="5"/>
  <c r="F46" i="5"/>
  <c r="E46" i="5"/>
  <c r="D46" i="5"/>
  <c r="C46" i="5"/>
  <c r="B46" i="5"/>
  <c r="A46" i="5"/>
  <c r="J45" i="5"/>
  <c r="I45" i="5"/>
  <c r="G45" i="5"/>
  <c r="F45" i="5"/>
  <c r="E45" i="5"/>
  <c r="D45" i="5"/>
  <c r="C45" i="5"/>
  <c r="B45" i="5"/>
  <c r="A45" i="5"/>
  <c r="J44" i="5"/>
  <c r="I44" i="5"/>
  <c r="G44" i="5"/>
  <c r="F44" i="5"/>
  <c r="E44" i="5"/>
  <c r="D44" i="5"/>
  <c r="C44" i="5"/>
  <c r="B44" i="5"/>
  <c r="A44" i="5"/>
  <c r="J43" i="5"/>
  <c r="I43" i="5"/>
  <c r="G43" i="5"/>
  <c r="F43" i="5"/>
  <c r="E43" i="5"/>
  <c r="D43" i="5"/>
  <c r="C43" i="5"/>
  <c r="B43" i="5"/>
  <c r="A43" i="5"/>
  <c r="J42" i="5"/>
  <c r="I42" i="5"/>
  <c r="G42" i="5"/>
  <c r="F42" i="5"/>
  <c r="E42" i="5"/>
  <c r="D42" i="5"/>
  <c r="C42" i="5"/>
  <c r="J41" i="5"/>
  <c r="I41" i="5"/>
  <c r="G41" i="5"/>
  <c r="F41" i="5"/>
  <c r="E41" i="5"/>
  <c r="D41" i="5"/>
  <c r="C41" i="5"/>
  <c r="B41" i="5"/>
  <c r="J40" i="5"/>
  <c r="I40" i="5"/>
  <c r="G40" i="5"/>
  <c r="F40" i="5"/>
  <c r="E40" i="5"/>
  <c r="D40" i="5"/>
  <c r="C40" i="5"/>
  <c r="B40" i="5"/>
  <c r="J39" i="5"/>
  <c r="I39" i="5"/>
  <c r="G39" i="5"/>
  <c r="F39" i="5"/>
  <c r="E39" i="5"/>
  <c r="D39" i="5"/>
  <c r="C39" i="5"/>
  <c r="B39" i="5"/>
  <c r="J38" i="5"/>
  <c r="I38" i="5"/>
  <c r="G38" i="5"/>
  <c r="F38" i="5"/>
  <c r="E38" i="5"/>
  <c r="D38" i="5"/>
  <c r="C38" i="5"/>
  <c r="J37" i="5"/>
  <c r="I37" i="5"/>
  <c r="G37" i="5"/>
  <c r="F37" i="5"/>
  <c r="E37" i="5"/>
  <c r="D37" i="5"/>
  <c r="C37" i="5"/>
  <c r="J36" i="5"/>
  <c r="I36" i="5"/>
  <c r="G36" i="5"/>
  <c r="F36" i="5"/>
  <c r="E36" i="5"/>
  <c r="D36" i="5"/>
  <c r="C36" i="5"/>
  <c r="B36" i="5"/>
  <c r="F35" i="5"/>
  <c r="E35" i="5"/>
  <c r="D35" i="5"/>
  <c r="C35" i="5"/>
  <c r="B35" i="5"/>
  <c r="F34" i="5"/>
  <c r="E34" i="5"/>
  <c r="D34" i="5"/>
  <c r="C34" i="5"/>
  <c r="B34" i="5"/>
  <c r="J33" i="5"/>
  <c r="I33" i="5"/>
  <c r="G33" i="5"/>
  <c r="F33" i="5"/>
  <c r="E33" i="5"/>
  <c r="D33" i="5"/>
  <c r="C33" i="5"/>
  <c r="B33" i="5"/>
  <c r="J32" i="5"/>
  <c r="I32" i="5"/>
  <c r="G32" i="5"/>
  <c r="F32" i="5"/>
  <c r="E32" i="5"/>
  <c r="D32" i="5"/>
  <c r="C32" i="5"/>
  <c r="B32" i="5"/>
  <c r="J31" i="5"/>
  <c r="I31" i="5"/>
  <c r="G31" i="5"/>
  <c r="F31" i="5"/>
  <c r="E31" i="5"/>
  <c r="D31" i="5"/>
  <c r="C31" i="5"/>
  <c r="B31" i="5"/>
  <c r="J30" i="5"/>
  <c r="I30" i="5"/>
  <c r="G30" i="5"/>
  <c r="F30" i="5"/>
  <c r="E30" i="5"/>
  <c r="D30" i="5"/>
  <c r="C30" i="5"/>
  <c r="B30" i="5"/>
  <c r="J29" i="5"/>
  <c r="I29" i="5"/>
  <c r="G29" i="5"/>
  <c r="F29" i="5"/>
  <c r="E29" i="5"/>
  <c r="D29" i="5"/>
  <c r="C29" i="5"/>
  <c r="B29" i="5"/>
  <c r="J28" i="5"/>
  <c r="I28" i="5"/>
  <c r="G28" i="5"/>
  <c r="F28" i="5"/>
  <c r="E28" i="5"/>
  <c r="D28" i="5"/>
  <c r="C28" i="5"/>
  <c r="B28" i="5"/>
  <c r="J27" i="5"/>
  <c r="I27" i="5"/>
  <c r="G27" i="5"/>
  <c r="F27" i="5"/>
  <c r="E27" i="5"/>
  <c r="D27" i="5"/>
  <c r="C27" i="5"/>
  <c r="B27" i="5"/>
  <c r="J26" i="5"/>
  <c r="I26" i="5"/>
  <c r="G26" i="5"/>
  <c r="F26" i="5"/>
  <c r="E26" i="5"/>
  <c r="D26" i="5"/>
  <c r="C26" i="5"/>
  <c r="J25" i="5"/>
  <c r="I25" i="5"/>
  <c r="G25" i="5"/>
  <c r="F25" i="5"/>
  <c r="E25" i="5"/>
  <c r="D25" i="5"/>
  <c r="C25" i="5"/>
  <c r="J24" i="5"/>
  <c r="I24" i="5"/>
  <c r="G24" i="5"/>
  <c r="F24" i="5"/>
  <c r="E24" i="5"/>
  <c r="D24" i="5"/>
  <c r="C24" i="5"/>
  <c r="J23" i="5"/>
  <c r="I23" i="5"/>
  <c r="G23" i="5"/>
  <c r="F23" i="5"/>
  <c r="E23" i="5"/>
  <c r="D23" i="5"/>
  <c r="C23" i="5"/>
  <c r="B23" i="5"/>
  <c r="J22" i="5"/>
  <c r="I22" i="5"/>
  <c r="G22" i="5"/>
  <c r="F22" i="5"/>
  <c r="E22" i="5"/>
  <c r="D22" i="5"/>
  <c r="C22" i="5"/>
  <c r="B22" i="5"/>
  <c r="J21" i="5"/>
  <c r="I21" i="5"/>
  <c r="G21" i="5"/>
  <c r="F21" i="5"/>
  <c r="E21" i="5"/>
  <c r="D21" i="5"/>
  <c r="C21" i="5"/>
  <c r="B21" i="5"/>
  <c r="J20" i="5"/>
  <c r="I20" i="5"/>
  <c r="G20" i="5"/>
  <c r="F20" i="5"/>
  <c r="E20" i="5"/>
  <c r="D20" i="5"/>
  <c r="C20" i="5"/>
  <c r="B20" i="5"/>
  <c r="J19" i="5"/>
  <c r="I19" i="5"/>
  <c r="G19" i="5"/>
  <c r="F19" i="5"/>
  <c r="E19" i="5"/>
  <c r="D19" i="5"/>
  <c r="C19" i="5"/>
  <c r="B19" i="5"/>
  <c r="F18" i="5"/>
  <c r="E18" i="5"/>
  <c r="D18" i="5"/>
  <c r="C18" i="5"/>
  <c r="I16" i="5"/>
  <c r="F16" i="5"/>
  <c r="E16" i="5"/>
  <c r="C16" i="5"/>
  <c r="A16" i="5"/>
  <c r="I15" i="5"/>
  <c r="C15" i="5"/>
  <c r="A15" i="5"/>
  <c r="J14" i="5"/>
  <c r="I14" i="5"/>
  <c r="F14" i="5"/>
  <c r="E14" i="5"/>
  <c r="C14" i="5"/>
  <c r="A14" i="5"/>
  <c r="J13" i="5"/>
  <c r="I13" i="5"/>
  <c r="C13" i="5"/>
  <c r="A13" i="5"/>
  <c r="J12" i="5"/>
  <c r="I12" i="5"/>
  <c r="E12" i="5"/>
  <c r="C12" i="5"/>
  <c r="A12" i="5"/>
  <c r="J11" i="5"/>
  <c r="I11" i="5"/>
  <c r="H11" i="5"/>
  <c r="C11" i="5"/>
  <c r="A11" i="5"/>
  <c r="F10" i="5"/>
  <c r="E10" i="5"/>
  <c r="C10" i="5"/>
  <c r="A10" i="5"/>
  <c r="C9" i="5"/>
  <c r="A9" i="5"/>
  <c r="E8" i="5"/>
  <c r="E7" i="5"/>
  <c r="B7" i="5"/>
  <c r="E6" i="5"/>
  <c r="B6" i="5"/>
  <c r="E5" i="5"/>
  <c r="B5" i="5"/>
  <c r="E4" i="5"/>
  <c r="B4" i="5"/>
  <c r="E3" i="5"/>
  <c r="B3" i="5"/>
  <c r="J10" i="5"/>
  <c r="I10" i="5"/>
  <c r="J9" i="5"/>
  <c r="I9" i="5"/>
  <c r="I7" i="5"/>
  <c r="I6" i="5"/>
  <c r="I5" i="5"/>
  <c r="I4" i="5"/>
  <c r="J3" i="5"/>
  <c r="I3" i="5"/>
  <c r="J2" i="5"/>
  <c r="A71" i="4"/>
  <c r="C70" i="4"/>
  <c r="A70" i="4"/>
  <c r="D68" i="4"/>
  <c r="C68" i="4"/>
  <c r="D67" i="4"/>
  <c r="C67" i="4"/>
  <c r="D66" i="4"/>
  <c r="C66" i="4"/>
  <c r="D65" i="4"/>
  <c r="C65" i="4"/>
  <c r="J64" i="4"/>
  <c r="G64" i="4"/>
  <c r="E64" i="4"/>
  <c r="D64" i="4"/>
  <c r="C64" i="4"/>
  <c r="B64" i="4"/>
  <c r="A64" i="4"/>
  <c r="J63" i="4"/>
  <c r="G63" i="4"/>
  <c r="D63" i="4"/>
  <c r="C63" i="4"/>
  <c r="B63" i="4"/>
  <c r="A63" i="4"/>
  <c r="J62" i="4"/>
  <c r="G62" i="4"/>
  <c r="D62" i="4"/>
  <c r="C62" i="4"/>
  <c r="B62" i="4"/>
  <c r="A62" i="4"/>
  <c r="J61" i="4"/>
  <c r="G61" i="4"/>
  <c r="D61" i="4"/>
  <c r="C61" i="4"/>
  <c r="B61" i="4"/>
  <c r="A61" i="4"/>
  <c r="J60" i="4"/>
  <c r="G60" i="4"/>
  <c r="D60" i="4"/>
  <c r="C60" i="4"/>
  <c r="B60" i="4"/>
  <c r="A60" i="4"/>
  <c r="J59" i="4"/>
  <c r="G59" i="4"/>
  <c r="D59" i="4"/>
  <c r="C59" i="4"/>
  <c r="B59" i="4"/>
  <c r="A59" i="4"/>
  <c r="J58" i="4"/>
  <c r="G58" i="4"/>
  <c r="D58" i="4"/>
  <c r="B58" i="4"/>
  <c r="A58" i="4"/>
  <c r="J57" i="4"/>
  <c r="G57" i="4"/>
  <c r="D57" i="4"/>
  <c r="B57" i="4"/>
  <c r="A57" i="4"/>
  <c r="J56" i="4"/>
  <c r="G56" i="4"/>
  <c r="D56" i="4"/>
  <c r="B56" i="4"/>
  <c r="A56" i="4"/>
  <c r="J55" i="4"/>
  <c r="G55" i="4"/>
  <c r="D55" i="4"/>
  <c r="B55" i="4"/>
  <c r="A55" i="4"/>
  <c r="C54" i="4"/>
  <c r="E53" i="4"/>
  <c r="A53" i="4"/>
  <c r="C51" i="4"/>
  <c r="B51" i="4"/>
  <c r="J50" i="4"/>
  <c r="H50" i="4"/>
  <c r="F50" i="4"/>
  <c r="E50" i="4"/>
  <c r="D50" i="4"/>
  <c r="C50" i="4"/>
  <c r="B50" i="4"/>
  <c r="A50" i="4"/>
  <c r="J49" i="4"/>
  <c r="H49" i="4"/>
  <c r="F49" i="4"/>
  <c r="E49" i="4"/>
  <c r="D49" i="4"/>
  <c r="C49" i="4"/>
  <c r="B49" i="4"/>
  <c r="A49" i="4"/>
  <c r="J48" i="4"/>
  <c r="H48" i="4"/>
  <c r="F48" i="4"/>
  <c r="E48" i="4"/>
  <c r="D48" i="4"/>
  <c r="C48" i="4"/>
  <c r="B48" i="4"/>
  <c r="A48" i="4"/>
  <c r="F47" i="4"/>
  <c r="E47" i="4"/>
  <c r="D47" i="4"/>
  <c r="C47" i="4"/>
  <c r="B47" i="4"/>
  <c r="A47" i="4"/>
  <c r="J46" i="4"/>
  <c r="I46" i="4"/>
  <c r="G46" i="4"/>
  <c r="F46" i="4"/>
  <c r="E46" i="4"/>
  <c r="D46" i="4"/>
  <c r="C46" i="4"/>
  <c r="B46" i="4"/>
  <c r="A46" i="4"/>
  <c r="J45" i="4"/>
  <c r="I45" i="4"/>
  <c r="G45" i="4"/>
  <c r="F45" i="4"/>
  <c r="E45" i="4"/>
  <c r="D45" i="4"/>
  <c r="C45" i="4"/>
  <c r="B45" i="4"/>
  <c r="A45" i="4"/>
  <c r="J44" i="4"/>
  <c r="I44" i="4"/>
  <c r="G44" i="4"/>
  <c r="F44" i="4"/>
  <c r="E44" i="4"/>
  <c r="D44" i="4"/>
  <c r="C44" i="4"/>
  <c r="B44" i="4"/>
  <c r="A44" i="4"/>
  <c r="J43" i="4"/>
  <c r="I43" i="4"/>
  <c r="G43" i="4"/>
  <c r="F43" i="4"/>
  <c r="E43" i="4"/>
  <c r="D43" i="4"/>
  <c r="C43" i="4"/>
  <c r="B43" i="4"/>
  <c r="A43" i="4"/>
  <c r="J42" i="4"/>
  <c r="I42" i="4"/>
  <c r="G42" i="4"/>
  <c r="F42" i="4"/>
  <c r="E42" i="4"/>
  <c r="D42" i="4"/>
  <c r="C42" i="4"/>
  <c r="J41" i="4"/>
  <c r="I41" i="4"/>
  <c r="G41" i="4"/>
  <c r="F41" i="4"/>
  <c r="E41" i="4"/>
  <c r="D41" i="4"/>
  <c r="C41" i="4"/>
  <c r="B41" i="4"/>
  <c r="J40" i="4"/>
  <c r="I40" i="4"/>
  <c r="G40" i="4"/>
  <c r="F40" i="4"/>
  <c r="E40" i="4"/>
  <c r="D40" i="4"/>
  <c r="C40" i="4"/>
  <c r="B40" i="4"/>
  <c r="J39" i="4"/>
  <c r="I39" i="4"/>
  <c r="G39" i="4"/>
  <c r="F39" i="4"/>
  <c r="E39" i="4"/>
  <c r="D39" i="4"/>
  <c r="C39" i="4"/>
  <c r="B39" i="4"/>
  <c r="J38" i="4"/>
  <c r="I38" i="4"/>
  <c r="G38" i="4"/>
  <c r="F38" i="4"/>
  <c r="E38" i="4"/>
  <c r="D38" i="4"/>
  <c r="C38" i="4"/>
  <c r="J37" i="4"/>
  <c r="I37" i="4"/>
  <c r="G37" i="4"/>
  <c r="F37" i="4"/>
  <c r="E37" i="4"/>
  <c r="D37" i="4"/>
  <c r="C37" i="4"/>
  <c r="J36" i="4"/>
  <c r="I36" i="4"/>
  <c r="G36" i="4"/>
  <c r="F36" i="4"/>
  <c r="E36" i="4"/>
  <c r="D36" i="4"/>
  <c r="C36" i="4"/>
  <c r="B36" i="4"/>
  <c r="F35" i="4"/>
  <c r="E35" i="4"/>
  <c r="D35" i="4"/>
  <c r="C35" i="4"/>
  <c r="B35" i="4"/>
  <c r="F34" i="4"/>
  <c r="E34" i="4"/>
  <c r="D34" i="4"/>
  <c r="C34" i="4"/>
  <c r="B34" i="4"/>
  <c r="J33" i="4"/>
  <c r="I33" i="4"/>
  <c r="G33" i="4"/>
  <c r="F33" i="4"/>
  <c r="E33" i="4"/>
  <c r="D33" i="4"/>
  <c r="C33" i="4"/>
  <c r="B33" i="4"/>
  <c r="J32" i="4"/>
  <c r="I32" i="4"/>
  <c r="G32" i="4"/>
  <c r="F32" i="4"/>
  <c r="E32" i="4"/>
  <c r="D32" i="4"/>
  <c r="C32" i="4"/>
  <c r="B32" i="4"/>
  <c r="J31" i="4"/>
  <c r="I31" i="4"/>
  <c r="G31" i="4"/>
  <c r="F31" i="4"/>
  <c r="E31" i="4"/>
  <c r="D31" i="4"/>
  <c r="C31" i="4"/>
  <c r="B31" i="4"/>
  <c r="J30" i="4"/>
  <c r="I30" i="4"/>
  <c r="G30" i="4"/>
  <c r="F30" i="4"/>
  <c r="E30" i="4"/>
  <c r="D30" i="4"/>
  <c r="C30" i="4"/>
  <c r="B30" i="4"/>
  <c r="J29" i="4"/>
  <c r="I29" i="4"/>
  <c r="G29" i="4"/>
  <c r="F29" i="4"/>
  <c r="E29" i="4"/>
  <c r="D29" i="4"/>
  <c r="C29" i="4"/>
  <c r="B29" i="4"/>
  <c r="J28" i="4"/>
  <c r="I28" i="4"/>
  <c r="G28" i="4"/>
  <c r="F28" i="4"/>
  <c r="E28" i="4"/>
  <c r="D28" i="4"/>
  <c r="C28" i="4"/>
  <c r="B28" i="4"/>
  <c r="J27" i="4"/>
  <c r="I27" i="4"/>
  <c r="G27" i="4"/>
  <c r="F27" i="4"/>
  <c r="E27" i="4"/>
  <c r="D27" i="4"/>
  <c r="C27" i="4"/>
  <c r="B27" i="4"/>
  <c r="J26" i="4"/>
  <c r="I26" i="4"/>
  <c r="G26" i="4"/>
  <c r="F26" i="4"/>
  <c r="E26" i="4"/>
  <c r="D26" i="4"/>
  <c r="C26" i="4"/>
  <c r="J25" i="4"/>
  <c r="I25" i="4"/>
  <c r="G25" i="4"/>
  <c r="F25" i="4"/>
  <c r="E25" i="4"/>
  <c r="D25" i="4"/>
  <c r="C25" i="4"/>
  <c r="J24" i="4"/>
  <c r="I24" i="4"/>
  <c r="G24" i="4"/>
  <c r="F24" i="4"/>
  <c r="E24" i="4"/>
  <c r="D24" i="4"/>
  <c r="C24" i="4"/>
  <c r="J23" i="4"/>
  <c r="I23" i="4"/>
  <c r="G23" i="4"/>
  <c r="F23" i="4"/>
  <c r="E23" i="4"/>
  <c r="D23" i="4"/>
  <c r="C23" i="4"/>
  <c r="B23" i="4"/>
  <c r="J22" i="4"/>
  <c r="I22" i="4"/>
  <c r="G22" i="4"/>
  <c r="F22" i="4"/>
  <c r="E22" i="4"/>
  <c r="D22" i="4"/>
  <c r="C22" i="4"/>
  <c r="B22" i="4"/>
  <c r="J21" i="4"/>
  <c r="I21" i="4"/>
  <c r="G21" i="4"/>
  <c r="F21" i="4"/>
  <c r="E21" i="4"/>
  <c r="D21" i="4"/>
  <c r="C21" i="4"/>
  <c r="B21" i="4"/>
  <c r="J20" i="4"/>
  <c r="I20" i="4"/>
  <c r="G20" i="4"/>
  <c r="F20" i="4"/>
  <c r="E20" i="4"/>
  <c r="D20" i="4"/>
  <c r="C20" i="4"/>
  <c r="B20" i="4"/>
  <c r="J19" i="4"/>
  <c r="I19" i="4"/>
  <c r="G19" i="4"/>
  <c r="F19" i="4"/>
  <c r="E19" i="4"/>
  <c r="D19" i="4"/>
  <c r="C19" i="4"/>
  <c r="B19" i="4"/>
  <c r="F18" i="4"/>
  <c r="E18" i="4"/>
  <c r="D18" i="4"/>
  <c r="C18" i="4"/>
  <c r="I16" i="4"/>
  <c r="F16" i="4"/>
  <c r="E16" i="4"/>
  <c r="C16" i="4"/>
  <c r="A16" i="4"/>
  <c r="I15" i="4"/>
  <c r="C15" i="4"/>
  <c r="A15" i="4"/>
  <c r="J14" i="4"/>
  <c r="I14" i="4"/>
  <c r="F14" i="4"/>
  <c r="E14" i="4"/>
  <c r="C14" i="4"/>
  <c r="A14" i="4"/>
  <c r="J13" i="4"/>
  <c r="I13" i="4"/>
  <c r="C13" i="4"/>
  <c r="A13" i="4"/>
  <c r="J12" i="4"/>
  <c r="I12" i="4"/>
  <c r="E12" i="4"/>
  <c r="C12" i="4"/>
  <c r="A12" i="4"/>
  <c r="J11" i="4"/>
  <c r="I11" i="4"/>
  <c r="H11" i="4"/>
  <c r="C11" i="4"/>
  <c r="A11" i="4"/>
  <c r="F10" i="4"/>
  <c r="E10" i="4"/>
  <c r="C10" i="4"/>
  <c r="A10" i="4"/>
  <c r="C9" i="4"/>
  <c r="A9" i="4"/>
  <c r="E8" i="4"/>
  <c r="E7" i="4"/>
  <c r="B7" i="4"/>
  <c r="E6" i="4"/>
  <c r="B6" i="4"/>
  <c r="E5" i="4"/>
  <c r="B5" i="4"/>
  <c r="E4" i="4"/>
  <c r="B4" i="4"/>
  <c r="E3" i="4"/>
  <c r="B3" i="4"/>
  <c r="J10" i="4"/>
  <c r="I10" i="4"/>
  <c r="J9" i="4"/>
  <c r="I9" i="4"/>
  <c r="I7" i="4"/>
  <c r="I6" i="4"/>
  <c r="I5" i="4"/>
  <c r="I4" i="4"/>
  <c r="J3" i="4"/>
  <c r="I3" i="4"/>
  <c r="J2" i="4"/>
  <c r="A70" i="3"/>
  <c r="C69" i="3"/>
  <c r="A69" i="3"/>
  <c r="D67" i="3"/>
  <c r="C67" i="3"/>
  <c r="D66" i="3"/>
  <c r="C66" i="3"/>
  <c r="D65" i="3"/>
  <c r="C65" i="3"/>
  <c r="D64" i="3"/>
  <c r="C64" i="3"/>
  <c r="J63" i="3"/>
  <c r="D63" i="3"/>
  <c r="C63" i="3"/>
  <c r="B63" i="3"/>
  <c r="A63" i="3"/>
  <c r="J62" i="3"/>
  <c r="G62" i="3"/>
  <c r="E62" i="3"/>
  <c r="D62" i="3"/>
  <c r="C62" i="3"/>
  <c r="B62" i="3"/>
  <c r="A62" i="3"/>
  <c r="J61" i="3"/>
  <c r="G61" i="3"/>
  <c r="D61" i="3"/>
  <c r="C61" i="3"/>
  <c r="B61" i="3"/>
  <c r="A61" i="3"/>
  <c r="J60" i="3"/>
  <c r="G60" i="3"/>
  <c r="E60" i="3"/>
  <c r="D60" i="3"/>
  <c r="C60" i="3"/>
  <c r="B60" i="3"/>
  <c r="A60" i="3"/>
  <c r="J59" i="3"/>
  <c r="G59" i="3"/>
  <c r="D59" i="3"/>
  <c r="C59" i="3"/>
  <c r="B59" i="3"/>
  <c r="A59" i="3"/>
  <c r="J58" i="3"/>
  <c r="G58" i="3"/>
  <c r="D58" i="3"/>
  <c r="C58" i="3"/>
  <c r="B58" i="3"/>
  <c r="A58" i="3"/>
  <c r="J57" i="3"/>
  <c r="G57" i="3"/>
  <c r="D57" i="3"/>
  <c r="B57" i="3"/>
  <c r="A57" i="3"/>
  <c r="J56" i="3"/>
  <c r="G56" i="3"/>
  <c r="D56" i="3"/>
  <c r="B56" i="3"/>
  <c r="A56" i="3"/>
  <c r="J55" i="3"/>
  <c r="G55" i="3"/>
  <c r="D55" i="3"/>
  <c r="B55" i="3"/>
  <c r="A55" i="3"/>
  <c r="J54" i="3"/>
  <c r="G54" i="3"/>
  <c r="E54" i="3"/>
  <c r="D54" i="3"/>
  <c r="B54" i="3"/>
  <c r="A54" i="3"/>
  <c r="C53" i="3"/>
  <c r="E52" i="3"/>
  <c r="A52" i="3"/>
  <c r="J50" i="3"/>
  <c r="H50" i="3"/>
  <c r="C50" i="3"/>
  <c r="B50" i="3"/>
  <c r="J49" i="3"/>
  <c r="H49" i="3"/>
  <c r="F49" i="3"/>
  <c r="E49" i="3"/>
  <c r="D49" i="3"/>
  <c r="C49" i="3"/>
  <c r="B49" i="3"/>
  <c r="A49" i="3"/>
  <c r="J48" i="3"/>
  <c r="H48" i="3"/>
  <c r="F48" i="3"/>
  <c r="E48" i="3"/>
  <c r="D48" i="3"/>
  <c r="C48" i="3"/>
  <c r="B48" i="3"/>
  <c r="A48" i="3"/>
  <c r="F47" i="3"/>
  <c r="E47" i="3"/>
  <c r="D47" i="3"/>
  <c r="C47" i="3"/>
  <c r="B47" i="3"/>
  <c r="A47" i="3"/>
  <c r="J46" i="3"/>
  <c r="I46" i="3"/>
  <c r="G46" i="3"/>
  <c r="F46" i="3"/>
  <c r="E46" i="3"/>
  <c r="D46" i="3"/>
  <c r="C46" i="3"/>
  <c r="B46" i="3"/>
  <c r="A46" i="3"/>
  <c r="J45" i="3"/>
  <c r="I45" i="3"/>
  <c r="G45" i="3"/>
  <c r="F45" i="3"/>
  <c r="E45" i="3"/>
  <c r="D45" i="3"/>
  <c r="C45" i="3"/>
  <c r="B45" i="3"/>
  <c r="A45" i="3"/>
  <c r="J44" i="3"/>
  <c r="I44" i="3"/>
  <c r="G44" i="3"/>
  <c r="F44" i="3"/>
  <c r="E44" i="3"/>
  <c r="D44" i="3"/>
  <c r="C44" i="3"/>
  <c r="B44" i="3"/>
  <c r="A44" i="3"/>
  <c r="J43" i="3"/>
  <c r="I43" i="3"/>
  <c r="G43" i="3"/>
  <c r="F43" i="3"/>
  <c r="E43" i="3"/>
  <c r="D43" i="3"/>
  <c r="C43" i="3"/>
  <c r="B43" i="3"/>
  <c r="A43" i="3"/>
  <c r="J42" i="3"/>
  <c r="I42" i="3"/>
  <c r="G42" i="3"/>
  <c r="F42" i="3"/>
  <c r="E42" i="3"/>
  <c r="D42" i="3"/>
  <c r="C42" i="3"/>
  <c r="B42" i="3"/>
  <c r="A42" i="3"/>
  <c r="J41" i="3"/>
  <c r="I41" i="3"/>
  <c r="G41" i="3"/>
  <c r="F41" i="3"/>
  <c r="E41" i="3"/>
  <c r="D41" i="3"/>
  <c r="C41" i="3"/>
  <c r="J40" i="3"/>
  <c r="I40" i="3"/>
  <c r="G40" i="3"/>
  <c r="F40" i="3"/>
  <c r="E40" i="3"/>
  <c r="D40" i="3"/>
  <c r="C40" i="3"/>
  <c r="B40" i="3"/>
  <c r="J39" i="3"/>
  <c r="I39" i="3"/>
  <c r="G39" i="3"/>
  <c r="F39" i="3"/>
  <c r="E39" i="3"/>
  <c r="D39" i="3"/>
  <c r="C39" i="3"/>
  <c r="B39" i="3"/>
  <c r="J38" i="3"/>
  <c r="I38" i="3"/>
  <c r="G38" i="3"/>
  <c r="F38" i="3"/>
  <c r="E38" i="3"/>
  <c r="D38" i="3"/>
  <c r="C38" i="3"/>
  <c r="J37" i="3"/>
  <c r="I37" i="3"/>
  <c r="G37" i="3"/>
  <c r="F37" i="3"/>
  <c r="E37" i="3"/>
  <c r="D37" i="3"/>
  <c r="C37" i="3"/>
  <c r="J36" i="3"/>
  <c r="I36" i="3"/>
  <c r="G36" i="3"/>
  <c r="F36" i="3"/>
  <c r="E36" i="3"/>
  <c r="D36" i="3"/>
  <c r="C36" i="3"/>
  <c r="B36" i="3"/>
  <c r="F35" i="3"/>
  <c r="E35" i="3"/>
  <c r="D35" i="3"/>
  <c r="C35" i="3"/>
  <c r="B35" i="3"/>
  <c r="F34" i="3"/>
  <c r="E34" i="3"/>
  <c r="D34" i="3"/>
  <c r="C34" i="3"/>
  <c r="B34" i="3"/>
  <c r="J33" i="3"/>
  <c r="I33" i="3"/>
  <c r="G33" i="3"/>
  <c r="F33" i="3"/>
  <c r="E33" i="3"/>
  <c r="D33" i="3"/>
  <c r="C33" i="3"/>
  <c r="B33" i="3"/>
  <c r="J32" i="3"/>
  <c r="I32" i="3"/>
  <c r="G32" i="3"/>
  <c r="F32" i="3"/>
  <c r="E32" i="3"/>
  <c r="D32" i="3"/>
  <c r="C32" i="3"/>
  <c r="B32" i="3"/>
  <c r="J31" i="3"/>
  <c r="I31" i="3"/>
  <c r="G31" i="3"/>
  <c r="F31" i="3"/>
  <c r="E31" i="3"/>
  <c r="D31" i="3"/>
  <c r="C31" i="3"/>
  <c r="B31" i="3"/>
  <c r="J30" i="3"/>
  <c r="I30" i="3"/>
  <c r="G30" i="3"/>
  <c r="F30" i="3"/>
  <c r="E30" i="3"/>
  <c r="D30" i="3"/>
  <c r="C30" i="3"/>
  <c r="B30" i="3"/>
  <c r="J29" i="3"/>
  <c r="I29" i="3"/>
  <c r="G29" i="3"/>
  <c r="F29" i="3"/>
  <c r="E29" i="3"/>
  <c r="D29" i="3"/>
  <c r="C29" i="3"/>
  <c r="B29" i="3"/>
  <c r="J28" i="3"/>
  <c r="I28" i="3"/>
  <c r="G28" i="3"/>
  <c r="F28" i="3"/>
  <c r="E28" i="3"/>
  <c r="D28" i="3"/>
  <c r="C28" i="3"/>
  <c r="B28" i="3"/>
  <c r="J27" i="3"/>
  <c r="I27" i="3"/>
  <c r="G27" i="3"/>
  <c r="F27" i="3"/>
  <c r="E27" i="3"/>
  <c r="D27" i="3"/>
  <c r="C27" i="3"/>
  <c r="B27" i="3"/>
  <c r="J26" i="3"/>
  <c r="I26" i="3"/>
  <c r="G26" i="3"/>
  <c r="F26" i="3"/>
  <c r="E26" i="3"/>
  <c r="D26" i="3"/>
  <c r="C26" i="3"/>
  <c r="J25" i="3"/>
  <c r="I25" i="3"/>
  <c r="G25" i="3"/>
  <c r="F25" i="3"/>
  <c r="E25" i="3"/>
  <c r="D25" i="3"/>
  <c r="C25" i="3"/>
  <c r="J24" i="3"/>
  <c r="I24" i="3"/>
  <c r="G24" i="3"/>
  <c r="F24" i="3"/>
  <c r="E24" i="3"/>
  <c r="D24" i="3"/>
  <c r="C24" i="3"/>
  <c r="J23" i="3"/>
  <c r="I23" i="3"/>
  <c r="G23" i="3"/>
  <c r="F23" i="3"/>
  <c r="E23" i="3"/>
  <c r="D23" i="3"/>
  <c r="C23" i="3"/>
  <c r="B23" i="3"/>
  <c r="J22" i="3"/>
  <c r="I22" i="3"/>
  <c r="G22" i="3"/>
  <c r="F22" i="3"/>
  <c r="E22" i="3"/>
  <c r="D22" i="3"/>
  <c r="C22" i="3"/>
  <c r="B22" i="3"/>
  <c r="J21" i="3"/>
  <c r="I21" i="3"/>
  <c r="G21" i="3"/>
  <c r="F21" i="3"/>
  <c r="E21" i="3"/>
  <c r="D21" i="3"/>
  <c r="C21" i="3"/>
  <c r="B21" i="3"/>
  <c r="J20" i="3"/>
  <c r="I20" i="3"/>
  <c r="G20" i="3"/>
  <c r="F20" i="3"/>
  <c r="E20" i="3"/>
  <c r="D20" i="3"/>
  <c r="C20" i="3"/>
  <c r="B20" i="3"/>
  <c r="J19" i="3"/>
  <c r="I19" i="3"/>
  <c r="G19" i="3"/>
  <c r="F19" i="3"/>
  <c r="E19" i="3"/>
  <c r="D19" i="3"/>
  <c r="C19" i="3"/>
  <c r="B19" i="3"/>
  <c r="F18" i="3"/>
  <c r="E18" i="3"/>
  <c r="D18" i="3"/>
  <c r="C18" i="3"/>
  <c r="I16" i="3"/>
  <c r="F16" i="3"/>
  <c r="E16" i="3"/>
  <c r="C16" i="3"/>
  <c r="A16" i="3"/>
  <c r="I15" i="3"/>
  <c r="C15" i="3"/>
  <c r="A15" i="3"/>
  <c r="J14" i="3"/>
  <c r="I14" i="3"/>
  <c r="F14" i="3"/>
  <c r="E14" i="3"/>
  <c r="C14" i="3"/>
  <c r="A14" i="3"/>
  <c r="J13" i="3"/>
  <c r="I13" i="3"/>
  <c r="C13" i="3"/>
  <c r="A13" i="3"/>
  <c r="J12" i="3"/>
  <c r="I12" i="3"/>
  <c r="E12" i="3"/>
  <c r="C12" i="3"/>
  <c r="A12" i="3"/>
  <c r="J11" i="3"/>
  <c r="I11" i="3"/>
  <c r="H11" i="3"/>
  <c r="C11" i="3"/>
  <c r="A11" i="3"/>
  <c r="F10" i="3"/>
  <c r="E10" i="3"/>
  <c r="C10" i="3"/>
  <c r="A10" i="3"/>
  <c r="C9" i="3"/>
  <c r="A9" i="3"/>
  <c r="E8" i="3"/>
  <c r="E7" i="3"/>
  <c r="B7" i="3"/>
  <c r="E6" i="3"/>
  <c r="B6" i="3"/>
  <c r="E5" i="3"/>
  <c r="B5" i="3"/>
  <c r="E4" i="3"/>
  <c r="B4" i="3"/>
  <c r="E3" i="3"/>
  <c r="B3" i="3"/>
  <c r="J10" i="3"/>
  <c r="I10" i="3"/>
  <c r="J9" i="3"/>
  <c r="I9" i="3"/>
  <c r="I7" i="3"/>
  <c r="I6" i="3"/>
  <c r="I5" i="3"/>
  <c r="I4" i="3"/>
  <c r="J3" i="3"/>
  <c r="I3" i="3"/>
  <c r="J2" i="3"/>
  <c r="D70" i="5"/>
  <c r="I70" i="5"/>
  <c r="G70" i="5"/>
  <c r="I69" i="5"/>
  <c r="G69" i="5"/>
  <c r="I68" i="5"/>
  <c r="G68" i="5"/>
  <c r="D70" i="4"/>
  <c r="I70" i="4"/>
  <c r="G70" i="4"/>
  <c r="I69" i="4"/>
  <c r="G69" i="4"/>
  <c r="I68" i="4"/>
  <c r="G68" i="4"/>
  <c r="D69" i="3"/>
  <c r="I69" i="3"/>
  <c r="G69" i="3"/>
  <c r="I68" i="3"/>
  <c r="G68" i="3"/>
  <c r="I67" i="3"/>
  <c r="G67" i="3"/>
  <c r="I70" i="3"/>
  <c r="G70" i="3"/>
  <c r="I71" i="4"/>
  <c r="G71" i="4"/>
  <c r="I71" i="5"/>
  <c r="G71" i="5"/>
  <c r="G43" i="15"/>
  <c r="G45" i="15" s="1"/>
  <c r="G44" i="15"/>
  <c r="B45" i="15"/>
  <c r="C45" i="15"/>
  <c r="E45" i="15"/>
  <c r="H62" i="15"/>
  <c r="K7" i="7"/>
  <c r="K7" i="14"/>
  <c r="K67" i="14" s="1"/>
  <c r="F67" i="14"/>
  <c r="F68" i="14"/>
  <c r="F127" i="14"/>
  <c r="K127" i="14"/>
  <c r="F128" i="14"/>
  <c r="M11" i="7"/>
  <c r="R13" i="7" s="1"/>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31" i="7"/>
  <c r="M132" i="7"/>
  <c r="M133" i="7"/>
  <c r="M134" i="7"/>
  <c r="M135" i="7"/>
  <c r="M136" i="7"/>
  <c r="M137" i="7"/>
  <c r="M138" i="7"/>
  <c r="M139" i="7"/>
  <c r="M140" i="7"/>
  <c r="M141" i="7"/>
  <c r="M142" i="7"/>
  <c r="I154" i="7"/>
  <c r="I153" i="7"/>
  <c r="I152" i="7"/>
  <c r="I151" i="7"/>
  <c r="I150" i="7"/>
  <c r="I149" i="7"/>
  <c r="I148" i="7"/>
  <c r="I147" i="7"/>
  <c r="I146" i="7"/>
  <c r="I145" i="7"/>
  <c r="I144" i="7"/>
  <c r="I143" i="7"/>
  <c r="I142" i="7"/>
  <c r="I141" i="7"/>
  <c r="I140" i="7"/>
  <c r="I139" i="7"/>
  <c r="I138" i="7"/>
  <c r="I137" i="7"/>
  <c r="I136" i="7"/>
  <c r="I135" i="7"/>
  <c r="E53" i="3"/>
  <c r="I10" i="9"/>
  <c r="I11" i="9"/>
  <c r="I12" i="9"/>
  <c r="I13" i="9"/>
  <c r="I14" i="9"/>
  <c r="I15" i="9"/>
  <c r="I16" i="9"/>
  <c r="I17" i="9"/>
  <c r="I18" i="9"/>
  <c r="I19" i="9"/>
  <c r="I20" i="9"/>
  <c r="I21" i="9"/>
  <c r="I22" i="9"/>
  <c r="I23" i="9"/>
  <c r="I24" i="9"/>
  <c r="I25" i="9"/>
  <c r="I26" i="9"/>
  <c r="I27" i="9"/>
  <c r="I28" i="9"/>
  <c r="I29" i="9"/>
  <c r="I30" i="9"/>
  <c r="I31" i="9"/>
  <c r="H12" i="9"/>
  <c r="O12" i="9"/>
  <c r="A12" i="9"/>
  <c r="G12" i="9"/>
  <c r="E12" i="9"/>
  <c r="F12" i="9"/>
  <c r="J12" i="9"/>
  <c r="I32" i="9"/>
  <c r="I33" i="9"/>
  <c r="I34" i="9"/>
  <c r="I35" i="9"/>
  <c r="I36" i="9"/>
  <c r="I37" i="9"/>
  <c r="I38" i="9"/>
  <c r="I39" i="9"/>
  <c r="I40" i="9"/>
  <c r="I41" i="9"/>
  <c r="I42" i="9"/>
  <c r="I43" i="9"/>
  <c r="I44" i="9"/>
  <c r="I45" i="9"/>
  <c r="H10" i="9"/>
  <c r="O10" i="9"/>
  <c r="A10" i="9"/>
  <c r="G10" i="9"/>
  <c r="F10" i="9"/>
  <c r="E10" i="9"/>
  <c r="J10" i="9"/>
  <c r="H11" i="9"/>
  <c r="O11" i="9"/>
  <c r="A11" i="9"/>
  <c r="G11" i="9"/>
  <c r="F11" i="9"/>
  <c r="E11" i="9"/>
  <c r="J11" i="9"/>
  <c r="H13" i="9"/>
  <c r="O13" i="9"/>
  <c r="A13" i="9"/>
  <c r="G13" i="9"/>
  <c r="E13" i="9"/>
  <c r="H14" i="9"/>
  <c r="O14" i="9"/>
  <c r="A14" i="9"/>
  <c r="G14" i="9"/>
  <c r="E14" i="9"/>
  <c r="H15" i="9"/>
  <c r="O15" i="9"/>
  <c r="A15" i="9"/>
  <c r="G15" i="9"/>
  <c r="E15" i="9"/>
  <c r="O48" i="9"/>
  <c r="P48" i="9"/>
  <c r="E48" i="9"/>
  <c r="F13" i="9"/>
  <c r="J13" i="9" s="1"/>
  <c r="F14" i="9"/>
  <c r="J14" i="9" s="1"/>
  <c r="F15" i="9"/>
  <c r="J15" i="9" s="1"/>
  <c r="A16" i="9"/>
  <c r="O16" i="9"/>
  <c r="G16" i="9"/>
  <c r="F16" i="9"/>
  <c r="H16" i="9"/>
  <c r="E16" i="9"/>
  <c r="J16" i="9"/>
  <c r="A17" i="9"/>
  <c r="O17" i="9"/>
  <c r="G17" i="9"/>
  <c r="F17" i="9"/>
  <c r="H17" i="9"/>
  <c r="E17" i="9"/>
  <c r="J17" i="9"/>
  <c r="A18" i="9"/>
  <c r="O18" i="9"/>
  <c r="G18" i="9"/>
  <c r="F18" i="9"/>
  <c r="H18" i="9"/>
  <c r="E18" i="9"/>
  <c r="J18" i="9"/>
  <c r="A19" i="9"/>
  <c r="O19" i="9"/>
  <c r="G19" i="9"/>
  <c r="F19" i="9"/>
  <c r="H19" i="9"/>
  <c r="E19" i="9"/>
  <c r="J19" i="9"/>
  <c r="A20" i="9"/>
  <c r="O20" i="9"/>
  <c r="G20" i="9"/>
  <c r="F20" i="9"/>
  <c r="H20" i="9"/>
  <c r="E20" i="9"/>
  <c r="J20" i="9"/>
  <c r="A21" i="9"/>
  <c r="O21" i="9"/>
  <c r="G21" i="9"/>
  <c r="F21" i="9"/>
  <c r="H21" i="9"/>
  <c r="E21" i="9"/>
  <c r="J21" i="9"/>
  <c r="A22" i="9"/>
  <c r="O22" i="9"/>
  <c r="G22" i="9"/>
  <c r="F22" i="9"/>
  <c r="H22" i="9"/>
  <c r="E22" i="9"/>
  <c r="J22" i="9"/>
  <c r="A23" i="9"/>
  <c r="O23" i="9"/>
  <c r="G23" i="9"/>
  <c r="F23" i="9"/>
  <c r="H23" i="9"/>
  <c r="E23" i="9"/>
  <c r="J23" i="9"/>
  <c r="A24" i="9"/>
  <c r="O24" i="9"/>
  <c r="G24" i="9"/>
  <c r="F24" i="9"/>
  <c r="H24" i="9"/>
  <c r="E24" i="9"/>
  <c r="J24" i="9"/>
  <c r="A25" i="9"/>
  <c r="O25" i="9"/>
  <c r="G25" i="9"/>
  <c r="F25" i="9"/>
  <c r="H25" i="9"/>
  <c r="E25" i="9"/>
  <c r="J25" i="9"/>
  <c r="A26" i="9"/>
  <c r="O26" i="9"/>
  <c r="G26" i="9"/>
  <c r="F26" i="9"/>
  <c r="H26" i="9"/>
  <c r="E26" i="9"/>
  <c r="J26" i="9"/>
  <c r="A27" i="9"/>
  <c r="O27" i="9"/>
  <c r="G27" i="9"/>
  <c r="F27" i="9"/>
  <c r="H27" i="9"/>
  <c r="E27" i="9"/>
  <c r="J27" i="9"/>
  <c r="A28" i="9"/>
  <c r="O28" i="9"/>
  <c r="G28" i="9"/>
  <c r="F28" i="9"/>
  <c r="H28" i="9"/>
  <c r="E28" i="9"/>
  <c r="J28" i="9"/>
  <c r="A29" i="9"/>
  <c r="O29" i="9"/>
  <c r="G29" i="9"/>
  <c r="F29" i="9"/>
  <c r="H29" i="9"/>
  <c r="E29" i="9"/>
  <c r="J29" i="9"/>
  <c r="A30" i="9"/>
  <c r="O30" i="9"/>
  <c r="G30" i="9"/>
  <c r="F30" i="9"/>
  <c r="H30" i="9"/>
  <c r="E30" i="9"/>
  <c r="J30" i="9"/>
  <c r="A31" i="9"/>
  <c r="O31" i="9"/>
  <c r="G31" i="9"/>
  <c r="F31" i="9"/>
  <c r="H31" i="9"/>
  <c r="E31" i="9"/>
  <c r="J31" i="9"/>
  <c r="A32" i="9"/>
  <c r="O32" i="9"/>
  <c r="G32" i="9"/>
  <c r="F32" i="9"/>
  <c r="H32" i="9"/>
  <c r="E32" i="9"/>
  <c r="J32" i="9"/>
  <c r="A33" i="9"/>
  <c r="O33" i="9"/>
  <c r="G33" i="9"/>
  <c r="F33" i="9"/>
  <c r="H33" i="9"/>
  <c r="E33" i="9"/>
  <c r="J33" i="9"/>
  <c r="A34" i="9"/>
  <c r="O34" i="9"/>
  <c r="G34" i="9"/>
  <c r="F34" i="9"/>
  <c r="H34" i="9"/>
  <c r="E34" i="9"/>
  <c r="J34" i="9"/>
  <c r="A35" i="9"/>
  <c r="G35" i="9"/>
  <c r="F35" i="9"/>
  <c r="H35" i="9"/>
  <c r="J35" i="9"/>
  <c r="A36" i="9"/>
  <c r="G36" i="9"/>
  <c r="F36" i="9"/>
  <c r="H36" i="9"/>
  <c r="J36" i="9"/>
  <c r="A37" i="9"/>
  <c r="G37" i="9"/>
  <c r="F37" i="9"/>
  <c r="H37" i="9"/>
  <c r="J37" i="9"/>
  <c r="A38" i="9"/>
  <c r="G38" i="9"/>
  <c r="F38" i="9"/>
  <c r="H38" i="9"/>
  <c r="J38" i="9"/>
  <c r="A39" i="9"/>
  <c r="G39" i="9"/>
  <c r="F39" i="9"/>
  <c r="H39" i="9"/>
  <c r="J39" i="9"/>
  <c r="A40" i="9"/>
  <c r="G40" i="9"/>
  <c r="F40" i="9"/>
  <c r="H40" i="9"/>
  <c r="J40" i="9"/>
  <c r="A41" i="9"/>
  <c r="G41" i="9"/>
  <c r="F41" i="9"/>
  <c r="H41" i="9"/>
  <c r="J41" i="9"/>
  <c r="A42" i="9"/>
  <c r="G42" i="9"/>
  <c r="F42" i="9"/>
  <c r="H42" i="9"/>
  <c r="J42" i="9"/>
  <c r="A43" i="9"/>
  <c r="G43" i="9"/>
  <c r="F43" i="9"/>
  <c r="H43" i="9"/>
  <c r="J43" i="9"/>
  <c r="A44" i="9"/>
  <c r="G44" i="9"/>
  <c r="F44" i="9"/>
  <c r="H44" i="9"/>
  <c r="J44" i="9"/>
  <c r="A45" i="9"/>
  <c r="G45" i="9"/>
  <c r="F45" i="9"/>
  <c r="H45" i="9"/>
  <c r="J45" i="9"/>
  <c r="E49" i="9"/>
  <c r="O45" i="9"/>
  <c r="O44" i="9"/>
  <c r="O43" i="9"/>
  <c r="O42" i="9"/>
  <c r="O41" i="9"/>
  <c r="O40" i="9"/>
  <c r="O39" i="9"/>
  <c r="O38" i="9"/>
  <c r="O37" i="9"/>
  <c r="O36" i="9"/>
  <c r="O35" i="9"/>
  <c r="E45" i="9"/>
  <c r="E44" i="9"/>
  <c r="E43" i="9"/>
  <c r="E42" i="9"/>
  <c r="E41" i="9"/>
  <c r="E40" i="9"/>
  <c r="E39" i="9"/>
  <c r="E38" i="9"/>
  <c r="E37" i="9"/>
  <c r="E36" i="9"/>
  <c r="E35" i="9"/>
  <c r="I2" i="9"/>
  <c r="M49" i="10"/>
  <c r="B51" i="10"/>
  <c r="G39" i="10"/>
  <c r="G38" i="10"/>
  <c r="G37" i="10"/>
  <c r="G36" i="10"/>
  <c r="G35" i="10"/>
  <c r="G34" i="10"/>
  <c r="G33" i="10"/>
  <c r="G32" i="10"/>
  <c r="G31" i="10"/>
  <c r="G30" i="10"/>
  <c r="G29" i="10"/>
  <c r="G28" i="10"/>
  <c r="G27" i="10"/>
  <c r="G26" i="10"/>
  <c r="G25" i="10"/>
  <c r="G24" i="10"/>
  <c r="G23" i="10"/>
  <c r="G22" i="10"/>
  <c r="G21" i="10"/>
  <c r="G20" i="10"/>
  <c r="G19" i="10"/>
  <c r="G18" i="10"/>
  <c r="G17" i="10"/>
  <c r="G16" i="10"/>
  <c r="G15" i="10"/>
  <c r="G14" i="10"/>
  <c r="G13" i="10"/>
  <c r="G12" i="10"/>
  <c r="G11" i="10"/>
  <c r="G10" i="10"/>
  <c r="I1" i="10"/>
  <c r="N49" i="10"/>
  <c r="K49" i="10"/>
  <c r="J49" i="10"/>
  <c r="I49" i="10"/>
  <c r="H49" i="10"/>
  <c r="G49" i="10"/>
  <c r="F49" i="10"/>
  <c r="E49" i="10"/>
  <c r="D49" i="10"/>
  <c r="F128" i="7" l="1"/>
  <c r="F68" i="7"/>
  <c r="F127" i="7"/>
  <c r="F67" i="7"/>
  <c r="K127" i="7"/>
  <c r="K67" i="7"/>
  <c r="E47" i="9"/>
  <c r="E50" i="9" s="1"/>
</calcChain>
</file>

<file path=xl/sharedStrings.xml><?xml version="1.0" encoding="utf-8"?>
<sst xmlns="http://schemas.openxmlformats.org/spreadsheetml/2006/main" count="1114" uniqueCount="380">
  <si>
    <t>Mud Weight</t>
  </si>
  <si>
    <t>Pump Pressure</t>
  </si>
  <si>
    <t>Weight Material</t>
  </si>
  <si>
    <t>Weight</t>
  </si>
  <si>
    <t>Mud Type :</t>
  </si>
  <si>
    <t>Date :</t>
  </si>
  <si>
    <t>DAILY COST</t>
  </si>
  <si>
    <t xml:space="preserve">Well Name : </t>
  </si>
  <si>
    <t xml:space="preserve"> Well Name :</t>
  </si>
  <si>
    <t>Jet Velocity</t>
  </si>
  <si>
    <t>ECD at Shoe</t>
  </si>
  <si>
    <t xml:space="preserve">Operator : </t>
  </si>
  <si>
    <t xml:space="preserve">Report For : </t>
  </si>
  <si>
    <t>Field/Area :</t>
  </si>
  <si>
    <t>Spud Date :</t>
  </si>
  <si>
    <t xml:space="preserve">Contractor: </t>
  </si>
  <si>
    <t>Location :</t>
  </si>
  <si>
    <t>Activity :</t>
  </si>
  <si>
    <t>Hole</t>
  </si>
  <si>
    <t>Active Pits</t>
  </si>
  <si>
    <t>Total Circulating Volume</t>
  </si>
  <si>
    <t>MUD PROPERTIES</t>
  </si>
  <si>
    <t>CIRCULATION DATA</t>
  </si>
  <si>
    <t>Depth/TVD</t>
  </si>
  <si>
    <t>PV</t>
  </si>
  <si>
    <t>YP</t>
  </si>
  <si>
    <t>R6/R3</t>
  </si>
  <si>
    <t>10s/10m/30m Gel</t>
  </si>
  <si>
    <t>Oil/Water</t>
  </si>
  <si>
    <t>Flow Rate</t>
  </si>
  <si>
    <t>Chlorides</t>
  </si>
  <si>
    <t>Solids</t>
  </si>
  <si>
    <t>MBT</t>
  </si>
  <si>
    <t>Low Gravity</t>
  </si>
  <si>
    <t>Drill Solids</t>
  </si>
  <si>
    <t>API Fluid Loss</t>
  </si>
  <si>
    <t>HTHP Fluid Loss</t>
  </si>
  <si>
    <t>Depth/TVD :</t>
  </si>
  <si>
    <t>Description :</t>
  </si>
  <si>
    <t>DRILLING ASSEMBLY</t>
  </si>
  <si>
    <t>CASING</t>
  </si>
  <si>
    <t>Pump Make</t>
  </si>
  <si>
    <t>Pump Liner x Stk</t>
  </si>
  <si>
    <t>Pump stk/min</t>
  </si>
  <si>
    <t>Bottoms Up</t>
  </si>
  <si>
    <t>Total Circulation</t>
  </si>
  <si>
    <t>PRODUCTS USED Last 24 hr</t>
  </si>
  <si>
    <t>Sample From</t>
  </si>
  <si>
    <t xml:space="preserve">Products </t>
  </si>
  <si>
    <t>Size</t>
  </si>
  <si>
    <t>Amount</t>
  </si>
  <si>
    <t>FlowLine Temp</t>
  </si>
  <si>
    <t>Funnel Viscosity</t>
  </si>
  <si>
    <t>Rheology Temp</t>
  </si>
  <si>
    <t>R600/R300</t>
  </si>
  <si>
    <t>R200/R100</t>
  </si>
  <si>
    <t>Cake APT/HT</t>
  </si>
  <si>
    <t>SOLIDS CONTROL EQUIPMENT Last 24 hr</t>
  </si>
  <si>
    <t>Sand</t>
  </si>
  <si>
    <t>Type</t>
  </si>
  <si>
    <t>Model/Size</t>
  </si>
  <si>
    <t>Hrs Used</t>
  </si>
  <si>
    <t>Alkal Mud (Pm)</t>
  </si>
  <si>
    <t>Pf/Mf</t>
  </si>
  <si>
    <t>Hardness (Ca++)</t>
  </si>
  <si>
    <t>MUD PROPERTY SPECS</t>
  </si>
  <si>
    <t>Actual</t>
  </si>
  <si>
    <t>Viscosity</t>
  </si>
  <si>
    <t>Filtrate</t>
  </si>
  <si>
    <t>REMARKS AND TREATMENT</t>
  </si>
  <si>
    <t>REMARKS</t>
  </si>
  <si>
    <t>TIME DISTRIBUTION Last 24 hrs</t>
  </si>
  <si>
    <t>RHEOLOGY &amp; HYDRAULICS</t>
  </si>
  <si>
    <t>Oil Added</t>
  </si>
  <si>
    <t>NaCl</t>
  </si>
  <si>
    <t>np/na</t>
  </si>
  <si>
    <t>Water Added</t>
  </si>
  <si>
    <t>KCl</t>
  </si>
  <si>
    <t>Kp/Ka</t>
  </si>
  <si>
    <t>Mud Received</t>
  </si>
  <si>
    <t>Bit Pressure Loss %</t>
  </si>
  <si>
    <t>Bentonite</t>
  </si>
  <si>
    <t>Bit HHP/HSI</t>
  </si>
  <si>
    <t>Va Pipe</t>
  </si>
  <si>
    <t>Chemical Conc</t>
  </si>
  <si>
    <t>Va Collars</t>
  </si>
  <si>
    <t>Inert/React</t>
  </si>
  <si>
    <t>Cva Pipe</t>
  </si>
  <si>
    <t>Average SG</t>
  </si>
  <si>
    <t>Cva Collars</t>
  </si>
  <si>
    <t>M-I ENGR / PHONE</t>
  </si>
  <si>
    <t>WAREHOUSE PHONE</t>
  </si>
  <si>
    <t>CUMULATIVE COST</t>
  </si>
  <si>
    <t>Screen Name</t>
  </si>
  <si>
    <t>Mesh</t>
  </si>
  <si>
    <t>Start</t>
  </si>
  <si>
    <t>New</t>
  </si>
  <si>
    <t>Used</t>
  </si>
  <si>
    <t>Received</t>
  </si>
  <si>
    <t>Return</t>
  </si>
  <si>
    <t>Final</t>
  </si>
  <si>
    <t>for Well</t>
  </si>
  <si>
    <t>TOTALS</t>
  </si>
  <si>
    <t>Installed Today</t>
  </si>
  <si>
    <t>Mud Returned</t>
  </si>
  <si>
    <t>pH / Temp</t>
  </si>
  <si>
    <t>Mud Weight /Temp</t>
  </si>
  <si>
    <t>Water Depth :</t>
  </si>
  <si>
    <t>CASING (*TVD)</t>
  </si>
  <si>
    <t>Unc Ret Solids</t>
  </si>
  <si>
    <t>Correct Solids</t>
  </si>
  <si>
    <t>Synthetic</t>
  </si>
  <si>
    <t>Uncorr Water</t>
  </si>
  <si>
    <t>Synthetic/Water Ratio</t>
  </si>
  <si>
    <t>Alkal Mud (Pom)</t>
  </si>
  <si>
    <t>Cl- Whole Mud</t>
  </si>
  <si>
    <t>Salt</t>
  </si>
  <si>
    <t>Lime</t>
  </si>
  <si>
    <t>Emul Stability</t>
  </si>
  <si>
    <t>SOLIDS ANALYSIS</t>
  </si>
  <si>
    <t>Salt Wt%</t>
  </si>
  <si>
    <t>Salt Conc</t>
  </si>
  <si>
    <t>Adjusted Solids</t>
  </si>
  <si>
    <t>Bit Pressure Loss/%</t>
  </si>
  <si>
    <t>Average SG Solids</t>
  </si>
  <si>
    <t>Low Gravity %</t>
  </si>
  <si>
    <t>Low Gravity Wt.</t>
  </si>
  <si>
    <t>High Gravity %</t>
  </si>
  <si>
    <t>High Gravity Wt.</t>
  </si>
  <si>
    <t>RIG PHONE</t>
  </si>
  <si>
    <t>Depth Drilled Last 24hr</t>
  </si>
  <si>
    <t xml:space="preserve"> Volume Drilled Last 24hr</t>
  </si>
  <si>
    <t>Equipment Description</t>
  </si>
  <si>
    <t>Unit Cost</t>
  </si>
  <si>
    <t>Today</t>
  </si>
  <si>
    <t>Total</t>
  </si>
  <si>
    <t>Depth Drilled Last 24 hr</t>
  </si>
  <si>
    <t xml:space="preserve"> Volume Drilled Last 24 hr</t>
  </si>
  <si>
    <t>Daily</t>
  </si>
  <si>
    <t>Daily Rental</t>
  </si>
  <si>
    <t>Full</t>
  </si>
  <si>
    <t>Stand-by</t>
  </si>
  <si>
    <t>(F)ull or</t>
  </si>
  <si>
    <t>(S)tand-by</t>
  </si>
  <si>
    <t>wm items</t>
  </si>
  <si>
    <t>drilling fluids items</t>
  </si>
  <si>
    <t>Full Price</t>
  </si>
  <si>
    <t>SB</t>
  </si>
  <si>
    <t>Tax</t>
  </si>
  <si>
    <t>Discount</t>
  </si>
  <si>
    <t>SwacoP</t>
  </si>
  <si>
    <t>EqType</t>
  </si>
  <si>
    <t>Price Cat</t>
  </si>
  <si>
    <t>ChargeCode</t>
  </si>
  <si>
    <t>Drilling  Fluids Equipment</t>
  </si>
  <si>
    <t>Other Solids Removal Equipment</t>
  </si>
  <si>
    <t>Additional Equipment</t>
  </si>
  <si>
    <t>Code</t>
  </si>
  <si>
    <t>DO NOT UPDATE OR MODIFY THIS WORKSHEET!!</t>
  </si>
  <si>
    <t>Cost</t>
  </si>
  <si>
    <t xml:space="preserve"> </t>
  </si>
  <si>
    <t>Unit</t>
  </si>
  <si>
    <t>mt conv factor</t>
  </si>
  <si>
    <t>ONE-TRAX Report Menu</t>
  </si>
  <si>
    <t>Author</t>
  </si>
  <si>
    <t>Modified By</t>
  </si>
  <si>
    <t>Date Modified</t>
  </si>
  <si>
    <t>Special Notes</t>
  </si>
  <si>
    <t>IFE Team</t>
  </si>
  <si>
    <t>Calcium Chloride (wt %)</t>
  </si>
  <si>
    <t>Brine Specific Gravity</t>
  </si>
  <si>
    <t>Corrected Solids (%)</t>
  </si>
  <si>
    <t>Average SG of Solids</t>
  </si>
  <si>
    <t>Low Gravity Solids (%)</t>
  </si>
  <si>
    <t>High Gravity Solids (%)</t>
  </si>
  <si>
    <t>Synthetic Added</t>
  </si>
  <si>
    <t>Oil/Water Ratio</t>
  </si>
  <si>
    <t>Oil</t>
  </si>
  <si>
    <t>Daily Report</t>
  </si>
  <si>
    <t xml:space="preserve">Date : </t>
  </si>
  <si>
    <t>Report No:</t>
  </si>
  <si>
    <t>Location:</t>
  </si>
  <si>
    <t xml:space="preserve">Page </t>
  </si>
  <si>
    <t>Cost Summary</t>
  </si>
  <si>
    <t>Total Daily Cost:</t>
  </si>
  <si>
    <t>Cumulative Cost:</t>
  </si>
  <si>
    <t>Product</t>
  </si>
  <si>
    <t xml:space="preserve">Unit </t>
  </si>
  <si>
    <t>Cum</t>
  </si>
  <si>
    <t>Cum.</t>
  </si>
  <si>
    <t xml:space="preserve">Daily </t>
  </si>
  <si>
    <t>Price</t>
  </si>
  <si>
    <t>Rec'd</t>
  </si>
  <si>
    <t>Stock</t>
  </si>
  <si>
    <t>Operator :</t>
  </si>
  <si>
    <t>Amt.</t>
  </si>
  <si>
    <t>WELLSITE CHEMICAL INVENTORY</t>
  </si>
  <si>
    <t>Alkal Mud (Psm)</t>
  </si>
  <si>
    <t>Reserve Volume</t>
  </si>
  <si>
    <t>MUD VOLUME ACCOUNTING</t>
  </si>
  <si>
    <t>Well Name:</t>
  </si>
  <si>
    <t>Report No.:</t>
  </si>
  <si>
    <t>TANK</t>
  </si>
  <si>
    <t>CAPACITY</t>
  </si>
  <si>
    <t>WEIGHT</t>
  </si>
  <si>
    <t>VOLUME</t>
  </si>
  <si>
    <t>CLASS</t>
  </si>
  <si>
    <t>SUM PIT VOLUMES</t>
  </si>
  <si>
    <t>MUD VOLUME</t>
  </si>
  <si>
    <t>Active</t>
  </si>
  <si>
    <t>Reserve</t>
  </si>
  <si>
    <t>Premix</t>
  </si>
  <si>
    <t>OTHER VOLUME</t>
  </si>
  <si>
    <t>MUD IN HOLE:</t>
  </si>
  <si>
    <t>ANNULUS</t>
  </si>
  <si>
    <t>PIPE</t>
  </si>
  <si>
    <t>BELOW BIT</t>
  </si>
  <si>
    <t>TOTAL</t>
  </si>
  <si>
    <t>Total Hole Volume</t>
  </si>
  <si>
    <t>Volume Not Mud</t>
  </si>
  <si>
    <t>Mud Volume</t>
  </si>
  <si>
    <t>IN/TO:</t>
  </si>
  <si>
    <t>ACTIVE</t>
  </si>
  <si>
    <t>RESERVE</t>
  </si>
  <si>
    <t>PREMIX</t>
  </si>
  <si>
    <t>Start Volume</t>
  </si>
  <si>
    <t>Vol Chem Added</t>
  </si>
  <si>
    <t>Chem Not For Mud</t>
  </si>
  <si>
    <t>Total Volume Built</t>
  </si>
  <si>
    <t>From Active To</t>
  </si>
  <si>
    <t>From Reserve To</t>
  </si>
  <si>
    <t>From Premix To</t>
  </si>
  <si>
    <t>Daily Loss</t>
  </si>
  <si>
    <t>Final Volume</t>
  </si>
  <si>
    <t>Total Loss</t>
  </si>
  <si>
    <t>* Click Run First Before Viewing, Printing or Saving Reports</t>
  </si>
  <si>
    <t>Daily Cost:</t>
  </si>
  <si>
    <t>Rig Name :</t>
  </si>
  <si>
    <t>Total Daily Tax:</t>
  </si>
  <si>
    <t>Before Taxes</t>
  </si>
  <si>
    <t>EXTRA  PROPERTIES</t>
  </si>
  <si>
    <t>Before Taxes (Include Not Print Products)</t>
  </si>
  <si>
    <t>MUD IN HOLE (bbls)</t>
  </si>
  <si>
    <t>VOLUME BALANCE (bbls)</t>
  </si>
  <si>
    <t>LOSS BREAKDOWN (bbls)</t>
  </si>
  <si>
    <t>D. Wilson / D. Ekas</t>
  </si>
  <si>
    <t>17 February, 2005</t>
  </si>
  <si>
    <r>
      <t>The "Run First" button must be clicked to sort the equipment information for the reports in this template.</t>
    </r>
    <r>
      <rPr>
        <sz val="10"/>
        <rFont val="Arial"/>
      </rPr>
      <t xml:space="preserve">  This template contains mud reporting, mud inventory, equipment, and screen inventory templates.  </t>
    </r>
  </si>
  <si>
    <r>
      <t>The</t>
    </r>
    <r>
      <rPr>
        <sz val="10"/>
        <rFont val="Arial"/>
      </rPr>
      <t xml:space="preserve"> Save Final Report macro saves the worksheets as values and removes the links.</t>
    </r>
  </si>
  <si>
    <r>
      <t>The</t>
    </r>
    <r>
      <rPr>
        <sz val="10"/>
        <rFont val="Arial"/>
      </rPr>
      <t xml:space="preserve"> Mud Volume Info sheet was added by Ronnie Primeaux.  </t>
    </r>
  </si>
  <si>
    <t>Drlg Fluids</t>
  </si>
  <si>
    <t>Screens</t>
  </si>
  <si>
    <t>S.R.E. &amp; Engr.</t>
  </si>
  <si>
    <r>
      <t xml:space="preserve">The </t>
    </r>
    <r>
      <rPr>
        <sz val="10"/>
        <rFont val="Arial"/>
        <family val="2"/>
      </rPr>
      <t>Solids Equipment &amp; Screen costs were added to the mud checks by David Ekas.</t>
    </r>
  </si>
  <si>
    <t>ECD at TD</t>
  </si>
  <si>
    <t>DERRICK SHEKER 1</t>
  </si>
  <si>
    <t>DERRICK SHAKER 2</t>
  </si>
  <si>
    <t>DERRICK SHAKER 3</t>
  </si>
  <si>
    <t>MOD 312 / 10T2 w/o pump</t>
  </si>
  <si>
    <t>Cardon IV</t>
  </si>
  <si>
    <t>Perla-1X</t>
  </si>
  <si>
    <t>Offshore</t>
  </si>
  <si>
    <t>BENTONITE WYOMING</t>
  </si>
  <si>
    <t>100. LB BG</t>
  </si>
  <si>
    <t>CALCIUM CARBONATE #6</t>
  </si>
  <si>
    <t>50. LB BG</t>
  </si>
  <si>
    <t>CAUSTIC POTASH (POTASSIUM HYDROXIDE - KOH)</t>
  </si>
  <si>
    <t>25. KG BG</t>
  </si>
  <si>
    <t>CAUSTIC SODA</t>
  </si>
  <si>
    <t>CELL-U-SEAL FINE</t>
  </si>
  <si>
    <t>30. LB BG</t>
  </si>
  <si>
    <t>DEFOAM X</t>
  </si>
  <si>
    <t>5. GA CN</t>
  </si>
  <si>
    <t>DRIL-KLEEN</t>
  </si>
  <si>
    <t>DUO-VIS</t>
  </si>
  <si>
    <t>ENGINEERING SERVICE</t>
  </si>
  <si>
    <t>1.  EA</t>
  </si>
  <si>
    <t>G-SEAL PLUS</t>
  </si>
  <si>
    <t>LIME</t>
  </si>
  <si>
    <t>20. KG BG</t>
  </si>
  <si>
    <t>LOWA TECH 70/75</t>
  </si>
  <si>
    <t>M-I BAR BULK</t>
  </si>
  <si>
    <t>M-I PAC R</t>
  </si>
  <si>
    <t>PECAN NUT PLUG CSE</t>
  </si>
  <si>
    <t>PIPE-LAX</t>
  </si>
  <si>
    <t>55. GA DM</t>
  </si>
  <si>
    <t>POLYPAC R</t>
  </si>
  <si>
    <t>POLYPAC UL</t>
  </si>
  <si>
    <t>SODA ASH</t>
  </si>
  <si>
    <t>50. KG BG</t>
  </si>
  <si>
    <t>SODIUM BICARBONATE</t>
  </si>
  <si>
    <t>THINSMART</t>
  </si>
  <si>
    <t>25. LB BG</t>
  </si>
  <si>
    <t xml:space="preserve">WATER-BASED MUD REPORT No. 16 </t>
  </si>
  <si>
    <t>Golfo de Venezuela</t>
  </si>
  <si>
    <t>2888 ft /</t>
  </si>
  <si>
    <t>2888 ft</t>
  </si>
  <si>
    <t>KYLE MORRIS/ JOHNY QUINTERO</t>
  </si>
  <si>
    <t>Exploratory</t>
  </si>
  <si>
    <t>Ensco</t>
  </si>
  <si>
    <t>202 ft</t>
  </si>
  <si>
    <t>FLUIDO HI VIS</t>
  </si>
  <si>
    <t>WADE HARPER</t>
  </si>
  <si>
    <t>POOH-W/CASING</t>
  </si>
  <si>
    <t>MUD VOLUME   (bbl)</t>
  </si>
  <si>
    <t>1849 ft, 20.-in DP</t>
  </si>
  <si>
    <t>30.-in @563 ft (563 TVD)</t>
  </si>
  <si>
    <t>NATIONAL 12P-160</t>
  </si>
  <si>
    <t xml:space="preserve"> ft, -in </t>
  </si>
  <si>
    <t>6,5x12 in</t>
  </si>
  <si>
    <t>Pump Capacity gal/stk</t>
  </si>
  <si>
    <t>65@97%</t>
  </si>
  <si>
    <t>gal/min</t>
  </si>
  <si>
    <t>ft</t>
  </si>
  <si>
    <t>psi</t>
  </si>
  <si>
    <t>Nozzles 0 1/32"</t>
  </si>
  <si>
    <t>35.7 min     4646 stk</t>
  </si>
  <si>
    <t>Bit 26-in 0</t>
  </si>
  <si>
    <t>bbl</t>
  </si>
  <si>
    <t>120.2 min     15624 stk</t>
  </si>
  <si>
    <t>TK  2 20:00</t>
  </si>
  <si>
    <t>TK  2 1200.</t>
  </si>
  <si>
    <t>°F</t>
  </si>
  <si>
    <t>2880/2880</t>
  </si>
  <si>
    <t>lb/gal</t>
  </si>
  <si>
    <t>10@85</t>
  </si>
  <si>
    <t>s/qt</t>
  </si>
  <si>
    <t>34/24</t>
  </si>
  <si>
    <t>20/16</t>
  </si>
  <si>
    <t>21/15</t>
  </si>
  <si>
    <t>6/5</t>
  </si>
  <si>
    <t>cP</t>
  </si>
  <si>
    <t>lb/100ft²</t>
  </si>
  <si>
    <t>5/12/16</t>
  </si>
  <si>
    <t>5/12/14</t>
  </si>
  <si>
    <t>cc/30min</t>
  </si>
  <si>
    <t>0@</t>
  </si>
  <si>
    <t>1/32"</t>
  </si>
  <si>
    <t>1/</t>
  </si>
  <si>
    <t>%Vol</t>
  </si>
  <si>
    <t>/92</t>
  </si>
  <si>
    <t>lb/bbl</t>
  </si>
  <si>
    <t>4 X 170</t>
  </si>
  <si>
    <t>9@85</t>
  </si>
  <si>
    <t>2X140 2X100</t>
  </si>
  <si>
    <t>4X170</t>
  </si>
  <si>
    <t>00/00</t>
  </si>
  <si>
    <t>4 X 200</t>
  </si>
  <si>
    <t>mg/L</t>
  </si>
  <si>
    <t>40</t>
  </si>
  <si>
    <t>N/C</t>
  </si>
  <si>
    <t>Run 20" csng, stuck at 1951 ft, circulate, work pipe, when free, start POOH to lay down casing. Added some polymer adjust mud properties, and some pac for fluid loss control.  Mixed and pumpe 2 sweeps while circulating through casing.    Rcvd 805 bbls of Versaclean mud, store on rig tank. Will report entered on next mud report.</t>
  </si>
  <si>
    <t>After circulating casing, still not free, pull with a lot of tension, and slowly came free, POOH, and lay down casing, will RIH and clean hole</t>
  </si>
  <si>
    <t>MUD VOL ACCTG   (bbl)</t>
  </si>
  <si>
    <t>SOLIDS ANALYSIS (%/lb/bbl)</t>
  </si>
  <si>
    <t>Rig Up/Service</t>
  </si>
  <si>
    <t>0,8/ 9,6</t>
  </si>
  <si>
    <t>0,503/0,332</t>
  </si>
  <si>
    <t>Drilling</t>
  </si>
  <si>
    <t>0,/ 0,</t>
  </si>
  <si>
    <t>1,115/3,106</t>
  </si>
  <si>
    <t>Tripping</t>
  </si>
  <si>
    <t>2,5/ 23,2</t>
  </si>
  <si>
    <t xml:space="preserve"> / 0.</t>
  </si>
  <si>
    <t>Non-Productive Time</t>
  </si>
  <si>
    <t>1,5/ 13,3</t>
  </si>
  <si>
    <t>Running Casing</t>
  </si>
  <si>
    <t>Shakers</t>
  </si>
  <si>
    <t>0,9/ 7,6</t>
  </si>
  <si>
    <t>Left in Hole</t>
  </si>
  <si>
    <t>4,6/ 68,</t>
  </si>
  <si>
    <t>Other</t>
  </si>
  <si>
    <t xml:space="preserve"> -  /  2,4</t>
  </si>
  <si>
    <t>Desplazamiento</t>
  </si>
  <si>
    <t>0,3875</t>
  </si>
  <si>
    <t>Humectacion</t>
  </si>
  <si>
    <t>3,53</t>
  </si>
  <si>
    <t>Desechado</t>
  </si>
  <si>
    <t>Viaje</t>
  </si>
  <si>
    <t>Jesus Villarroel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</si>
</sst>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_(&quot;$&quot;\ * #,##0.00_);_(&quot;$&quot;\ * \(#,##0.00\);_(&quot;$&quot;\ * &quot;-&quot;??_);_(@_)"/>
    <numFmt numFmtId="169" formatCode="0.0"/>
    <numFmt numFmtId="170" formatCode="&quot;$&quot;#,##0.00"/>
    <numFmt numFmtId="171" formatCode="[$-409]mmmm\ d\,\ yyyy;@"/>
  </numFmts>
  <fonts count="66" x14ac:knownFonts="1">
    <font>
      <sz val="10"/>
      <name val="Arial"/>
    </font>
    <font>
      <sz val="10"/>
      <name val="Arial"/>
    </font>
    <font>
      <sz val="10"/>
      <name val="Arial"/>
      <family val="2"/>
    </font>
    <font>
      <sz val="8"/>
      <name val="Arial"/>
      <family val="2"/>
    </font>
    <font>
      <b/>
      <sz val="10"/>
      <name val="Arial"/>
      <family val="2"/>
    </font>
    <font>
      <b/>
      <sz val="10"/>
      <color indexed="10"/>
      <name val="Arial"/>
      <family val="2"/>
    </font>
    <font>
      <b/>
      <sz val="8"/>
      <name val="Arial"/>
      <family val="2"/>
    </font>
    <font>
      <sz val="9"/>
      <name val="Arial"/>
      <family val="2"/>
    </font>
    <font>
      <sz val="9"/>
      <color indexed="8"/>
      <name val="Arial"/>
      <family val="2"/>
    </font>
    <font>
      <sz val="11"/>
      <name val="Arial"/>
      <family val="2"/>
    </font>
    <font>
      <b/>
      <sz val="11"/>
      <name val="Arial"/>
      <family val="2"/>
    </font>
    <font>
      <sz val="9"/>
      <name val="Arial Rounded MT Bold"/>
      <family val="2"/>
    </font>
    <font>
      <sz val="18"/>
      <color indexed="32"/>
      <name val="Arial"/>
      <family val="2"/>
    </font>
    <font>
      <sz val="18"/>
      <name val="Arial"/>
      <family val="2"/>
    </font>
    <font>
      <b/>
      <sz val="18"/>
      <color indexed="32"/>
      <name val="Arial"/>
      <family val="2"/>
    </font>
    <font>
      <b/>
      <sz val="11"/>
      <color indexed="10"/>
      <name val="Arial"/>
      <family val="2"/>
    </font>
    <font>
      <b/>
      <sz val="8"/>
      <color indexed="32"/>
      <name val="Arial"/>
      <family val="2"/>
    </font>
    <font>
      <b/>
      <sz val="8"/>
      <name val="Arial"/>
    </font>
    <font>
      <b/>
      <sz val="8"/>
      <color indexed="10"/>
      <name val="Arial"/>
    </font>
    <font>
      <sz val="8"/>
      <color indexed="32"/>
      <name val="Arial"/>
      <family val="2"/>
    </font>
    <font>
      <b/>
      <sz val="11"/>
      <color indexed="32"/>
      <name val="Arial"/>
      <family val="2"/>
    </font>
    <font>
      <sz val="10"/>
      <color indexed="10"/>
      <name val="Arial"/>
      <family val="2"/>
    </font>
    <font>
      <sz val="14"/>
      <name val="Arial"/>
      <family val="2"/>
    </font>
    <font>
      <b/>
      <sz val="14"/>
      <color indexed="32"/>
      <name val="Arial"/>
      <family val="2"/>
    </font>
    <font>
      <b/>
      <sz val="9"/>
      <color indexed="32"/>
      <name val="Arial"/>
      <family val="2"/>
    </font>
    <font>
      <b/>
      <sz val="9"/>
      <name val="Arial"/>
    </font>
    <font>
      <sz val="8"/>
      <color indexed="18"/>
      <name val="Arial"/>
      <family val="2"/>
    </font>
    <font>
      <b/>
      <sz val="8"/>
      <color indexed="32"/>
      <name val="Arial"/>
    </font>
    <font>
      <b/>
      <sz val="8"/>
      <color indexed="10"/>
      <name val="Arial"/>
      <family val="2"/>
    </font>
    <font>
      <sz val="9"/>
      <color indexed="10"/>
      <name val="Arial"/>
      <family val="2"/>
    </font>
    <font>
      <sz val="8"/>
      <color indexed="8"/>
      <name val="Arial"/>
      <family val="2"/>
    </font>
    <font>
      <sz val="5"/>
      <name val="Arial"/>
      <family val="2"/>
    </font>
    <font>
      <sz val="9"/>
      <color indexed="9"/>
      <name val="Arial"/>
      <family val="2"/>
    </font>
    <font>
      <sz val="10"/>
      <color indexed="9"/>
      <name val="Arial"/>
      <family val="2"/>
    </font>
    <font>
      <b/>
      <sz val="18"/>
      <color indexed="10"/>
      <name val="Arial"/>
      <family val="2"/>
    </font>
    <font>
      <b/>
      <sz val="10"/>
      <color indexed="9"/>
      <name val="Arial"/>
      <family val="2"/>
    </font>
    <font>
      <b/>
      <sz val="12"/>
      <color indexed="13"/>
      <name val="Arial"/>
      <family val="2"/>
    </font>
    <font>
      <b/>
      <sz val="18"/>
      <name val="Arial"/>
      <family val="2"/>
    </font>
    <font>
      <b/>
      <sz val="11"/>
      <color indexed="18"/>
      <name val="Arial"/>
      <family val="2"/>
    </font>
    <font>
      <b/>
      <sz val="14"/>
      <name val="Arial"/>
      <family val="2"/>
    </font>
    <font>
      <b/>
      <sz val="8"/>
      <color indexed="62"/>
      <name val="Arial"/>
      <family val="2"/>
    </font>
    <font>
      <b/>
      <sz val="8"/>
      <color indexed="18"/>
      <name val="Arial"/>
      <family val="2"/>
    </font>
    <font>
      <sz val="9"/>
      <name val="Times New Roman"/>
      <family val="1"/>
    </font>
    <font>
      <b/>
      <u/>
      <sz val="10"/>
      <color indexed="62"/>
      <name val="Arial"/>
      <family val="2"/>
    </font>
    <font>
      <b/>
      <sz val="8"/>
      <name val="Times New Roman"/>
      <family val="1"/>
    </font>
    <font>
      <b/>
      <sz val="9"/>
      <name val="Times New Roman"/>
      <family val="1"/>
    </font>
    <font>
      <sz val="8"/>
      <name val="Times New Roman"/>
      <family val="1"/>
    </font>
    <font>
      <sz val="10"/>
      <name val="Times New Roman"/>
      <family val="1"/>
    </font>
    <font>
      <sz val="7"/>
      <color indexed="32"/>
      <name val="Arial"/>
      <family val="2"/>
    </font>
    <font>
      <sz val="7"/>
      <name val="Arial"/>
      <family val="2"/>
    </font>
    <font>
      <sz val="10"/>
      <color indexed="8"/>
      <name val="MS Sans Serif"/>
    </font>
    <font>
      <b/>
      <sz val="9.9499999999999993"/>
      <color indexed="8"/>
      <name val="Arial"/>
    </font>
    <font>
      <b/>
      <sz val="12"/>
      <color indexed="18"/>
      <name val="Arial"/>
    </font>
    <font>
      <b/>
      <sz val="9.9499999999999993"/>
      <color indexed="18"/>
      <name val="Arial"/>
    </font>
    <font>
      <b/>
      <sz val="9"/>
      <color indexed="8"/>
      <name val="Arial"/>
    </font>
    <font>
      <sz val="9"/>
      <color indexed="8"/>
      <name val="Times New Roman"/>
    </font>
    <font>
      <sz val="8"/>
      <color indexed="8"/>
      <name val="Times New Roman"/>
    </font>
    <font>
      <sz val="9"/>
      <color indexed="8"/>
      <name val="Times New Roman"/>
      <family val="1"/>
    </font>
    <font>
      <b/>
      <sz val="9"/>
      <color indexed="8"/>
      <name val="Times New Roman"/>
      <family val="1"/>
    </font>
    <font>
      <b/>
      <sz val="9"/>
      <color indexed="8"/>
      <name val="Times New Roman"/>
    </font>
    <font>
      <sz val="8"/>
      <color indexed="62"/>
      <name val="Arial"/>
      <family val="2"/>
    </font>
    <font>
      <sz val="10"/>
      <color indexed="62"/>
      <name val="Arial"/>
      <family val="2"/>
    </font>
    <font>
      <b/>
      <sz val="14"/>
      <name val="MS Sans Serif"/>
      <family val="2"/>
    </font>
    <font>
      <b/>
      <sz val="9.9499999999999993"/>
      <name val="Arial"/>
    </font>
    <font>
      <sz val="10"/>
      <color indexed="8"/>
      <name val="Times New Roman"/>
      <family val="1"/>
    </font>
    <font>
      <sz val="8"/>
      <name val="Arial"/>
    </font>
  </fonts>
  <fills count="11">
    <fill>
      <patternFill patternType="none"/>
    </fill>
    <fill>
      <patternFill patternType="gray125"/>
    </fill>
    <fill>
      <patternFill patternType="solid">
        <fgColor indexed="9"/>
        <bgColor indexed="64"/>
      </patternFill>
    </fill>
    <fill>
      <patternFill patternType="solid">
        <fgColor indexed="43"/>
        <bgColor indexed="64"/>
      </patternFill>
    </fill>
    <fill>
      <patternFill patternType="solid">
        <fgColor indexed="15"/>
        <bgColor indexed="64"/>
      </patternFill>
    </fill>
    <fill>
      <patternFill patternType="solid">
        <fgColor indexed="26"/>
        <bgColor indexed="64"/>
      </patternFill>
    </fill>
    <fill>
      <patternFill patternType="solid">
        <fgColor indexed="22"/>
        <bgColor indexed="64"/>
      </patternFill>
    </fill>
    <fill>
      <patternFill patternType="solid">
        <fgColor indexed="22"/>
        <bgColor indexed="0"/>
      </patternFill>
    </fill>
    <fill>
      <patternFill patternType="solid">
        <fgColor indexed="63"/>
        <bgColor indexed="64"/>
      </patternFill>
    </fill>
    <fill>
      <patternFill patternType="solid">
        <fgColor indexed="22"/>
        <bgColor indexed="10"/>
      </patternFill>
    </fill>
    <fill>
      <patternFill patternType="solid">
        <fgColor indexed="8"/>
        <bgColor indexed="64"/>
      </patternFill>
    </fill>
  </fills>
  <borders count="149">
    <border>
      <left/>
      <right/>
      <top/>
      <bottom/>
      <diagonal/>
    </border>
    <border>
      <left/>
      <right/>
      <top/>
      <bottom style="hair">
        <color indexed="64"/>
      </bottom>
      <diagonal/>
    </border>
    <border>
      <left style="thin">
        <color indexed="64"/>
      </left>
      <right/>
      <top/>
      <bottom style="hair">
        <color indexed="64"/>
      </bottom>
      <diagonal/>
    </border>
    <border>
      <left/>
      <right/>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style="thin">
        <color indexed="64"/>
      </left>
      <right/>
      <top/>
      <bottom style="thin">
        <color indexed="64"/>
      </bottom>
      <diagonal/>
    </border>
    <border>
      <left/>
      <right/>
      <top style="thin">
        <color indexed="64"/>
      </top>
      <bottom style="medium">
        <color indexed="64"/>
      </bottom>
      <diagonal/>
    </border>
    <border>
      <left/>
      <right/>
      <top style="thin">
        <color indexed="64"/>
      </top>
      <bottom style="thin">
        <color indexed="64"/>
      </bottom>
      <diagonal/>
    </border>
    <border>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thin">
        <color indexed="64"/>
      </top>
      <bottom/>
      <diagonal/>
    </border>
    <border>
      <left style="medium">
        <color indexed="64"/>
      </left>
      <right style="medium">
        <color indexed="64"/>
      </right>
      <top/>
      <bottom style="thin">
        <color indexed="64"/>
      </bottom>
      <diagonal/>
    </border>
    <border>
      <left style="thin">
        <color indexed="64"/>
      </left>
      <right style="thin">
        <color indexed="64"/>
      </right>
      <top style="thin">
        <color indexed="64"/>
      </top>
      <bottom/>
      <diagonal/>
    </border>
    <border>
      <left/>
      <right style="medium">
        <color indexed="64"/>
      </right>
      <top style="medium">
        <color indexed="64"/>
      </top>
      <bottom style="medium">
        <color indexed="64"/>
      </bottom>
      <diagonal/>
    </border>
    <border>
      <left style="thick">
        <color indexed="64"/>
      </left>
      <right style="thick">
        <color indexed="64"/>
      </right>
      <top style="thick">
        <color indexed="64"/>
      </top>
      <bottom style="thick">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right style="double">
        <color indexed="64"/>
      </right>
      <top/>
      <bottom style="thin">
        <color indexed="64"/>
      </bottom>
      <diagonal/>
    </border>
    <border>
      <left style="double">
        <color indexed="64"/>
      </left>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thin">
        <color indexed="64"/>
      </left>
      <right/>
      <top/>
      <bottom style="double">
        <color indexed="64"/>
      </bottom>
      <diagonal/>
    </border>
    <border>
      <left style="double">
        <color indexed="64"/>
      </left>
      <right/>
      <top/>
      <bottom style="thin">
        <color indexed="64"/>
      </bottom>
      <diagonal/>
    </border>
    <border>
      <left style="thin">
        <color indexed="64"/>
      </left>
      <right style="double">
        <color indexed="64"/>
      </right>
      <top/>
      <bottom style="thin">
        <color indexed="64"/>
      </bottom>
      <diagonal/>
    </border>
    <border>
      <left style="thick">
        <color indexed="64"/>
      </left>
      <right/>
      <top style="thick">
        <color indexed="64"/>
      </top>
      <bottom/>
      <diagonal/>
    </border>
    <border>
      <left/>
      <right/>
      <top style="thick">
        <color indexed="64"/>
      </top>
      <bottom/>
      <diagonal/>
    </border>
    <border>
      <left style="thick">
        <color indexed="64"/>
      </left>
      <right/>
      <top/>
      <bottom/>
      <diagonal/>
    </border>
    <border>
      <left/>
      <right style="thick">
        <color indexed="64"/>
      </right>
      <top/>
      <bottom/>
      <diagonal/>
    </border>
    <border>
      <left style="thick">
        <color indexed="64"/>
      </left>
      <right/>
      <top style="medium">
        <color indexed="64"/>
      </top>
      <bottom/>
      <diagonal/>
    </border>
    <border>
      <left/>
      <right style="thick">
        <color indexed="64"/>
      </right>
      <top style="medium">
        <color indexed="64"/>
      </top>
      <bottom/>
      <diagonal/>
    </border>
    <border>
      <left style="thick">
        <color indexed="64"/>
      </left>
      <right/>
      <top/>
      <bottom style="medium">
        <color indexed="64"/>
      </bottom>
      <diagonal/>
    </border>
    <border>
      <left/>
      <right style="thick">
        <color indexed="64"/>
      </right>
      <top/>
      <bottom style="medium">
        <color indexed="64"/>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thin">
        <color indexed="64"/>
      </right>
      <top style="medium">
        <color indexed="64"/>
      </top>
      <bottom style="thin">
        <color indexed="64"/>
      </bottom>
      <diagonal/>
    </border>
    <border>
      <left style="medium">
        <color indexed="64"/>
      </left>
      <right style="thick">
        <color indexed="64"/>
      </right>
      <top/>
      <bottom/>
      <diagonal/>
    </border>
    <border>
      <left style="thick">
        <color indexed="64"/>
      </left>
      <right style="thin">
        <color indexed="64"/>
      </right>
      <top style="thin">
        <color indexed="64"/>
      </top>
      <bottom style="thin">
        <color indexed="64"/>
      </bottom>
      <diagonal/>
    </border>
    <border>
      <left/>
      <right style="thick">
        <color indexed="64"/>
      </right>
      <top style="medium">
        <color indexed="64"/>
      </top>
      <bottom style="thin">
        <color indexed="64"/>
      </bottom>
      <diagonal/>
    </border>
    <border>
      <left/>
      <right style="thick">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ck">
        <color indexed="64"/>
      </right>
      <top/>
      <bottom style="medium">
        <color indexed="64"/>
      </bottom>
      <diagonal/>
    </border>
    <border>
      <left style="thin">
        <color indexed="64"/>
      </left>
      <right style="thick">
        <color indexed="64"/>
      </right>
      <top style="thin">
        <color indexed="64"/>
      </top>
      <bottom style="thin">
        <color indexed="64"/>
      </bottom>
      <diagonal/>
    </border>
    <border>
      <left style="thick">
        <color indexed="64"/>
      </left>
      <right/>
      <top/>
      <bottom style="thin">
        <color indexed="64"/>
      </bottom>
      <diagonal/>
    </border>
    <border>
      <left style="thin">
        <color indexed="64"/>
      </left>
      <right style="medium">
        <color indexed="64"/>
      </right>
      <top/>
      <bottom style="thin">
        <color indexed="64"/>
      </bottom>
      <diagonal/>
    </border>
    <border>
      <left style="thick">
        <color indexed="64"/>
      </left>
      <right/>
      <top style="thin">
        <color indexed="64"/>
      </top>
      <bottom style="thin">
        <color indexed="64"/>
      </bottom>
      <diagonal/>
    </border>
    <border>
      <left style="thick">
        <color indexed="64"/>
      </left>
      <right/>
      <top style="thin">
        <color indexed="64"/>
      </top>
      <bottom style="thick">
        <color indexed="64"/>
      </bottom>
      <diagonal/>
    </border>
    <border>
      <left/>
      <right style="thin">
        <color indexed="64"/>
      </right>
      <top style="thin">
        <color indexed="64"/>
      </top>
      <bottom style="thick">
        <color indexed="64"/>
      </bottom>
      <diagonal/>
    </border>
    <border>
      <left style="medium">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diagonal/>
    </border>
    <border>
      <left style="thin">
        <color indexed="64"/>
      </left>
      <right style="double">
        <color indexed="64"/>
      </right>
      <top/>
      <bottom style="double">
        <color indexed="64"/>
      </bottom>
      <diagonal/>
    </border>
    <border>
      <left style="double">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top style="thin">
        <color indexed="64"/>
      </top>
      <bottom/>
      <diagonal/>
    </border>
    <border>
      <left style="thin">
        <color indexed="64"/>
      </left>
      <right style="double">
        <color indexed="64"/>
      </right>
      <top/>
      <bottom/>
      <diagonal/>
    </border>
    <border>
      <left/>
      <right style="thin">
        <color indexed="64"/>
      </right>
      <top/>
      <bottom style="double">
        <color indexed="64"/>
      </bottom>
      <diagonal/>
    </border>
    <border>
      <left style="thin">
        <color indexed="64"/>
      </left>
      <right style="thin">
        <color indexed="64"/>
      </right>
      <top style="thin">
        <color indexed="64"/>
      </top>
      <bottom style="thick">
        <color indexed="64"/>
      </bottom>
      <diagonal/>
    </border>
    <border>
      <left style="thin">
        <color indexed="64"/>
      </left>
      <right style="medium">
        <color indexed="64"/>
      </right>
      <top style="thin">
        <color indexed="64"/>
      </top>
      <bottom style="thick">
        <color indexed="64"/>
      </bottom>
      <diagonal/>
    </border>
    <border>
      <left/>
      <right style="thick">
        <color indexed="64"/>
      </right>
      <top style="thin">
        <color indexed="64"/>
      </top>
      <bottom/>
      <diagonal/>
    </border>
    <border>
      <left/>
      <right style="thick">
        <color indexed="64"/>
      </right>
      <top style="thick">
        <color indexed="64"/>
      </top>
      <bottom/>
      <diagonal/>
    </border>
    <border>
      <left style="thin">
        <color indexed="64"/>
      </left>
      <right style="thick">
        <color indexed="64"/>
      </right>
      <top style="thin">
        <color indexed="64"/>
      </top>
      <bottom/>
      <diagonal/>
    </border>
    <border>
      <left style="thick">
        <color indexed="64"/>
      </left>
      <right style="thin">
        <color indexed="64"/>
      </right>
      <top style="thin">
        <color indexed="64"/>
      </top>
      <bottom style="thick">
        <color indexed="64"/>
      </bottom>
      <diagonal/>
    </border>
    <border>
      <left style="thick">
        <color indexed="64"/>
      </left>
      <right/>
      <top/>
      <bottom style="thick">
        <color indexed="64"/>
      </bottom>
      <diagonal/>
    </border>
    <border>
      <left/>
      <right style="thick">
        <color indexed="64"/>
      </right>
      <top/>
      <bottom style="thick">
        <color indexed="64"/>
      </bottom>
      <diagonal/>
    </border>
    <border>
      <left/>
      <right/>
      <top/>
      <bottom style="thick">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ck">
        <color indexed="64"/>
      </right>
      <top style="thick">
        <color indexed="64"/>
      </top>
      <bottom/>
      <diagonal/>
    </border>
    <border>
      <left style="thick">
        <color indexed="64"/>
      </left>
      <right style="thick">
        <color indexed="64"/>
      </right>
      <top/>
      <bottom/>
      <diagonal/>
    </border>
    <border>
      <left style="thick">
        <color indexed="64"/>
      </left>
      <right style="thick">
        <color indexed="64"/>
      </right>
      <top/>
      <bottom style="thick">
        <color indexed="64"/>
      </bottom>
      <diagonal/>
    </border>
    <border>
      <left style="medium">
        <color indexed="64"/>
      </left>
      <right style="thin">
        <color indexed="64"/>
      </right>
      <top/>
      <bottom/>
      <diagonal/>
    </border>
    <border>
      <left style="thin">
        <color indexed="64"/>
      </left>
      <right/>
      <top style="medium">
        <color indexed="64"/>
      </top>
      <bottom/>
      <diagonal/>
    </border>
    <border>
      <left style="thick">
        <color indexed="64"/>
      </left>
      <right/>
      <top style="thin">
        <color indexed="64"/>
      </top>
      <bottom/>
      <diagonal/>
    </border>
    <border>
      <left/>
      <right style="thick">
        <color indexed="64"/>
      </right>
      <top/>
      <bottom style="thin">
        <color indexed="64"/>
      </bottom>
      <diagonal/>
    </border>
    <border>
      <left/>
      <right style="thick">
        <color indexed="64"/>
      </right>
      <top style="thin">
        <color indexed="64"/>
      </top>
      <bottom style="medium">
        <color indexed="64"/>
      </bottom>
      <diagonal/>
    </border>
    <border>
      <left style="medium">
        <color indexed="64"/>
      </left>
      <right style="thin">
        <color indexed="64"/>
      </right>
      <top style="medium">
        <color indexed="64"/>
      </top>
      <bottom/>
      <diagonal/>
    </border>
  </borders>
  <cellStyleXfs count="10">
    <xf numFmtId="0" fontId="0" fillId="0" borderId="0"/>
    <xf numFmtId="168" fontId="1" fillId="0" borderId="0" applyFont="0" applyFill="0" applyBorder="0" applyAlignment="0" applyProtection="0"/>
    <xf numFmtId="41" fontId="1" fillId="0" borderId="0" applyFont="0" applyFill="0" applyBorder="0" applyAlignment="0" applyProtection="0"/>
    <xf numFmtId="1" fontId="1" fillId="0" borderId="0"/>
    <xf numFmtId="0" fontId="50" fillId="0" borderId="0"/>
    <xf numFmtId="167" fontId="1" fillId="0" borderId="0" applyFont="0" applyFill="0" applyBorder="0" applyAlignment="0" applyProtection="0"/>
    <xf numFmtId="165" fontId="1" fillId="0" borderId="0" applyFont="0" applyFill="0" applyBorder="0" applyAlignment="0" applyProtection="0"/>
    <xf numFmtId="9" fontId="1" fillId="0" borderId="0" applyFont="0" applyFill="0" applyBorder="0" applyAlignment="0" applyProtection="0"/>
    <xf numFmtId="0" fontId="3" fillId="0" borderId="1">
      <alignment horizontal="centerContinuous" vertical="center"/>
    </xf>
    <xf numFmtId="49" fontId="3" fillId="0" borderId="2" applyBorder="0">
      <alignment horizontal="centerContinuous" vertical="center"/>
      <protection locked="0"/>
    </xf>
  </cellStyleXfs>
  <cellXfs count="845">
    <xf numFmtId="0" fontId="0" fillId="0" borderId="0" xfId="0"/>
    <xf numFmtId="0" fontId="0" fillId="0" borderId="3" xfId="0" applyBorder="1"/>
    <xf numFmtId="0" fontId="7" fillId="0" borderId="0" xfId="0" applyFont="1"/>
    <xf numFmtId="0" fontId="0" fillId="0" borderId="0" xfId="0" applyAlignment="1">
      <alignment vertical="center"/>
    </xf>
    <xf numFmtId="0" fontId="0" fillId="0" borderId="4" xfId="0" applyBorder="1"/>
    <xf numFmtId="1" fontId="0" fillId="0" borderId="0" xfId="0" applyNumberFormat="1"/>
    <xf numFmtId="0" fontId="3" fillId="0" borderId="5" xfId="0" applyFont="1" applyBorder="1" applyAlignment="1" applyProtection="1">
      <alignment horizontal="center" vertical="center"/>
      <protection hidden="1"/>
    </xf>
    <xf numFmtId="0" fontId="3" fillId="0" borderId="0" xfId="0" applyFont="1" applyAlignment="1">
      <alignment horizontal="right"/>
    </xf>
    <xf numFmtId="0" fontId="0" fillId="0" borderId="6" xfId="0" applyBorder="1" applyAlignment="1" applyProtection="1">
      <alignment vertical="center"/>
      <protection hidden="1"/>
    </xf>
    <xf numFmtId="0" fontId="0" fillId="0" borderId="4" xfId="0" applyBorder="1" applyAlignment="1" applyProtection="1">
      <alignment vertical="center"/>
      <protection hidden="1"/>
    </xf>
    <xf numFmtId="0" fontId="0" fillId="0" borderId="7" xfId="0" applyBorder="1" applyAlignment="1" applyProtection="1">
      <alignment vertical="center"/>
      <protection hidden="1"/>
    </xf>
    <xf numFmtId="0" fontId="0" fillId="0" borderId="8" xfId="0" applyBorder="1" applyAlignment="1" applyProtection="1">
      <alignment vertical="center"/>
      <protection hidden="1"/>
    </xf>
    <xf numFmtId="49" fontId="11" fillId="0" borderId="3" xfId="0" applyNumberFormat="1" applyFont="1" applyBorder="1" applyAlignment="1" applyProtection="1">
      <alignment horizontal="left" vertical="center" wrapText="1"/>
      <protection hidden="1"/>
    </xf>
    <xf numFmtId="0" fontId="12" fillId="0" borderId="3" xfId="0" applyFont="1" applyBorder="1" applyAlignment="1" applyProtection="1">
      <alignment horizontal="centerContinuous" vertical="center"/>
      <protection hidden="1"/>
    </xf>
    <xf numFmtId="0" fontId="13" fillId="0" borderId="3" xfId="0" applyFont="1" applyBorder="1" applyAlignment="1" applyProtection="1">
      <alignment vertical="center"/>
      <protection hidden="1"/>
    </xf>
    <xf numFmtId="0" fontId="13" fillId="0" borderId="3" xfId="0" applyFont="1" applyBorder="1"/>
    <xf numFmtId="0" fontId="0" fillId="0" borderId="3" xfId="0" applyBorder="1" applyAlignment="1">
      <alignment vertical="center"/>
    </xf>
    <xf numFmtId="0" fontId="20" fillId="0" borderId="6" xfId="0" applyFont="1" applyBorder="1" applyAlignment="1" applyProtection="1">
      <alignment horizontal="right" vertical="center"/>
      <protection hidden="1"/>
    </xf>
    <xf numFmtId="49" fontId="20" fillId="0" borderId="4" xfId="0" applyNumberFormat="1" applyFont="1" applyBorder="1" applyAlignment="1" applyProtection="1">
      <alignment horizontal="right" vertical="center"/>
      <protection hidden="1"/>
    </xf>
    <xf numFmtId="0" fontId="20" fillId="0" borderId="4" xfId="0" applyFont="1" applyBorder="1" applyAlignment="1" applyProtection="1">
      <alignment horizontal="right" vertical="center"/>
      <protection hidden="1"/>
    </xf>
    <xf numFmtId="0" fontId="9" fillId="0" borderId="4" xfId="0" applyFont="1" applyBorder="1" applyAlignment="1" applyProtection="1">
      <alignment vertical="center"/>
      <protection hidden="1"/>
    </xf>
    <xf numFmtId="0" fontId="9" fillId="0" borderId="4" xfId="0" applyFont="1" applyBorder="1"/>
    <xf numFmtId="14" fontId="18" fillId="0" borderId="0" xfId="0" applyNumberFormat="1" applyFont="1" applyAlignment="1" applyProtection="1">
      <alignment horizontal="right" vertical="center"/>
      <protection hidden="1"/>
    </xf>
    <xf numFmtId="0" fontId="20" fillId="0" borderId="9" xfId="0" applyFont="1" applyBorder="1" applyAlignment="1" applyProtection="1">
      <alignment horizontal="right" vertical="center"/>
      <protection hidden="1"/>
    </xf>
    <xf numFmtId="0" fontId="9" fillId="0" borderId="0" xfId="0" applyFont="1" applyAlignment="1" applyProtection="1">
      <alignment vertical="center"/>
      <protection hidden="1"/>
    </xf>
    <xf numFmtId="0" fontId="20" fillId="0" borderId="0" xfId="0" applyFont="1" applyAlignment="1" applyProtection="1">
      <alignment horizontal="right" vertical="center"/>
      <protection hidden="1"/>
    </xf>
    <xf numFmtId="0" fontId="9" fillId="0" borderId="0" xfId="0" applyFont="1"/>
    <xf numFmtId="14" fontId="10" fillId="0" borderId="10" xfId="0" applyNumberFormat="1" applyFont="1" applyBorder="1" applyAlignment="1">
      <alignment horizontal="left" vertical="center"/>
    </xf>
    <xf numFmtId="0" fontId="20" fillId="0" borderId="0" xfId="0" applyFont="1" applyAlignment="1">
      <alignment horizontal="right" vertical="center"/>
    </xf>
    <xf numFmtId="0" fontId="15" fillId="0" borderId="10" xfId="0" applyFont="1" applyBorder="1" applyAlignment="1">
      <alignment horizontal="left" vertical="center"/>
    </xf>
    <xf numFmtId="0" fontId="20" fillId="0" borderId="0" xfId="0" applyFont="1"/>
    <xf numFmtId="0" fontId="15" fillId="0" borderId="10" xfId="0" applyFont="1" applyBorder="1" applyAlignment="1" applyProtection="1">
      <alignment horizontal="left" vertical="center"/>
      <protection hidden="1"/>
    </xf>
    <xf numFmtId="0" fontId="9" fillId="0" borderId="8" xfId="0" applyFont="1" applyBorder="1"/>
    <xf numFmtId="0" fontId="9" fillId="0" borderId="3" xfId="0" applyFont="1" applyBorder="1"/>
    <xf numFmtId="0" fontId="20" fillId="0" borderId="3" xfId="0" applyFont="1" applyBorder="1" applyAlignment="1" applyProtection="1">
      <alignment horizontal="right" vertical="center"/>
      <protection hidden="1"/>
    </xf>
    <xf numFmtId="0" fontId="9" fillId="0" borderId="3" xfId="0" applyFont="1" applyBorder="1" applyAlignment="1" applyProtection="1">
      <alignment vertical="center"/>
      <protection hidden="1"/>
    </xf>
    <xf numFmtId="1" fontId="9" fillId="0" borderId="11" xfId="0" applyNumberFormat="1" applyFont="1" applyBorder="1" applyAlignment="1">
      <alignment horizontal="center"/>
    </xf>
    <xf numFmtId="0" fontId="3" fillId="0" borderId="0" xfId="0" applyFont="1"/>
    <xf numFmtId="1" fontId="9" fillId="0" borderId="5" xfId="0" applyNumberFormat="1" applyFont="1" applyBorder="1" applyAlignment="1">
      <alignment horizontal="center"/>
    </xf>
    <xf numFmtId="0" fontId="0" fillId="0" borderId="0" xfId="0" applyAlignment="1">
      <alignment horizontal="right"/>
    </xf>
    <xf numFmtId="0" fontId="3" fillId="0" borderId="10" xfId="0" applyFont="1" applyBorder="1" applyAlignment="1" applyProtection="1">
      <alignment horizontal="centerContinuous" vertical="center"/>
      <protection hidden="1"/>
    </xf>
    <xf numFmtId="0" fontId="3" fillId="0" borderId="0" xfId="0" applyFont="1" applyAlignment="1" applyProtection="1">
      <alignment horizontal="right" vertical="center"/>
      <protection hidden="1"/>
    </xf>
    <xf numFmtId="0" fontId="2" fillId="0" borderId="0" xfId="0" applyFont="1" applyAlignment="1">
      <alignment horizontal="right"/>
    </xf>
    <xf numFmtId="0" fontId="3" fillId="0" borderId="0" xfId="0" applyFont="1" applyAlignment="1">
      <alignment horizontal="center"/>
    </xf>
    <xf numFmtId="0" fontId="2" fillId="0" borderId="0" xfId="0" applyFont="1" applyAlignment="1">
      <alignment vertical="center"/>
    </xf>
    <xf numFmtId="14" fontId="9" fillId="0" borderId="4" xfId="0" applyNumberFormat="1" applyFont="1" applyBorder="1" applyAlignment="1">
      <alignment horizontal="left"/>
    </xf>
    <xf numFmtId="14" fontId="9" fillId="0" borderId="0" xfId="0" applyNumberFormat="1" applyFont="1" applyAlignment="1">
      <alignment horizontal="left"/>
    </xf>
    <xf numFmtId="2" fontId="0" fillId="0" borderId="0" xfId="0" applyNumberFormat="1"/>
    <xf numFmtId="49" fontId="11" fillId="0" borderId="0" xfId="0" applyNumberFormat="1" applyFont="1" applyAlignment="1" applyProtection="1">
      <alignment horizontal="left" vertical="center" wrapText="1"/>
      <protection hidden="1"/>
    </xf>
    <xf numFmtId="0" fontId="12" fillId="0" borderId="0" xfId="0" applyFont="1" applyAlignment="1" applyProtection="1">
      <alignment horizontal="centerContinuous" vertical="center"/>
      <protection hidden="1"/>
    </xf>
    <xf numFmtId="0" fontId="22" fillId="0" borderId="0" xfId="0" applyFont="1" applyAlignment="1" applyProtection="1">
      <alignment vertical="center"/>
      <protection hidden="1"/>
    </xf>
    <xf numFmtId="0" fontId="22" fillId="0" borderId="0" xfId="0" applyFont="1"/>
    <xf numFmtId="49" fontId="23" fillId="0" borderId="0" xfId="0" applyNumberFormat="1" applyFont="1" applyAlignment="1" applyProtection="1">
      <alignment horizontal="centerContinuous" vertical="center"/>
      <protection hidden="1"/>
    </xf>
    <xf numFmtId="0" fontId="23" fillId="0" borderId="0" xfId="0" applyFont="1" applyAlignment="1" applyProtection="1">
      <alignment horizontal="centerContinuous" vertical="center"/>
      <protection hidden="1"/>
    </xf>
    <xf numFmtId="0" fontId="23" fillId="0" borderId="10" xfId="0" applyFont="1" applyBorder="1" applyAlignment="1" applyProtection="1">
      <alignment horizontal="right" vertical="center"/>
      <protection hidden="1"/>
    </xf>
    <xf numFmtId="0" fontId="24" fillId="0" borderId="6" xfId="0" applyFont="1" applyBorder="1" applyAlignment="1" applyProtection="1">
      <alignment horizontal="right" vertical="center"/>
      <protection hidden="1"/>
    </xf>
    <xf numFmtId="0" fontId="25" fillId="0" borderId="4" xfId="0" applyFont="1" applyBorder="1" applyAlignment="1" applyProtection="1">
      <alignment vertical="center"/>
      <protection hidden="1"/>
    </xf>
    <xf numFmtId="49" fontId="23" fillId="0" borderId="4" xfId="0" applyNumberFormat="1" applyFont="1" applyBorder="1" applyAlignment="1" applyProtection="1">
      <alignment horizontal="right" vertical="center"/>
      <protection hidden="1"/>
    </xf>
    <xf numFmtId="0" fontId="24" fillId="0" borderId="4" xfId="0" applyFont="1" applyBorder="1" applyAlignment="1" applyProtection="1">
      <alignment horizontal="right" vertical="center"/>
      <protection hidden="1"/>
    </xf>
    <xf numFmtId="0" fontId="7" fillId="0" borderId="4" xfId="0" applyFont="1" applyBorder="1" applyAlignment="1" applyProtection="1">
      <alignment vertical="center"/>
      <protection hidden="1"/>
    </xf>
    <xf numFmtId="0" fontId="18" fillId="0" borderId="0" xfId="0" applyFont="1" applyAlignment="1" applyProtection="1">
      <alignment horizontal="centerContinuous" vertical="center"/>
      <protection hidden="1"/>
    </xf>
    <xf numFmtId="0" fontId="24" fillId="0" borderId="9" xfId="0" applyFont="1" applyBorder="1" applyAlignment="1" applyProtection="1">
      <alignment horizontal="right" vertical="center"/>
      <protection hidden="1"/>
    </xf>
    <xf numFmtId="0" fontId="7" fillId="0" borderId="0" xfId="0" applyFont="1" applyAlignment="1" applyProtection="1">
      <alignment vertical="center"/>
      <protection hidden="1"/>
    </xf>
    <xf numFmtId="0" fontId="0" fillId="0" borderId="0" xfId="0" applyAlignment="1" applyProtection="1">
      <alignment vertical="center"/>
      <protection hidden="1"/>
    </xf>
    <xf numFmtId="0" fontId="24" fillId="0" borderId="0" xfId="0" applyFont="1" applyAlignment="1" applyProtection="1">
      <alignment horizontal="right" vertical="center"/>
      <protection hidden="1"/>
    </xf>
    <xf numFmtId="0" fontId="8" fillId="0" borderId="0" xfId="0" applyFont="1" applyAlignment="1" applyProtection="1">
      <alignment horizontal="left" vertical="center"/>
      <protection hidden="1"/>
    </xf>
    <xf numFmtId="0" fontId="24" fillId="0" borderId="0" xfId="0" applyFont="1"/>
    <xf numFmtId="0" fontId="24" fillId="0" borderId="0" xfId="0" applyFont="1" applyAlignment="1">
      <alignment horizontal="right" vertical="center"/>
    </xf>
    <xf numFmtId="0" fontId="24" fillId="0" borderId="8" xfId="0" applyFont="1" applyBorder="1" applyAlignment="1" applyProtection="1">
      <alignment horizontal="right" vertical="center"/>
      <protection hidden="1"/>
    </xf>
    <xf numFmtId="0" fontId="7" fillId="0" borderId="3" xfId="0" applyFont="1" applyBorder="1" applyAlignment="1" applyProtection="1">
      <alignment vertical="center"/>
      <protection hidden="1"/>
    </xf>
    <xf numFmtId="0" fontId="0" fillId="0" borderId="3" xfId="0" applyBorder="1" applyAlignment="1" applyProtection="1">
      <alignment vertical="center"/>
      <protection hidden="1"/>
    </xf>
    <xf numFmtId="0" fontId="24" fillId="0" borderId="3" xfId="0" applyFont="1" applyBorder="1" applyAlignment="1" applyProtection="1">
      <alignment horizontal="right" vertical="center"/>
      <protection hidden="1"/>
    </xf>
    <xf numFmtId="0" fontId="3" fillId="0" borderId="12" xfId="0" applyFont="1" applyBorder="1" applyAlignment="1" applyProtection="1">
      <alignment horizontal="centerContinuous" vertical="center"/>
      <protection hidden="1"/>
    </xf>
    <xf numFmtId="0" fontId="3" fillId="0" borderId="13" xfId="0" applyFont="1" applyBorder="1" applyAlignment="1" applyProtection="1">
      <alignment horizontal="centerContinuous" vertical="center"/>
      <protection hidden="1"/>
    </xf>
    <xf numFmtId="0" fontId="19" fillId="0" borderId="12" xfId="0" applyFont="1" applyBorder="1" applyAlignment="1" applyProtection="1">
      <alignment horizontal="centerContinuous" vertical="center"/>
      <protection hidden="1"/>
    </xf>
    <xf numFmtId="0" fontId="0" fillId="0" borderId="13" xfId="0" applyBorder="1" applyAlignment="1">
      <alignment horizontal="centerContinuous"/>
    </xf>
    <xf numFmtId="0" fontId="3" fillId="0" borderId="14" xfId="0" applyFont="1" applyBorder="1" applyAlignment="1" applyProtection="1">
      <alignment vertical="center"/>
      <protection hidden="1"/>
    </xf>
    <xf numFmtId="0" fontId="26" fillId="0" borderId="15" xfId="0" applyFont="1" applyBorder="1" applyAlignment="1" applyProtection="1">
      <alignment horizontal="right" vertical="center"/>
      <protection hidden="1"/>
    </xf>
    <xf numFmtId="0" fontId="3" fillId="0" borderId="9" xfId="0" applyFont="1" applyBorder="1" applyAlignment="1" applyProtection="1">
      <alignment horizontal="centerContinuous" vertical="center"/>
      <protection hidden="1"/>
    </xf>
    <xf numFmtId="0" fontId="0" fillId="0" borderId="10" xfId="0" applyBorder="1" applyAlignment="1" applyProtection="1">
      <alignment horizontal="centerContinuous"/>
      <protection hidden="1"/>
    </xf>
    <xf numFmtId="0" fontId="19" fillId="0" borderId="14" xfId="0" applyFont="1" applyBorder="1" applyAlignment="1" applyProtection="1">
      <alignment vertical="center"/>
      <protection hidden="1"/>
    </xf>
    <xf numFmtId="0" fontId="19" fillId="0" borderId="15" xfId="0" applyFont="1" applyBorder="1" applyAlignment="1" applyProtection="1">
      <alignment horizontal="right" vertical="center"/>
      <protection hidden="1"/>
    </xf>
    <xf numFmtId="0" fontId="3" fillId="0" borderId="16" xfId="0" applyFont="1" applyBorder="1" applyAlignment="1" applyProtection="1">
      <alignment horizontal="center" vertical="center"/>
      <protection hidden="1"/>
    </xf>
    <xf numFmtId="0" fontId="3" fillId="0" borderId="17" xfId="0" applyFont="1" applyBorder="1" applyAlignment="1" applyProtection="1">
      <alignment horizontal="center" vertical="center"/>
      <protection hidden="1"/>
    </xf>
    <xf numFmtId="0" fontId="3" fillId="0" borderId="18" xfId="0" applyFont="1" applyBorder="1" applyAlignment="1" applyProtection="1">
      <alignment horizontal="center" vertical="center"/>
      <protection hidden="1"/>
    </xf>
    <xf numFmtId="0" fontId="0" fillId="0" borderId="14" xfId="0" applyBorder="1" applyAlignment="1">
      <alignment vertical="center"/>
    </xf>
    <xf numFmtId="0" fontId="19" fillId="0" borderId="15" xfId="0" applyFont="1" applyBorder="1" applyAlignment="1">
      <alignment horizontal="right" vertical="center"/>
    </xf>
    <xf numFmtId="0" fontId="3" fillId="0" borderId="5" xfId="0" applyFont="1" applyBorder="1" applyAlignment="1">
      <alignment horizontal="center" vertical="center"/>
    </xf>
    <xf numFmtId="0" fontId="3" fillId="0" borderId="16" xfId="0" applyFont="1" applyBorder="1" applyAlignment="1">
      <alignment horizontal="center" vertical="center"/>
    </xf>
    <xf numFmtId="0" fontId="19" fillId="0" borderId="19" xfId="0" applyFont="1" applyBorder="1" applyAlignment="1" applyProtection="1">
      <alignment horizontal="right" vertical="center"/>
      <protection hidden="1"/>
    </xf>
    <xf numFmtId="1" fontId="3" fillId="0" borderId="19" xfId="0" applyNumberFormat="1" applyFont="1" applyBorder="1" applyAlignment="1" applyProtection="1">
      <alignment horizontal="right" vertical="center"/>
      <protection hidden="1"/>
    </xf>
    <xf numFmtId="0" fontId="3" fillId="0" borderId="20" xfId="0" applyFont="1" applyBorder="1" applyAlignment="1" applyProtection="1">
      <alignment horizontal="left" vertical="center"/>
      <protection hidden="1"/>
    </xf>
    <xf numFmtId="0" fontId="19" fillId="0" borderId="12" xfId="0" applyFont="1" applyBorder="1" applyAlignment="1" applyProtection="1">
      <alignment horizontal="left" vertical="center"/>
      <protection hidden="1"/>
    </xf>
    <xf numFmtId="0" fontId="19" fillId="0" borderId="21" xfId="0" applyFont="1" applyBorder="1" applyAlignment="1" applyProtection="1">
      <alignment horizontal="right" vertical="center"/>
      <protection hidden="1"/>
    </xf>
    <xf numFmtId="0" fontId="3" fillId="0" borderId="19" xfId="0" applyFont="1" applyBorder="1" applyAlignment="1" applyProtection="1">
      <alignment horizontal="right" vertical="center"/>
      <protection hidden="1"/>
    </xf>
    <xf numFmtId="0" fontId="19" fillId="0" borderId="22" xfId="0" applyFont="1" applyBorder="1" applyAlignment="1" applyProtection="1">
      <alignment vertical="center"/>
      <protection hidden="1"/>
    </xf>
    <xf numFmtId="0" fontId="19" fillId="0" borderId="5" xfId="0" applyFont="1" applyBorder="1" applyAlignment="1" applyProtection="1">
      <alignment horizontal="right" vertical="center"/>
      <protection hidden="1"/>
    </xf>
    <xf numFmtId="0" fontId="3" fillId="0" borderId="19" xfId="0" applyFont="1" applyBorder="1" applyAlignment="1" applyProtection="1">
      <alignment horizontal="centerContinuous" vertical="center"/>
      <protection hidden="1"/>
    </xf>
    <xf numFmtId="0" fontId="3" fillId="0" borderId="20" xfId="0" applyFont="1" applyBorder="1" applyAlignment="1" applyProtection="1">
      <alignment horizontal="centerContinuous" vertical="center"/>
      <protection hidden="1"/>
    </xf>
    <xf numFmtId="0" fontId="3" fillId="0" borderId="8" xfId="0" applyFont="1" applyBorder="1" applyAlignment="1" applyProtection="1">
      <alignment horizontal="centerContinuous" vertical="center"/>
      <protection hidden="1"/>
    </xf>
    <xf numFmtId="0" fontId="3" fillId="0" borderId="23" xfId="0" applyFont="1" applyBorder="1" applyAlignment="1" applyProtection="1">
      <alignment horizontal="centerContinuous" vertical="center"/>
      <protection hidden="1"/>
    </xf>
    <xf numFmtId="0" fontId="19" fillId="0" borderId="24" xfId="0" applyFont="1" applyBorder="1" applyAlignment="1" applyProtection="1">
      <alignment horizontal="left" vertical="center"/>
      <protection hidden="1"/>
    </xf>
    <xf numFmtId="0" fontId="19" fillId="0" borderId="25" xfId="0" applyFont="1" applyBorder="1" applyAlignment="1" applyProtection="1">
      <alignment horizontal="right" vertical="center"/>
      <protection hidden="1"/>
    </xf>
    <xf numFmtId="0" fontId="3" fillId="0" borderId="25" xfId="0" applyFont="1" applyBorder="1" applyAlignment="1" applyProtection="1">
      <alignment horizontal="centerContinuous" vertical="center"/>
      <protection hidden="1"/>
    </xf>
    <xf numFmtId="0" fontId="3" fillId="0" borderId="26" xfId="0" applyFont="1" applyBorder="1" applyAlignment="1" applyProtection="1">
      <alignment horizontal="centerContinuous" vertical="center"/>
      <protection hidden="1"/>
    </xf>
    <xf numFmtId="0" fontId="27" fillId="0" borderId="14" xfId="0" applyFont="1" applyBorder="1" applyAlignment="1" applyProtection="1">
      <alignment vertical="center"/>
      <protection hidden="1"/>
    </xf>
    <xf numFmtId="0" fontId="27" fillId="0" borderId="15" xfId="0" applyFont="1" applyBorder="1" applyAlignment="1" applyProtection="1">
      <alignment vertical="center"/>
      <protection hidden="1"/>
    </xf>
    <xf numFmtId="0" fontId="27" fillId="0" borderId="5" xfId="0" applyFont="1" applyBorder="1" applyAlignment="1" applyProtection="1">
      <alignment horizontal="center" vertical="center"/>
      <protection hidden="1"/>
    </xf>
    <xf numFmtId="0" fontId="27" fillId="0" borderId="16" xfId="0" applyFont="1" applyBorder="1" applyAlignment="1" applyProtection="1">
      <alignment horizontal="center" vertical="center"/>
      <protection hidden="1"/>
    </xf>
    <xf numFmtId="0" fontId="19" fillId="0" borderId="27" xfId="0" applyFont="1" applyBorder="1" applyAlignment="1" applyProtection="1">
      <alignment vertical="center"/>
      <protection hidden="1"/>
    </xf>
    <xf numFmtId="0" fontId="19" fillId="0" borderId="28" xfId="0" applyFont="1" applyBorder="1" applyAlignment="1" applyProtection="1">
      <alignment horizontal="right" vertical="center"/>
      <protection hidden="1"/>
    </xf>
    <xf numFmtId="49" fontId="3" fillId="0" borderId="5" xfId="0" applyNumberFormat="1" applyFont="1" applyBorder="1" applyAlignment="1" applyProtection="1">
      <alignment horizontal="center" vertical="center"/>
      <protection hidden="1"/>
    </xf>
    <xf numFmtId="49" fontId="3" fillId="0" borderId="16" xfId="0" applyNumberFormat="1" applyFont="1" applyBorder="1" applyAlignment="1" applyProtection="1">
      <alignment horizontal="center" vertical="center"/>
      <protection hidden="1"/>
    </xf>
    <xf numFmtId="0" fontId="3" fillId="0" borderId="15" xfId="0" applyFont="1" applyBorder="1" applyAlignment="1" applyProtection="1">
      <alignment vertical="center"/>
      <protection hidden="1"/>
    </xf>
    <xf numFmtId="0" fontId="3" fillId="0" borderId="16" xfId="0" applyFont="1" applyBorder="1" applyAlignment="1" applyProtection="1">
      <alignment vertical="center"/>
      <protection hidden="1"/>
    </xf>
    <xf numFmtId="0" fontId="3" fillId="0" borderId="29" xfId="0" applyFont="1" applyBorder="1" applyAlignment="1" applyProtection="1">
      <alignment vertical="center"/>
      <protection hidden="1"/>
    </xf>
    <xf numFmtId="0" fontId="3" fillId="0" borderId="25" xfId="0" applyFont="1" applyBorder="1" applyAlignment="1" applyProtection="1">
      <alignment horizontal="right" vertical="center"/>
      <protection hidden="1"/>
    </xf>
    <xf numFmtId="0" fontId="3" fillId="0" borderId="30" xfId="0" applyFont="1" applyBorder="1" applyAlignment="1" applyProtection="1">
      <alignment vertical="center"/>
      <protection hidden="1"/>
    </xf>
    <xf numFmtId="0" fontId="27" fillId="0" borderId="9" xfId="0" applyFont="1" applyBorder="1" applyAlignment="1">
      <alignment horizontal="center"/>
    </xf>
    <xf numFmtId="0" fontId="17" fillId="0" borderId="15" xfId="0" applyFont="1" applyBorder="1" applyAlignment="1" applyProtection="1">
      <alignment vertical="center"/>
      <protection hidden="1"/>
    </xf>
    <xf numFmtId="0" fontId="16" fillId="0" borderId="5" xfId="0" applyFont="1" applyBorder="1" applyAlignment="1" applyProtection="1">
      <alignment horizontal="center" vertical="center"/>
      <protection hidden="1"/>
    </xf>
    <xf numFmtId="0" fontId="16" fillId="0" borderId="20" xfId="0" applyFont="1" applyBorder="1" applyAlignment="1" applyProtection="1">
      <alignment horizontal="center" vertical="center"/>
      <protection hidden="1"/>
    </xf>
    <xf numFmtId="49" fontId="3" fillId="0" borderId="15" xfId="0" applyNumberFormat="1" applyFont="1" applyBorder="1" applyAlignment="1" applyProtection="1">
      <alignment vertical="center"/>
      <protection hidden="1"/>
    </xf>
    <xf numFmtId="0" fontId="3" fillId="0" borderId="19" xfId="0" applyFont="1" applyBorder="1" applyAlignment="1" applyProtection="1">
      <alignment horizontal="center" vertical="center"/>
      <protection hidden="1"/>
    </xf>
    <xf numFmtId="49" fontId="3" fillId="0" borderId="28" xfId="0" applyNumberFormat="1" applyFont="1" applyBorder="1" applyAlignment="1" applyProtection="1">
      <alignment vertical="center"/>
      <protection hidden="1"/>
    </xf>
    <xf numFmtId="0" fontId="19" fillId="0" borderId="31" xfId="0" applyFont="1" applyBorder="1" applyAlignment="1" applyProtection="1">
      <alignment horizontal="right" vertical="center"/>
      <protection hidden="1"/>
    </xf>
    <xf numFmtId="0" fontId="3" fillId="0" borderId="32" xfId="0" applyFont="1" applyBorder="1" applyAlignment="1" applyProtection="1">
      <alignment horizontal="center" vertical="center"/>
      <protection hidden="1"/>
    </xf>
    <xf numFmtId="0" fontId="3" fillId="0" borderId="33" xfId="0" applyFont="1" applyBorder="1" applyAlignment="1" applyProtection="1">
      <alignment vertical="center"/>
      <protection hidden="1"/>
    </xf>
    <xf numFmtId="0" fontId="3" fillId="0" borderId="34" xfId="0" applyFont="1" applyBorder="1" applyAlignment="1" applyProtection="1">
      <alignment horizontal="centerContinuous" vertical="center"/>
      <protection hidden="1"/>
    </xf>
    <xf numFmtId="0" fontId="3" fillId="0" borderId="15" xfId="0" applyFont="1" applyBorder="1" applyAlignment="1" applyProtection="1">
      <alignment horizontal="centerContinuous" vertical="center"/>
      <protection hidden="1"/>
    </xf>
    <xf numFmtId="0" fontId="3" fillId="2" borderId="16" xfId="0" applyFont="1" applyFill="1" applyBorder="1" applyAlignment="1" applyProtection="1">
      <alignment horizontal="center" vertical="center"/>
      <protection hidden="1"/>
    </xf>
    <xf numFmtId="0" fontId="3" fillId="0" borderId="31" xfId="0" applyFont="1" applyBorder="1" applyAlignment="1" applyProtection="1">
      <alignment horizontal="centerContinuous" vertical="center"/>
      <protection hidden="1"/>
    </xf>
    <xf numFmtId="0" fontId="3" fillId="0" borderId="28" xfId="0" applyFont="1" applyBorder="1" applyAlignment="1" applyProtection="1">
      <alignment horizontal="centerContinuous" vertical="center"/>
      <protection hidden="1"/>
    </xf>
    <xf numFmtId="3" fontId="0" fillId="0" borderId="0" xfId="0" applyNumberFormat="1"/>
    <xf numFmtId="0" fontId="19" fillId="0" borderId="8" xfId="0" applyFont="1" applyBorder="1" applyAlignment="1" applyProtection="1">
      <alignment vertical="center"/>
      <protection hidden="1"/>
    </xf>
    <xf numFmtId="0" fontId="19" fillId="0" borderId="35" xfId="0" applyFont="1" applyBorder="1" applyAlignment="1" applyProtection="1">
      <alignment horizontal="right" vertical="center"/>
      <protection hidden="1"/>
    </xf>
    <xf numFmtId="0" fontId="3" fillId="0" borderId="36" xfId="0" applyFont="1" applyBorder="1" applyAlignment="1" applyProtection="1">
      <alignment horizontal="center" vertical="center"/>
      <protection hidden="1"/>
    </xf>
    <xf numFmtId="0" fontId="3" fillId="0" borderId="30" xfId="0" applyFont="1" applyBorder="1" applyAlignment="1" applyProtection="1">
      <alignment horizontal="center" vertical="center"/>
      <protection hidden="1"/>
    </xf>
    <xf numFmtId="0" fontId="19" fillId="0" borderId="37" xfId="0" applyFont="1" applyBorder="1" applyAlignment="1" applyProtection="1">
      <alignment vertical="center"/>
      <protection hidden="1"/>
    </xf>
    <xf numFmtId="0" fontId="3" fillId="0" borderId="3" xfId="0" applyFont="1" applyBorder="1" applyAlignment="1" applyProtection="1">
      <alignment horizontal="centerContinuous" vertical="center"/>
      <protection hidden="1"/>
    </xf>
    <xf numFmtId="0" fontId="3" fillId="0" borderId="35" xfId="0" applyFont="1" applyBorder="1" applyAlignment="1" applyProtection="1">
      <alignment horizontal="centerContinuous" vertical="center"/>
      <protection hidden="1"/>
    </xf>
    <xf numFmtId="0" fontId="3" fillId="2" borderId="30" xfId="0" applyFont="1" applyFill="1" applyBorder="1" applyAlignment="1" applyProtection="1">
      <alignment horizontal="center" vertical="center"/>
      <protection hidden="1"/>
    </xf>
    <xf numFmtId="0" fontId="19" fillId="0" borderId="14" xfId="0" applyFont="1" applyBorder="1" applyAlignment="1" applyProtection="1">
      <alignment horizontal="left" vertical="center"/>
      <protection hidden="1"/>
    </xf>
    <xf numFmtId="0" fontId="19" fillId="0" borderId="15" xfId="0" applyFont="1" applyBorder="1" applyAlignment="1" applyProtection="1">
      <alignment horizontal="centerContinuous" vertical="center"/>
      <protection hidden="1"/>
    </xf>
    <xf numFmtId="0" fontId="19" fillId="0" borderId="15" xfId="0" applyFont="1" applyBorder="1" applyAlignment="1" applyProtection="1">
      <alignment vertical="center"/>
      <protection hidden="1"/>
    </xf>
    <xf numFmtId="0" fontId="19" fillId="0" borderId="24" xfId="0" applyFont="1" applyBorder="1" applyAlignment="1" applyProtection="1">
      <alignment vertical="center"/>
      <protection hidden="1"/>
    </xf>
    <xf numFmtId="0" fontId="28" fillId="0" borderId="38" xfId="0" applyFont="1" applyBorder="1" applyAlignment="1" applyProtection="1">
      <alignment horizontal="left" vertical="center"/>
      <protection hidden="1"/>
    </xf>
    <xf numFmtId="0" fontId="5" fillId="0" borderId="39" xfId="0" applyFont="1" applyBorder="1" applyAlignment="1" applyProtection="1">
      <alignment horizontal="left" vertical="center"/>
      <protection hidden="1"/>
    </xf>
    <xf numFmtId="0" fontId="28" fillId="0" borderId="0" xfId="0" applyFont="1" applyAlignment="1" applyProtection="1">
      <alignment horizontal="left" vertical="center"/>
      <protection hidden="1"/>
    </xf>
    <xf numFmtId="0" fontId="28" fillId="0" borderId="10" xfId="0" applyFont="1" applyBorder="1" applyAlignment="1" applyProtection="1">
      <alignment horizontal="left" vertical="center"/>
      <protection hidden="1"/>
    </xf>
    <xf numFmtId="0" fontId="3" fillId="0" borderId="0" xfId="0" applyFont="1" applyAlignment="1">
      <alignment vertical="center"/>
    </xf>
    <xf numFmtId="0" fontId="7" fillId="0" borderId="7" xfId="0" applyFont="1" applyBorder="1" applyAlignment="1">
      <alignment horizontal="left" vertical="center"/>
    </xf>
    <xf numFmtId="0" fontId="7" fillId="0" borderId="4" xfId="0" applyFont="1" applyBorder="1" applyAlignment="1" applyProtection="1">
      <alignment horizontal="right" vertical="center"/>
      <protection hidden="1"/>
    </xf>
    <xf numFmtId="14" fontId="7" fillId="0" borderId="0" xfId="0" applyNumberFormat="1" applyFont="1" applyAlignment="1" applyProtection="1">
      <alignment horizontal="centerContinuous" vertical="center"/>
      <protection hidden="1"/>
    </xf>
    <xf numFmtId="0" fontId="29" fillId="0" borderId="10" xfId="0" applyFont="1" applyBorder="1" applyAlignment="1">
      <alignment horizontal="centerContinuous" vertical="center"/>
    </xf>
    <xf numFmtId="0" fontId="7" fillId="0" borderId="0" xfId="0" applyFont="1" applyAlignment="1">
      <alignment horizontal="centerContinuous" vertical="center"/>
    </xf>
    <xf numFmtId="0" fontId="7" fillId="0" borderId="3" xfId="0" applyFont="1" applyBorder="1" applyAlignment="1" applyProtection="1">
      <alignment horizontal="centerContinuous" vertical="center"/>
      <protection hidden="1"/>
    </xf>
    <xf numFmtId="0" fontId="2" fillId="0" borderId="23" xfId="0" applyFont="1" applyBorder="1" applyAlignment="1">
      <alignment horizontal="centerContinuous" vertical="center"/>
    </xf>
    <xf numFmtId="0" fontId="4" fillId="0" borderId="0" xfId="0" applyFont="1"/>
    <xf numFmtId="0" fontId="2" fillId="0" borderId="0" xfId="0" applyFont="1" applyAlignment="1">
      <alignment horizontal="center"/>
    </xf>
    <xf numFmtId="0" fontId="2" fillId="0" borderId="0" xfId="0" applyFont="1" applyAlignment="1">
      <alignment horizontal="center" vertical="center"/>
    </xf>
    <xf numFmtId="0" fontId="2" fillId="0" borderId="0" xfId="0" applyFont="1"/>
    <xf numFmtId="0" fontId="2" fillId="0" borderId="0" xfId="0" applyFont="1" applyAlignment="1">
      <alignment horizontal="right" vertical="center"/>
    </xf>
    <xf numFmtId="0" fontId="2" fillId="0" borderId="0" xfId="0" applyFont="1" applyAlignment="1">
      <alignment horizontal="left" vertical="center"/>
    </xf>
    <xf numFmtId="0" fontId="3" fillId="0" borderId="0" xfId="0" applyFont="1" applyAlignment="1">
      <alignment horizontal="center" vertical="center"/>
    </xf>
    <xf numFmtId="14" fontId="0" fillId="0" borderId="0" xfId="0" applyNumberFormat="1"/>
    <xf numFmtId="19" fontId="0" fillId="0" borderId="0" xfId="0" applyNumberFormat="1"/>
    <xf numFmtId="14" fontId="10" fillId="0" borderId="0" xfId="0" applyNumberFormat="1" applyFont="1" applyAlignment="1">
      <alignment horizontal="left" vertical="center"/>
    </xf>
    <xf numFmtId="0" fontId="15" fillId="0" borderId="0" xfId="0" applyFont="1" applyAlignment="1">
      <alignment horizontal="left" vertical="center"/>
    </xf>
    <xf numFmtId="0" fontId="15" fillId="0" borderId="0" xfId="0" applyFont="1" applyAlignment="1" applyProtection="1">
      <alignment horizontal="left" vertical="center"/>
      <protection hidden="1"/>
    </xf>
    <xf numFmtId="15" fontId="15" fillId="0" borderId="4" xfId="0" applyNumberFormat="1" applyFont="1" applyBorder="1" applyAlignment="1">
      <alignment horizontal="left" vertical="center"/>
    </xf>
    <xf numFmtId="15" fontId="15" fillId="0" borderId="10" xfId="0" applyNumberFormat="1" applyFont="1" applyBorder="1" applyAlignment="1">
      <alignment horizontal="left" vertical="center"/>
    </xf>
    <xf numFmtId="0" fontId="9" fillId="0" borderId="10" xfId="0" applyFont="1" applyBorder="1"/>
    <xf numFmtId="0" fontId="9" fillId="0" borderId="11" xfId="0" applyFont="1" applyBorder="1" applyAlignment="1">
      <alignment horizontal="center"/>
    </xf>
    <xf numFmtId="0" fontId="9" fillId="0" borderId="5" xfId="0" applyFont="1" applyBorder="1" applyAlignment="1">
      <alignment horizontal="center"/>
    </xf>
    <xf numFmtId="0" fontId="10" fillId="0" borderId="40" xfId="0" applyFont="1" applyBorder="1" applyAlignment="1">
      <alignment horizontal="right"/>
    </xf>
    <xf numFmtId="1" fontId="9" fillId="0" borderId="5" xfId="1" applyNumberFormat="1" applyFont="1" applyBorder="1" applyAlignment="1">
      <alignment horizontal="center"/>
    </xf>
    <xf numFmtId="1" fontId="9" fillId="0" borderId="5" xfId="1" applyNumberFormat="1" applyFont="1" applyFill="1" applyBorder="1" applyAlignment="1">
      <alignment horizontal="center"/>
    </xf>
    <xf numFmtId="1" fontId="9" fillId="0" borderId="5" xfId="0" applyNumberFormat="1" applyFont="1" applyBorder="1" applyAlignment="1" applyProtection="1">
      <alignment horizontal="center"/>
      <protection hidden="1"/>
    </xf>
    <xf numFmtId="1" fontId="9" fillId="0" borderId="36" xfId="0" applyNumberFormat="1" applyFont="1" applyBorder="1" applyAlignment="1">
      <alignment horizontal="center"/>
    </xf>
    <xf numFmtId="1" fontId="9" fillId="0" borderId="5" xfId="7" applyNumberFormat="1" applyFont="1" applyBorder="1" applyAlignment="1">
      <alignment horizontal="center"/>
    </xf>
    <xf numFmtId="1" fontId="9" fillId="0" borderId="11" xfId="0" applyNumberFormat="1" applyFont="1" applyBorder="1" applyAlignment="1" applyProtection="1">
      <alignment horizontal="center"/>
      <protection hidden="1"/>
    </xf>
    <xf numFmtId="1" fontId="9" fillId="0" borderId="5" xfId="1" applyNumberFormat="1" applyFont="1" applyFill="1" applyBorder="1" applyAlignment="1" applyProtection="1">
      <alignment horizontal="center"/>
      <protection hidden="1"/>
    </xf>
    <xf numFmtId="0" fontId="9" fillId="0" borderId="5" xfId="0" applyFont="1" applyBorder="1" applyAlignment="1" applyProtection="1">
      <alignment horizontal="center"/>
      <protection hidden="1"/>
    </xf>
    <xf numFmtId="0" fontId="9" fillId="0" borderId="36" xfId="0" applyFont="1" applyBorder="1" applyAlignment="1">
      <alignment horizontal="center"/>
    </xf>
    <xf numFmtId="0" fontId="0" fillId="0" borderId="41" xfId="0" applyBorder="1"/>
    <xf numFmtId="0" fontId="0" fillId="0" borderId="9" xfId="0" applyBorder="1" applyAlignment="1" applyProtection="1">
      <alignment vertical="center"/>
      <protection hidden="1"/>
    </xf>
    <xf numFmtId="0" fontId="12" fillId="0" borderId="0" xfId="0" applyFont="1" applyAlignment="1" applyProtection="1">
      <alignment vertical="center"/>
      <protection hidden="1"/>
    </xf>
    <xf numFmtId="0" fontId="6" fillId="0" borderId="42" xfId="0" applyFont="1" applyBorder="1" applyAlignment="1" applyProtection="1">
      <alignment horizontal="centerContinuous" vertical="center"/>
      <protection hidden="1"/>
    </xf>
    <xf numFmtId="0" fontId="6" fillId="0" borderId="43" xfId="0" applyFont="1" applyBorder="1" applyAlignment="1" applyProtection="1">
      <alignment horizontal="centerContinuous" vertical="center"/>
      <protection hidden="1"/>
    </xf>
    <xf numFmtId="0" fontId="6" fillId="0" borderId="44" xfId="0" applyFont="1" applyBorder="1" applyAlignment="1" applyProtection="1">
      <alignment horizontal="centerContinuous" vertical="center"/>
      <protection hidden="1"/>
    </xf>
    <xf numFmtId="0" fontId="6" fillId="0" borderId="45" xfId="0" applyFont="1" applyBorder="1" applyAlignment="1" applyProtection="1">
      <alignment horizontal="centerContinuous" vertical="center"/>
      <protection hidden="1"/>
    </xf>
    <xf numFmtId="0" fontId="6" fillId="0" borderId="46" xfId="0" applyFont="1" applyBorder="1" applyAlignment="1" applyProtection="1">
      <alignment horizontal="centerContinuous" vertical="center"/>
      <protection hidden="1"/>
    </xf>
    <xf numFmtId="0" fontId="6" fillId="0" borderId="47" xfId="0" applyFont="1" applyBorder="1" applyAlignment="1" applyProtection="1">
      <alignment horizontal="centerContinuous" vertical="center"/>
      <protection hidden="1"/>
    </xf>
    <xf numFmtId="0" fontId="3" fillId="0" borderId="45" xfId="0" applyFont="1" applyBorder="1" applyAlignment="1" applyProtection="1">
      <alignment horizontal="centerContinuous" vertical="center"/>
      <protection hidden="1"/>
    </xf>
    <xf numFmtId="0" fontId="3" fillId="0" borderId="19" xfId="0" applyFont="1" applyBorder="1" applyAlignment="1" applyProtection="1">
      <alignment vertical="center"/>
      <protection hidden="1"/>
    </xf>
    <xf numFmtId="0" fontId="19" fillId="0" borderId="19" xfId="0" applyFont="1" applyBorder="1" applyAlignment="1" applyProtection="1">
      <alignment vertical="center"/>
      <protection hidden="1"/>
    </xf>
    <xf numFmtId="0" fontId="0" fillId="0" borderId="19" xfId="0" applyBorder="1" applyAlignment="1">
      <alignment vertical="center"/>
    </xf>
    <xf numFmtId="0" fontId="19" fillId="0" borderId="21" xfId="0" applyFont="1" applyBorder="1" applyAlignment="1" applyProtection="1">
      <alignment horizontal="left" vertical="center"/>
      <protection hidden="1"/>
    </xf>
    <xf numFmtId="0" fontId="19" fillId="0" borderId="5" xfId="0" applyFont="1" applyBorder="1" applyAlignment="1" applyProtection="1">
      <alignment vertical="center"/>
      <protection hidden="1"/>
    </xf>
    <xf numFmtId="0" fontId="19" fillId="0" borderId="25" xfId="0" applyFont="1" applyBorder="1" applyAlignment="1" applyProtection="1">
      <alignment horizontal="left" vertical="center"/>
      <protection hidden="1"/>
    </xf>
    <xf numFmtId="0" fontId="17" fillId="0" borderId="44" xfId="0" applyFont="1" applyBorder="1" applyAlignment="1" applyProtection="1">
      <alignment horizontal="centerContinuous" vertical="center"/>
      <protection hidden="1"/>
    </xf>
    <xf numFmtId="0" fontId="17" fillId="0" borderId="47" xfId="0" applyFont="1" applyBorder="1" applyAlignment="1" applyProtection="1">
      <alignment horizontal="centerContinuous" vertical="center"/>
      <protection hidden="1"/>
    </xf>
    <xf numFmtId="0" fontId="17" fillId="0" borderId="45" xfId="0" applyFont="1" applyBorder="1" applyAlignment="1" applyProtection="1">
      <alignment horizontal="centerContinuous" vertical="center"/>
      <protection hidden="1"/>
    </xf>
    <xf numFmtId="0" fontId="17" fillId="0" borderId="19" xfId="0" applyFont="1" applyBorder="1" applyAlignment="1" applyProtection="1">
      <alignment horizontal="centerContinuous" vertical="center"/>
      <protection hidden="1"/>
    </xf>
    <xf numFmtId="0" fontId="27" fillId="0" borderId="0" xfId="0" applyFont="1" applyAlignment="1">
      <alignment horizontal="center"/>
    </xf>
    <xf numFmtId="0" fontId="19" fillId="0" borderId="28" xfId="0" applyFont="1" applyBorder="1" applyAlignment="1" applyProtection="1">
      <alignment vertical="center"/>
      <protection hidden="1"/>
    </xf>
    <xf numFmtId="0" fontId="3" fillId="0" borderId="34" xfId="0" applyFont="1" applyBorder="1" applyAlignment="1" applyProtection="1">
      <alignment vertical="center"/>
      <protection hidden="1"/>
    </xf>
    <xf numFmtId="0" fontId="17" fillId="0" borderId="48" xfId="0" applyFont="1" applyBorder="1" applyAlignment="1" applyProtection="1">
      <alignment horizontal="centerContinuous" vertical="center"/>
      <protection hidden="1"/>
    </xf>
    <xf numFmtId="0" fontId="17" fillId="2" borderId="43" xfId="0" applyFont="1" applyFill="1" applyBorder="1" applyAlignment="1" applyProtection="1">
      <alignment horizontal="center" vertical="center"/>
      <protection hidden="1"/>
    </xf>
    <xf numFmtId="49" fontId="3" fillId="0" borderId="36" xfId="0" applyNumberFormat="1" applyFont="1" applyBorder="1" applyAlignment="1" applyProtection="1">
      <alignment horizontal="center" vertical="center"/>
      <protection hidden="1"/>
    </xf>
    <xf numFmtId="49" fontId="3" fillId="0" borderId="30" xfId="0" applyNumberFormat="1" applyFont="1" applyBorder="1" applyAlignment="1" applyProtection="1">
      <alignment horizontal="center" vertical="center"/>
      <protection hidden="1"/>
    </xf>
    <xf numFmtId="0" fontId="3" fillId="0" borderId="37" xfId="0" applyFont="1" applyBorder="1" applyAlignment="1" applyProtection="1">
      <alignment vertical="center"/>
      <protection hidden="1"/>
    </xf>
    <xf numFmtId="0" fontId="3" fillId="2" borderId="49" xfId="0" applyFont="1" applyFill="1" applyBorder="1" applyAlignment="1" applyProtection="1">
      <alignment horizontal="center" vertical="center"/>
      <protection hidden="1"/>
    </xf>
    <xf numFmtId="0" fontId="6" fillId="0" borderId="48" xfId="0" applyFont="1" applyBorder="1" applyAlignment="1" applyProtection="1">
      <alignment horizontal="centerContinuous" vertical="center"/>
      <protection hidden="1"/>
    </xf>
    <xf numFmtId="0" fontId="4" fillId="0" borderId="45" xfId="0" applyFont="1" applyBorder="1" applyAlignment="1" applyProtection="1">
      <alignment horizontal="centerContinuous" vertical="center"/>
      <protection hidden="1"/>
    </xf>
    <xf numFmtId="0" fontId="3" fillId="0" borderId="50" xfId="0" applyFont="1" applyBorder="1" applyAlignment="1" applyProtection="1">
      <alignment horizontal="centerContinuous" vertical="center"/>
      <protection hidden="1"/>
    </xf>
    <xf numFmtId="0" fontId="3" fillId="0" borderId="47" xfId="0" applyFont="1" applyBorder="1" applyAlignment="1" applyProtection="1">
      <alignment horizontal="centerContinuous" vertical="center"/>
      <protection hidden="1"/>
    </xf>
    <xf numFmtId="0" fontId="17" fillId="0" borderId="43" xfId="0" applyFont="1" applyBorder="1" applyAlignment="1" applyProtection="1">
      <alignment horizontal="center" vertical="center"/>
      <protection hidden="1"/>
    </xf>
    <xf numFmtId="0" fontId="10" fillId="0" borderId="51" xfId="0" applyFont="1" applyBorder="1" applyAlignment="1">
      <alignment horizontal="center"/>
    </xf>
    <xf numFmtId="0" fontId="10" fillId="0" borderId="8" xfId="0" applyFont="1" applyBorder="1" applyAlignment="1">
      <alignment horizontal="left" vertical="center"/>
    </xf>
    <xf numFmtId="0" fontId="10" fillId="0" borderId="52" xfId="0" applyFont="1" applyBorder="1" applyAlignment="1">
      <alignment horizontal="center"/>
    </xf>
    <xf numFmtId="2" fontId="10" fillId="0" borderId="23" xfId="0" applyNumberFormat="1" applyFont="1" applyBorder="1" applyAlignment="1">
      <alignment horizontal="center"/>
    </xf>
    <xf numFmtId="0" fontId="19" fillId="0" borderId="53" xfId="0" applyFont="1" applyBorder="1" applyAlignment="1" applyProtection="1">
      <alignment vertical="center"/>
      <protection hidden="1"/>
    </xf>
    <xf numFmtId="0" fontId="3" fillId="0" borderId="54" xfId="0" applyFont="1" applyBorder="1" applyAlignment="1" applyProtection="1">
      <alignment horizontal="center" vertical="center"/>
      <protection hidden="1"/>
    </xf>
    <xf numFmtId="0" fontId="19" fillId="0" borderId="12" xfId="0" applyFont="1" applyBorder="1" applyAlignment="1" applyProtection="1">
      <alignment vertical="center"/>
      <protection hidden="1"/>
    </xf>
    <xf numFmtId="0" fontId="3" fillId="0" borderId="55" xfId="0" applyFont="1" applyBorder="1" applyAlignment="1" applyProtection="1">
      <alignment vertical="center"/>
      <protection hidden="1"/>
    </xf>
    <xf numFmtId="0" fontId="19" fillId="0" borderId="55" xfId="0" applyFont="1" applyBorder="1" applyAlignment="1" applyProtection="1">
      <alignment vertical="center"/>
      <protection hidden="1"/>
    </xf>
    <xf numFmtId="0" fontId="19" fillId="0" borderId="34" xfId="0" applyFont="1" applyBorder="1" applyAlignment="1" applyProtection="1">
      <alignment horizontal="left" vertical="center"/>
      <protection hidden="1"/>
    </xf>
    <xf numFmtId="0" fontId="31" fillId="0" borderId="17" xfId="0" applyFont="1" applyBorder="1" applyAlignment="1" applyProtection="1">
      <alignment horizontal="center" vertical="center"/>
      <protection hidden="1"/>
    </xf>
    <xf numFmtId="0" fontId="31" fillId="0" borderId="18" xfId="0" applyFont="1" applyBorder="1" applyAlignment="1" applyProtection="1">
      <alignment horizontal="center" vertical="center"/>
      <protection hidden="1"/>
    </xf>
    <xf numFmtId="0" fontId="19" fillId="0" borderId="56" xfId="0" applyFont="1" applyBorder="1" applyAlignment="1" applyProtection="1">
      <alignment vertical="center"/>
      <protection hidden="1"/>
    </xf>
    <xf numFmtId="0" fontId="19" fillId="0" borderId="56" xfId="0" applyFont="1" applyBorder="1" applyAlignment="1" applyProtection="1">
      <alignment horizontal="left" vertical="center"/>
      <protection hidden="1"/>
    </xf>
    <xf numFmtId="0" fontId="3" fillId="0" borderId="13" xfId="0" applyFont="1" applyBorder="1" applyAlignment="1" applyProtection="1">
      <alignment horizontal="center" vertical="center"/>
      <protection hidden="1"/>
    </xf>
    <xf numFmtId="0" fontId="19" fillId="0" borderId="34" xfId="0" applyFont="1" applyBorder="1" applyAlignment="1" applyProtection="1">
      <alignment vertical="center"/>
      <protection hidden="1"/>
    </xf>
    <xf numFmtId="0" fontId="3" fillId="0" borderId="20" xfId="0" applyFont="1" applyBorder="1" applyAlignment="1" applyProtection="1">
      <alignment horizontal="center" vertical="center"/>
      <protection hidden="1"/>
    </xf>
    <xf numFmtId="0" fontId="19" fillId="0" borderId="9" xfId="0" applyFont="1" applyBorder="1" applyAlignment="1" applyProtection="1">
      <alignment horizontal="centerContinuous" vertical="center"/>
      <protection hidden="1"/>
    </xf>
    <xf numFmtId="0" fontId="19" fillId="0" borderId="10" xfId="0" applyFont="1" applyBorder="1" applyAlignment="1" applyProtection="1">
      <alignment horizontal="centerContinuous" vertical="center"/>
      <protection hidden="1"/>
    </xf>
    <xf numFmtId="0" fontId="3" fillId="0" borderId="10" xfId="0" applyFont="1" applyBorder="1" applyAlignment="1">
      <alignment horizontal="centerContinuous"/>
    </xf>
    <xf numFmtId="0" fontId="19" fillId="0" borderId="6" xfId="0" applyFont="1" applyBorder="1" applyAlignment="1" applyProtection="1">
      <alignment horizontal="centerContinuous" vertical="center"/>
      <protection hidden="1"/>
    </xf>
    <xf numFmtId="0" fontId="3" fillId="0" borderId="7" xfId="0" applyFont="1" applyBorder="1" applyAlignment="1" applyProtection="1">
      <alignment horizontal="centerContinuous" vertical="center"/>
      <protection hidden="1"/>
    </xf>
    <xf numFmtId="0" fontId="19" fillId="0" borderId="12" xfId="0" applyFont="1" applyBorder="1" applyAlignment="1" applyProtection="1">
      <alignment horizontal="center" vertical="center"/>
      <protection hidden="1"/>
    </xf>
    <xf numFmtId="0" fontId="3" fillId="0" borderId="57" xfId="0" applyFont="1" applyBorder="1" applyAlignment="1" applyProtection="1">
      <alignment horizontal="center" vertical="center"/>
      <protection hidden="1"/>
    </xf>
    <xf numFmtId="0" fontId="3" fillId="0" borderId="18" xfId="0" applyFont="1" applyBorder="1" applyAlignment="1">
      <alignment horizontal="center" vertical="center"/>
    </xf>
    <xf numFmtId="0" fontId="7" fillId="0" borderId="10" xfId="0" applyFont="1" applyBorder="1" applyAlignment="1">
      <alignment horizontal="centerContinuous" vertical="center"/>
    </xf>
    <xf numFmtId="14" fontId="9" fillId="0" borderId="4" xfId="0" applyNumberFormat="1" applyFont="1" applyBorder="1" applyAlignment="1">
      <alignment horizontal="left" vertical="center"/>
    </xf>
    <xf numFmtId="2" fontId="10" fillId="0" borderId="3" xfId="0" applyNumberFormat="1" applyFont="1" applyBorder="1" applyAlignment="1">
      <alignment horizontal="center"/>
    </xf>
    <xf numFmtId="2" fontId="10" fillId="0" borderId="23" xfId="0" applyNumberFormat="1" applyFont="1" applyBorder="1" applyAlignment="1" applyProtection="1">
      <alignment horizontal="center" vertical="center"/>
      <protection hidden="1"/>
    </xf>
    <xf numFmtId="1" fontId="9" fillId="0" borderId="36" xfId="0" applyNumberFormat="1" applyFont="1" applyBorder="1" applyAlignment="1" applyProtection="1">
      <alignment horizontal="center"/>
      <protection hidden="1"/>
    </xf>
    <xf numFmtId="0" fontId="0" fillId="3" borderId="0" xfId="0" applyFill="1"/>
    <xf numFmtId="1" fontId="9" fillId="0" borderId="58" xfId="0" applyNumberFormat="1" applyFont="1" applyBorder="1" applyAlignment="1" applyProtection="1">
      <alignment horizontal="center"/>
      <protection hidden="1"/>
    </xf>
    <xf numFmtId="0" fontId="10" fillId="0" borderId="7" xfId="0" applyFont="1" applyBorder="1" applyAlignment="1">
      <alignment horizontal="center"/>
    </xf>
    <xf numFmtId="0" fontId="10" fillId="0" borderId="52" xfId="0" applyFont="1" applyBorder="1" applyAlignment="1">
      <alignment horizontal="centerContinuous" vertical="center"/>
    </xf>
    <xf numFmtId="0" fontId="10" fillId="0" borderId="7" xfId="0" applyFont="1" applyBorder="1"/>
    <xf numFmtId="0" fontId="9" fillId="0" borderId="46" xfId="0" applyFont="1" applyBorder="1" applyAlignment="1">
      <alignment horizontal="center"/>
    </xf>
    <xf numFmtId="0" fontId="0" fillId="4" borderId="0" xfId="0" applyFill="1"/>
    <xf numFmtId="0" fontId="9" fillId="0" borderId="19" xfId="0" applyFont="1" applyBorder="1" applyAlignment="1">
      <alignment horizontal="center"/>
    </xf>
    <xf numFmtId="0" fontId="9" fillId="0" borderId="21" xfId="0" applyFont="1" applyBorder="1" applyAlignment="1">
      <alignment horizontal="center"/>
    </xf>
    <xf numFmtId="0" fontId="9" fillId="0" borderId="25" xfId="0" applyFont="1" applyBorder="1" applyAlignment="1">
      <alignment horizontal="center"/>
    </xf>
    <xf numFmtId="0" fontId="32" fillId="0" borderId="0" xfId="0" applyFont="1"/>
    <xf numFmtId="0" fontId="33" fillId="0" borderId="0" xfId="0" applyFont="1"/>
    <xf numFmtId="0" fontId="10" fillId="0" borderId="4" xfId="0" applyFont="1" applyBorder="1"/>
    <xf numFmtId="4" fontId="10" fillId="0" borderId="4" xfId="0" applyNumberFormat="1" applyFont="1" applyBorder="1" applyAlignment="1">
      <alignment horizontal="left"/>
    </xf>
    <xf numFmtId="0" fontId="10" fillId="0" borderId="9" xfId="0" applyFont="1" applyBorder="1"/>
    <xf numFmtId="0" fontId="10" fillId="0" borderId="0" xfId="0" applyFont="1"/>
    <xf numFmtId="0" fontId="10" fillId="0" borderId="6" xfId="0" applyFont="1" applyBorder="1"/>
    <xf numFmtId="0" fontId="10" fillId="0" borderId="10" xfId="0" applyFont="1" applyBorder="1"/>
    <xf numFmtId="0" fontId="10" fillId="0" borderId="40" xfId="0" applyFont="1" applyBorder="1" applyAlignment="1">
      <alignment vertical="center"/>
    </xf>
    <xf numFmtId="0" fontId="10" fillId="0" borderId="41" xfId="0" applyFont="1" applyBorder="1" applyAlignment="1">
      <alignment vertical="center"/>
    </xf>
    <xf numFmtId="0" fontId="0" fillId="0" borderId="41" xfId="0" applyBorder="1" applyAlignment="1">
      <alignment vertical="center"/>
    </xf>
    <xf numFmtId="0" fontId="10" fillId="0" borderId="59" xfId="0" applyFont="1" applyBorder="1"/>
    <xf numFmtId="0" fontId="36" fillId="0" borderId="0" xfId="0" applyFont="1" applyAlignment="1">
      <alignment wrapText="1"/>
    </xf>
    <xf numFmtId="15" fontId="38" fillId="0" borderId="0" xfId="0" applyNumberFormat="1" applyFont="1" applyAlignment="1">
      <alignment horizontal="left" vertical="center"/>
    </xf>
    <xf numFmtId="14" fontId="38" fillId="0" borderId="0" xfId="0" applyNumberFormat="1" applyFont="1" applyAlignment="1">
      <alignment horizontal="left" vertical="center"/>
    </xf>
    <xf numFmtId="0" fontId="38" fillId="0" borderId="0" xfId="0" applyFont="1" applyAlignment="1">
      <alignment horizontal="left" vertical="center"/>
    </xf>
    <xf numFmtId="0" fontId="38" fillId="0" borderId="0" xfId="0" applyFont="1" applyAlignment="1" applyProtection="1">
      <alignment horizontal="left" vertical="center"/>
      <protection hidden="1"/>
    </xf>
    <xf numFmtId="0" fontId="36" fillId="0" borderId="0" xfId="0" applyFont="1" applyAlignment="1">
      <alignment vertical="center" wrapText="1"/>
    </xf>
    <xf numFmtId="0" fontId="0" fillId="0" borderId="0" xfId="0" applyAlignment="1">
      <alignment vertical="center" wrapText="1"/>
    </xf>
    <xf numFmtId="0" fontId="37" fillId="0" borderId="0" xfId="0" applyFont="1" applyAlignment="1">
      <alignment horizontal="center"/>
    </xf>
    <xf numFmtId="0" fontId="36" fillId="0" borderId="0" xfId="0" applyFont="1" applyAlignment="1">
      <alignment vertical="center"/>
    </xf>
    <xf numFmtId="0" fontId="4" fillId="5" borderId="60" xfId="0" applyFont="1" applyFill="1" applyBorder="1"/>
    <xf numFmtId="170" fontId="3" fillId="0" borderId="50" xfId="0" applyNumberFormat="1" applyFont="1" applyBorder="1" applyAlignment="1" applyProtection="1">
      <alignment horizontal="centerContinuous" vertical="center"/>
      <protection hidden="1"/>
    </xf>
    <xf numFmtId="170" fontId="3" fillId="0" borderId="3" xfId="0" applyNumberFormat="1" applyFont="1" applyBorder="1" applyAlignment="1" applyProtection="1">
      <alignment horizontal="centerContinuous" vertical="center"/>
      <protection hidden="1"/>
    </xf>
    <xf numFmtId="1" fontId="16" fillId="0" borderId="0" xfId="3" applyFont="1" applyAlignment="1" applyProtection="1">
      <alignment horizontal="right" vertical="center"/>
      <protection hidden="1"/>
    </xf>
    <xf numFmtId="1" fontId="3" fillId="0" borderId="0" xfId="3" applyFont="1" applyAlignment="1" applyProtection="1">
      <alignment horizontal="left" vertical="center"/>
      <protection hidden="1"/>
    </xf>
    <xf numFmtId="0" fontId="40" fillId="0" borderId="0" xfId="0" applyFont="1" applyAlignment="1">
      <alignment vertical="center"/>
    </xf>
    <xf numFmtId="0" fontId="41" fillId="0" borderId="0" xfId="0" applyFont="1" applyAlignment="1">
      <alignment horizontal="right" vertical="center"/>
    </xf>
    <xf numFmtId="14" fontId="30" fillId="2" borderId="0" xfId="0" applyNumberFormat="1" applyFont="1" applyFill="1" applyAlignment="1">
      <alignment horizontal="left" vertical="center"/>
    </xf>
    <xf numFmtId="0" fontId="40" fillId="0" borderId="0" xfId="0" applyFont="1" applyAlignment="1">
      <alignment horizontal="right" vertical="center"/>
    </xf>
    <xf numFmtId="0" fontId="42" fillId="0" borderId="0" xfId="0" applyFont="1" applyAlignment="1">
      <alignment horizontal="left" vertical="center"/>
    </xf>
    <xf numFmtId="14" fontId="18" fillId="0" borderId="0" xfId="3" applyNumberFormat="1" applyFont="1" applyAlignment="1">
      <alignment horizontal="left" vertical="center"/>
    </xf>
    <xf numFmtId="0" fontId="30" fillId="0" borderId="0" xfId="0" applyFont="1" applyAlignment="1" applyProtection="1">
      <alignment horizontal="left" vertical="center"/>
      <protection locked="0"/>
    </xf>
    <xf numFmtId="1" fontId="3" fillId="0" borderId="0" xfId="3" applyFont="1" applyAlignment="1">
      <alignment horizontal="left" vertical="center"/>
    </xf>
    <xf numFmtId="0" fontId="0" fillId="0" borderId="61" xfId="0" applyBorder="1"/>
    <xf numFmtId="1" fontId="16" fillId="0" borderId="62" xfId="3" applyFont="1" applyBorder="1" applyAlignment="1" applyProtection="1">
      <alignment horizontal="right" vertical="center"/>
      <protection hidden="1"/>
    </xf>
    <xf numFmtId="0" fontId="30" fillId="0" borderId="62" xfId="0" applyFont="1" applyBorder="1" applyAlignment="1" applyProtection="1">
      <alignment horizontal="left" vertical="center"/>
      <protection locked="0"/>
    </xf>
    <xf numFmtId="1" fontId="3" fillId="0" borderId="62" xfId="3" applyFont="1" applyBorder="1" applyAlignment="1">
      <alignment horizontal="left" vertical="center"/>
    </xf>
    <xf numFmtId="0" fontId="0" fillId="0" borderId="62" xfId="0" applyBorder="1"/>
    <xf numFmtId="14" fontId="18" fillId="0" borderId="63" xfId="3" applyNumberFormat="1" applyFont="1" applyBorder="1" applyAlignment="1">
      <alignment horizontal="left" vertical="center"/>
    </xf>
    <xf numFmtId="0" fontId="0" fillId="0" borderId="64" xfId="0" applyBorder="1"/>
    <xf numFmtId="0" fontId="40" fillId="0" borderId="0" xfId="0" applyFont="1" applyAlignment="1">
      <alignment horizontal="right"/>
    </xf>
    <xf numFmtId="1" fontId="16" fillId="0" borderId="0" xfId="3" applyFont="1" applyAlignment="1" applyProtection="1">
      <alignment horizontal="left" vertical="center"/>
      <protection hidden="1"/>
    </xf>
    <xf numFmtId="14" fontId="18" fillId="0" borderId="65" xfId="3" applyNumberFormat="1" applyFont="1" applyBorder="1" applyAlignment="1">
      <alignment horizontal="left" vertical="center"/>
    </xf>
    <xf numFmtId="0" fontId="0" fillId="0" borderId="66" xfId="0" applyBorder="1"/>
    <xf numFmtId="0" fontId="0" fillId="0" borderId="67" xfId="0" applyBorder="1"/>
    <xf numFmtId="0" fontId="40" fillId="0" borderId="67" xfId="0" applyFont="1" applyBorder="1" applyAlignment="1">
      <alignment horizontal="right"/>
    </xf>
    <xf numFmtId="15" fontId="18" fillId="0" borderId="68" xfId="3" applyNumberFormat="1" applyFont="1" applyBorder="1" applyAlignment="1">
      <alignment horizontal="left" vertical="center"/>
    </xf>
    <xf numFmtId="0" fontId="44" fillId="6" borderId="61" xfId="0" applyFont="1" applyFill="1" applyBorder="1"/>
    <xf numFmtId="0" fontId="45" fillId="6" borderId="62" xfId="0" applyFont="1" applyFill="1" applyBorder="1"/>
    <xf numFmtId="0" fontId="44" fillId="6" borderId="69" xfId="0" applyFont="1" applyFill="1" applyBorder="1" applyAlignment="1">
      <alignment horizontal="center"/>
    </xf>
    <xf numFmtId="0" fontId="44" fillId="6" borderId="70" xfId="0" applyFont="1" applyFill="1" applyBorder="1" applyAlignment="1">
      <alignment horizontal="center"/>
    </xf>
    <xf numFmtId="0" fontId="45" fillId="6" borderId="71" xfId="0" applyFont="1" applyFill="1" applyBorder="1"/>
    <xf numFmtId="0" fontId="45" fillId="6" borderId="63" xfId="0" applyFont="1" applyFill="1" applyBorder="1"/>
    <xf numFmtId="0" fontId="45" fillId="6" borderId="28" xfId="0" applyFont="1" applyFill="1" applyBorder="1"/>
    <xf numFmtId="0" fontId="45" fillId="6" borderId="72" xfId="0" applyFont="1" applyFill="1" applyBorder="1"/>
    <xf numFmtId="0" fontId="46" fillId="0" borderId="73" xfId="0" applyFont="1" applyBorder="1"/>
    <xf numFmtId="0" fontId="46" fillId="0" borderId="15" xfId="0" applyFont="1" applyBorder="1"/>
    <xf numFmtId="0" fontId="46" fillId="0" borderId="17" xfId="0" applyFont="1" applyBorder="1"/>
    <xf numFmtId="2" fontId="46" fillId="0" borderId="17" xfId="0" applyNumberFormat="1" applyFont="1" applyBorder="1"/>
    <xf numFmtId="1" fontId="46" fillId="0" borderId="17" xfId="0" applyNumberFormat="1" applyFont="1" applyBorder="1" applyAlignment="1">
      <alignment horizontal="center"/>
    </xf>
    <xf numFmtId="0" fontId="46" fillId="0" borderId="17" xfId="0" applyFont="1" applyBorder="1" applyAlignment="1">
      <alignment horizontal="center"/>
    </xf>
    <xf numFmtId="1" fontId="46" fillId="0" borderId="32" xfId="0" applyNumberFormat="1" applyFont="1" applyBorder="1" applyAlignment="1">
      <alignment horizontal="center"/>
    </xf>
    <xf numFmtId="2" fontId="3" fillId="0" borderId="74" xfId="0" applyNumberFormat="1" applyFont="1" applyBorder="1"/>
    <xf numFmtId="2" fontId="46" fillId="0" borderId="34" xfId="0" applyNumberFormat="1" applyFont="1" applyBorder="1" applyAlignment="1">
      <alignment horizontal="center"/>
    </xf>
    <xf numFmtId="2" fontId="46" fillId="0" borderId="65" xfId="0" applyNumberFormat="1" applyFont="1" applyBorder="1" applyAlignment="1">
      <alignment horizontal="center"/>
    </xf>
    <xf numFmtId="0" fontId="46" fillId="0" borderId="5" xfId="0" applyFont="1" applyBorder="1"/>
    <xf numFmtId="1" fontId="46" fillId="0" borderId="5" xfId="0" applyNumberFormat="1" applyFont="1" applyBorder="1" applyAlignment="1">
      <alignment horizontal="center"/>
    </xf>
    <xf numFmtId="1" fontId="46" fillId="0" borderId="19" xfId="0" applyNumberFormat="1" applyFont="1" applyBorder="1" applyAlignment="1">
      <alignment horizontal="center"/>
    </xf>
    <xf numFmtId="2" fontId="46" fillId="0" borderId="65" xfId="0" applyNumberFormat="1" applyFont="1" applyBorder="1"/>
    <xf numFmtId="2" fontId="46" fillId="0" borderId="5" xfId="0" applyNumberFormat="1" applyFont="1" applyBorder="1"/>
    <xf numFmtId="0" fontId="46" fillId="0" borderId="75" xfId="0" applyFont="1" applyBorder="1"/>
    <xf numFmtId="0" fontId="46" fillId="0" borderId="76" xfId="0" applyFont="1" applyBorder="1"/>
    <xf numFmtId="0" fontId="46" fillId="0" borderId="77" xfId="0" applyFont="1" applyBorder="1"/>
    <xf numFmtId="2" fontId="46" fillId="0" borderId="78" xfId="0" applyNumberFormat="1" applyFont="1" applyBorder="1"/>
    <xf numFmtId="1" fontId="46" fillId="0" borderId="77" xfId="0" applyNumberFormat="1" applyFont="1" applyBorder="1" applyAlignment="1">
      <alignment horizontal="center"/>
    </xf>
    <xf numFmtId="1" fontId="46" fillId="0" borderId="79" xfId="0" applyNumberFormat="1" applyFont="1" applyBorder="1" applyAlignment="1">
      <alignment horizontal="center"/>
    </xf>
    <xf numFmtId="2" fontId="3" fillId="0" borderId="80" xfId="0" applyNumberFormat="1" applyFont="1" applyBorder="1"/>
    <xf numFmtId="0" fontId="46" fillId="0" borderId="0" xfId="0" applyFont="1"/>
    <xf numFmtId="1" fontId="46" fillId="0" borderId="0" xfId="0" applyNumberFormat="1" applyFont="1" applyAlignment="1">
      <alignment horizontal="center"/>
    </xf>
    <xf numFmtId="1" fontId="16" fillId="0" borderId="61" xfId="3" applyFont="1" applyBorder="1" applyAlignment="1" applyProtection="1">
      <alignment horizontal="right" vertical="center"/>
      <protection hidden="1"/>
    </xf>
    <xf numFmtId="0" fontId="40" fillId="0" borderId="62" xfId="0" applyFont="1" applyBorder="1"/>
    <xf numFmtId="0" fontId="42" fillId="0" borderId="62" xfId="0" applyFont="1" applyBorder="1"/>
    <xf numFmtId="0" fontId="0" fillId="0" borderId="63" xfId="0" applyBorder="1"/>
    <xf numFmtId="1" fontId="16" fillId="0" borderId="64" xfId="3" applyFont="1" applyBorder="1" applyAlignment="1" applyProtection="1">
      <alignment horizontal="right" vertical="center"/>
      <protection hidden="1"/>
    </xf>
    <xf numFmtId="0" fontId="0" fillId="0" borderId="65" xfId="0" applyBorder="1"/>
    <xf numFmtId="2" fontId="46" fillId="0" borderId="0" xfId="0" applyNumberFormat="1" applyFont="1" applyAlignment="1">
      <alignment horizontal="center"/>
    </xf>
    <xf numFmtId="2" fontId="46" fillId="0" borderId="0" xfId="0" applyNumberFormat="1" applyFont="1"/>
    <xf numFmtId="1" fontId="16" fillId="0" borderId="67" xfId="3" applyFont="1" applyBorder="1" applyAlignment="1" applyProtection="1">
      <alignment horizontal="right" vertical="center"/>
      <protection hidden="1"/>
    </xf>
    <xf numFmtId="0" fontId="0" fillId="0" borderId="68" xfId="0" applyBorder="1"/>
    <xf numFmtId="0" fontId="44" fillId="6" borderId="62" xfId="0" applyFont="1" applyFill="1" applyBorder="1"/>
    <xf numFmtId="0" fontId="44" fillId="6" borderId="66" xfId="0" applyFont="1" applyFill="1" applyBorder="1"/>
    <xf numFmtId="0" fontId="44" fillId="6" borderId="67" xfId="0" applyFont="1" applyFill="1" applyBorder="1"/>
    <xf numFmtId="0" fontId="44" fillId="6" borderId="78" xfId="0" applyFont="1" applyFill="1" applyBorder="1" applyAlignment="1">
      <alignment horizontal="center"/>
    </xf>
    <xf numFmtId="0" fontId="44" fillId="6" borderId="81" xfId="0" applyFont="1" applyFill="1" applyBorder="1" applyAlignment="1">
      <alignment horizontal="center"/>
    </xf>
    <xf numFmtId="0" fontId="46" fillId="0" borderId="82" xfId="0" applyFont="1" applyBorder="1"/>
    <xf numFmtId="0" fontId="46" fillId="0" borderId="28" xfId="0" applyFont="1" applyBorder="1"/>
    <xf numFmtId="2" fontId="3" fillId="0" borderId="83" xfId="0" applyNumberFormat="1" applyFont="1" applyBorder="1"/>
    <xf numFmtId="0" fontId="42" fillId="0" borderId="73" xfId="0" applyFont="1" applyBorder="1"/>
    <xf numFmtId="0" fontId="42" fillId="0" borderId="15" xfId="0" applyFont="1" applyBorder="1"/>
    <xf numFmtId="0" fontId="42" fillId="0" borderId="5" xfId="0" applyFont="1" applyBorder="1"/>
    <xf numFmtId="1" fontId="42" fillId="0" borderId="5" xfId="0" applyNumberFormat="1" applyFont="1" applyBorder="1" applyAlignment="1">
      <alignment horizontal="center"/>
    </xf>
    <xf numFmtId="0" fontId="42" fillId="0" borderId="5" xfId="0" applyFont="1" applyBorder="1" applyAlignment="1">
      <alignment horizontal="center"/>
    </xf>
    <xf numFmtId="1" fontId="42" fillId="0" borderId="19" xfId="0" applyNumberFormat="1" applyFont="1" applyBorder="1" applyAlignment="1">
      <alignment horizontal="center"/>
    </xf>
    <xf numFmtId="0" fontId="42" fillId="0" borderId="28" xfId="0" applyFont="1" applyBorder="1"/>
    <xf numFmtId="0" fontId="42" fillId="0" borderId="17" xfId="0" applyFont="1" applyBorder="1"/>
    <xf numFmtId="1" fontId="42" fillId="0" borderId="17" xfId="0" applyNumberFormat="1" applyFont="1" applyBorder="1" applyAlignment="1">
      <alignment horizontal="center"/>
    </xf>
    <xf numFmtId="0" fontId="42" fillId="0" borderId="17" xfId="0" applyFont="1" applyBorder="1" applyAlignment="1">
      <alignment horizontal="center"/>
    </xf>
    <xf numFmtId="1" fontId="42" fillId="0" borderId="32" xfId="0" applyNumberFormat="1" applyFont="1" applyBorder="1" applyAlignment="1">
      <alignment horizontal="center"/>
    </xf>
    <xf numFmtId="0" fontId="42" fillId="0" borderId="73" xfId="0" quotePrefix="1" applyFont="1" applyBorder="1"/>
    <xf numFmtId="0" fontId="42" fillId="0" borderId="17" xfId="0" quotePrefix="1" applyFont="1" applyBorder="1"/>
    <xf numFmtId="1" fontId="42" fillId="0" borderId="17" xfId="0" quotePrefix="1" applyNumberFormat="1" applyFont="1" applyBorder="1" applyAlignment="1">
      <alignment horizontal="center"/>
    </xf>
    <xf numFmtId="0" fontId="42" fillId="0" borderId="17" xfId="0" quotePrefix="1" applyFont="1" applyBorder="1" applyAlignment="1">
      <alignment horizontal="center"/>
    </xf>
    <xf numFmtId="1" fontId="42" fillId="0" borderId="32" xfId="0" quotePrefix="1" applyNumberFormat="1" applyFont="1" applyBorder="1" applyAlignment="1">
      <alignment horizontal="center"/>
    </xf>
    <xf numFmtId="0" fontId="42" fillId="0" borderId="75" xfId="0" quotePrefix="1" applyFont="1" applyBorder="1"/>
    <xf numFmtId="0" fontId="42" fillId="0" borderId="76" xfId="0" applyFont="1" applyBorder="1"/>
    <xf numFmtId="0" fontId="42" fillId="0" borderId="77" xfId="0" quotePrefix="1" applyFont="1" applyBorder="1"/>
    <xf numFmtId="2" fontId="46" fillId="0" borderId="77" xfId="0" applyNumberFormat="1" applyFont="1" applyBorder="1"/>
    <xf numFmtId="1" fontId="42" fillId="0" borderId="77" xfId="0" quotePrefix="1" applyNumberFormat="1" applyFont="1" applyBorder="1" applyAlignment="1">
      <alignment horizontal="center"/>
    </xf>
    <xf numFmtId="0" fontId="42" fillId="0" borderId="77" xfId="0" quotePrefix="1" applyFont="1" applyBorder="1" applyAlignment="1">
      <alignment horizontal="center"/>
    </xf>
    <xf numFmtId="1" fontId="42" fillId="0" borderId="79" xfId="0" quotePrefix="1" applyNumberFormat="1" applyFont="1" applyBorder="1" applyAlignment="1">
      <alignment horizontal="center"/>
    </xf>
    <xf numFmtId="0" fontId="47" fillId="0" borderId="0" xfId="0" applyFont="1"/>
    <xf numFmtId="15" fontId="9" fillId="0" borderId="0" xfId="0" applyNumberFormat="1" applyFont="1" applyAlignment="1">
      <alignment horizontal="left" vertical="center"/>
    </xf>
    <xf numFmtId="14" fontId="9" fillId="0" borderId="0" xfId="0" applyNumberFormat="1" applyFont="1" applyAlignment="1">
      <alignment horizontal="left" vertical="center"/>
    </xf>
    <xf numFmtId="0" fontId="9" fillId="0" borderId="0" xfId="0" applyFont="1" applyAlignment="1">
      <alignment horizontal="left" vertical="center"/>
    </xf>
    <xf numFmtId="0" fontId="9" fillId="0" borderId="0" xfId="0" applyFont="1" applyAlignment="1" applyProtection="1">
      <alignment horizontal="left" vertical="center"/>
      <protection hidden="1"/>
    </xf>
    <xf numFmtId="0" fontId="48" fillId="0" borderId="22" xfId="0" applyFont="1" applyBorder="1" applyAlignment="1" applyProtection="1">
      <alignment vertical="center"/>
      <protection hidden="1"/>
    </xf>
    <xf numFmtId="0" fontId="48" fillId="0" borderId="53" xfId="0" applyFont="1" applyBorder="1" applyAlignment="1" applyProtection="1">
      <alignment vertical="center"/>
      <protection hidden="1"/>
    </xf>
    <xf numFmtId="0" fontId="49" fillId="0" borderId="14" xfId="0" applyFont="1" applyBorder="1" applyAlignment="1" applyProtection="1">
      <alignment vertical="center"/>
      <protection hidden="1"/>
    </xf>
    <xf numFmtId="0" fontId="49" fillId="0" borderId="15" xfId="0" applyFont="1" applyBorder="1" applyAlignment="1" applyProtection="1">
      <alignment vertical="center"/>
      <protection hidden="1"/>
    </xf>
    <xf numFmtId="0" fontId="49" fillId="0" borderId="24" xfId="0" applyFont="1" applyBorder="1" applyAlignment="1" applyProtection="1">
      <alignment vertical="center"/>
      <protection hidden="1"/>
    </xf>
    <xf numFmtId="0" fontId="49" fillId="0" borderId="29" xfId="0" applyFont="1" applyBorder="1" applyAlignment="1" applyProtection="1">
      <alignment vertical="center"/>
      <protection hidden="1"/>
    </xf>
    <xf numFmtId="1" fontId="3" fillId="0" borderId="12" xfId="0" applyNumberFormat="1" applyFont="1" applyBorder="1" applyAlignment="1" applyProtection="1">
      <alignment horizontal="centerContinuous" vertical="center"/>
      <protection hidden="1"/>
    </xf>
    <xf numFmtId="169" fontId="3" fillId="2" borderId="16" xfId="0" applyNumberFormat="1" applyFont="1" applyFill="1" applyBorder="1" applyAlignment="1" applyProtection="1">
      <alignment horizontal="center" vertical="center"/>
      <protection hidden="1"/>
    </xf>
    <xf numFmtId="169" fontId="3" fillId="0" borderId="16" xfId="0" applyNumberFormat="1" applyFont="1" applyBorder="1" applyAlignment="1" applyProtection="1">
      <alignment horizontal="center" vertical="center"/>
      <protection hidden="1"/>
    </xf>
    <xf numFmtId="169" fontId="3" fillId="0" borderId="26" xfId="0" applyNumberFormat="1" applyFont="1" applyBorder="1" applyAlignment="1" applyProtection="1">
      <alignment horizontal="center" vertical="center"/>
      <protection hidden="1"/>
    </xf>
    <xf numFmtId="0" fontId="3" fillId="0" borderId="27" xfId="0" applyFont="1" applyBorder="1" applyAlignment="1" applyProtection="1">
      <alignment horizontal="right" vertical="center"/>
      <protection hidden="1"/>
    </xf>
    <xf numFmtId="0" fontId="3" fillId="0" borderId="18" xfId="0" applyFont="1" applyBorder="1" applyAlignment="1" applyProtection="1">
      <alignment horizontal="left" vertical="center"/>
      <protection hidden="1"/>
    </xf>
    <xf numFmtId="1" fontId="3" fillId="0" borderId="32" xfId="0" applyNumberFormat="1" applyFont="1" applyBorder="1" applyAlignment="1">
      <alignment horizontal="right" vertical="center"/>
    </xf>
    <xf numFmtId="0" fontId="3" fillId="0" borderId="23" xfId="0" applyFont="1" applyBorder="1" applyAlignment="1" applyProtection="1">
      <alignment horizontal="left" vertical="center"/>
      <protection hidden="1"/>
    </xf>
    <xf numFmtId="0" fontId="30" fillId="0" borderId="18" xfId="0" applyFont="1" applyBorder="1" applyAlignment="1">
      <alignment horizontal="center" vertical="center"/>
    </xf>
    <xf numFmtId="0" fontId="3" fillId="0" borderId="14" xfId="0" applyFont="1" applyBorder="1" applyAlignment="1" applyProtection="1">
      <alignment horizontal="left" vertical="center"/>
      <protection hidden="1"/>
    </xf>
    <xf numFmtId="0" fontId="3" fillId="0" borderId="24" xfId="0" applyFont="1" applyBorder="1" applyAlignment="1" applyProtection="1">
      <alignment horizontal="left" vertical="center"/>
      <protection hidden="1"/>
    </xf>
    <xf numFmtId="0" fontId="51" fillId="0" borderId="84" xfId="4" applyFont="1" applyBorder="1" applyAlignment="1">
      <alignment vertical="center"/>
    </xf>
    <xf numFmtId="0" fontId="50" fillId="0" borderId="85" xfId="4" applyBorder="1"/>
    <xf numFmtId="0" fontId="52" fillId="0" borderId="85" xfId="4" applyFont="1" applyBorder="1" applyAlignment="1">
      <alignment horizontal="center" vertical="center"/>
    </xf>
    <xf numFmtId="0" fontId="50" fillId="0" borderId="0" xfId="4"/>
    <xf numFmtId="0" fontId="50" fillId="0" borderId="86" xfId="4" applyBorder="1"/>
    <xf numFmtId="0" fontId="53" fillId="0" borderId="0" xfId="4" applyFont="1" applyAlignment="1">
      <alignment horizontal="center" vertical="center"/>
    </xf>
    <xf numFmtId="0" fontId="50" fillId="0" borderId="87" xfId="4" applyBorder="1"/>
    <xf numFmtId="0" fontId="51" fillId="0" borderId="86" xfId="4" applyFont="1" applyBorder="1" applyAlignment="1">
      <alignment vertical="center"/>
    </xf>
    <xf numFmtId="0" fontId="54" fillId="0" borderId="88" xfId="4" applyFont="1" applyBorder="1" applyAlignment="1">
      <alignment horizontal="left" vertical="center"/>
    </xf>
    <xf numFmtId="0" fontId="50" fillId="0" borderId="4" xfId="4" applyBorder="1"/>
    <xf numFmtId="0" fontId="54" fillId="0" borderId="4" xfId="4" applyFont="1" applyBorder="1" applyAlignment="1">
      <alignment horizontal="right" vertical="center"/>
    </xf>
    <xf numFmtId="14" fontId="7" fillId="0" borderId="4" xfId="0" applyNumberFormat="1" applyFont="1" applyBorder="1" applyAlignment="1" applyProtection="1">
      <alignment horizontal="center" vertical="center"/>
      <protection hidden="1"/>
    </xf>
    <xf numFmtId="0" fontId="50" fillId="0" borderId="89" xfId="4" applyBorder="1"/>
    <xf numFmtId="0" fontId="54" fillId="0" borderId="86" xfId="4" applyFont="1" applyBorder="1" applyAlignment="1">
      <alignment horizontal="left" vertical="center"/>
    </xf>
    <xf numFmtId="0" fontId="54" fillId="0" borderId="0" xfId="4" applyFont="1" applyAlignment="1">
      <alignment horizontal="left" vertical="center"/>
    </xf>
    <xf numFmtId="0" fontId="7" fillId="0" borderId="0" xfId="0" applyFont="1" applyAlignment="1" applyProtection="1">
      <alignment horizontal="center" vertical="center"/>
      <protection hidden="1"/>
    </xf>
    <xf numFmtId="0" fontId="50" fillId="0" borderId="90" xfId="4" applyBorder="1"/>
    <xf numFmtId="0" fontId="50" fillId="0" borderId="3" xfId="4" applyBorder="1"/>
    <xf numFmtId="0" fontId="50" fillId="0" borderId="91" xfId="4" applyBorder="1"/>
    <xf numFmtId="0" fontId="55" fillId="0" borderId="92" xfId="4" applyFont="1" applyBorder="1" applyAlignment="1">
      <alignment horizontal="center" vertical="center"/>
    </xf>
    <xf numFmtId="0" fontId="55" fillId="0" borderId="51" xfId="4" applyFont="1" applyBorder="1" applyAlignment="1">
      <alignment horizontal="center" vertical="center"/>
    </xf>
    <xf numFmtId="0" fontId="50" fillId="0" borderId="93" xfId="4" applyBorder="1"/>
    <xf numFmtId="0" fontId="56" fillId="0" borderId="52" xfId="4" applyFont="1" applyBorder="1" applyAlignment="1">
      <alignment horizontal="center" vertical="center"/>
    </xf>
    <xf numFmtId="0" fontId="50" fillId="0" borderId="52" xfId="4" applyBorder="1"/>
    <xf numFmtId="0" fontId="55" fillId="0" borderId="94" xfId="4" applyFont="1" applyBorder="1" applyAlignment="1">
      <alignment horizontal="left" vertical="center"/>
    </xf>
    <xf numFmtId="0" fontId="55" fillId="0" borderId="11" xfId="4" applyFont="1" applyBorder="1" applyAlignment="1">
      <alignment horizontal="center" vertical="center"/>
    </xf>
    <xf numFmtId="0" fontId="57" fillId="0" borderId="11" xfId="4" applyFont="1" applyBorder="1" applyAlignment="1">
      <alignment horizontal="center"/>
    </xf>
    <xf numFmtId="0" fontId="57" fillId="0" borderId="11" xfId="4" applyFont="1" applyBorder="1"/>
    <xf numFmtId="0" fontId="55" fillId="0" borderId="43" xfId="4" applyFont="1" applyBorder="1" applyAlignment="1">
      <alignment horizontal="left" vertical="center"/>
    </xf>
    <xf numFmtId="0" fontId="55" fillId="0" borderId="0" xfId="4" applyFont="1" applyAlignment="1">
      <alignment horizontal="center" vertical="center"/>
    </xf>
    <xf numFmtId="0" fontId="56" fillId="0" borderId="95" xfId="4" applyFont="1" applyBorder="1" applyAlignment="1">
      <alignment horizontal="center" vertical="center"/>
    </xf>
    <xf numFmtId="0" fontId="55" fillId="0" borderId="96" xfId="4" applyFont="1" applyBorder="1" applyAlignment="1">
      <alignment horizontal="left" vertical="center"/>
    </xf>
    <xf numFmtId="0" fontId="55" fillId="0" borderId="5" xfId="4" applyFont="1" applyBorder="1" applyAlignment="1">
      <alignment horizontal="center" vertical="center"/>
    </xf>
    <xf numFmtId="0" fontId="57" fillId="0" borderId="5" xfId="4" applyFont="1" applyBorder="1" applyAlignment="1">
      <alignment horizontal="center"/>
    </xf>
    <xf numFmtId="0" fontId="57" fillId="0" borderId="5" xfId="4" applyFont="1" applyBorder="1"/>
    <xf numFmtId="0" fontId="55" fillId="0" borderId="16" xfId="4" applyFont="1" applyBorder="1" applyAlignment="1">
      <alignment horizontal="left" vertical="center"/>
    </xf>
    <xf numFmtId="0" fontId="55" fillId="0" borderId="42" xfId="4" applyFont="1" applyBorder="1" applyAlignment="1">
      <alignment horizontal="left" vertical="center"/>
    </xf>
    <xf numFmtId="0" fontId="55" fillId="0" borderId="97" xfId="4" applyFont="1" applyBorder="1" applyAlignment="1">
      <alignment horizontal="center" vertical="center"/>
    </xf>
    <xf numFmtId="0" fontId="55" fillId="0" borderId="22" xfId="4" applyFont="1" applyBorder="1" applyAlignment="1">
      <alignment horizontal="left" vertical="center"/>
    </xf>
    <xf numFmtId="0" fontId="55" fillId="0" borderId="98" xfId="4" applyFont="1" applyBorder="1" applyAlignment="1">
      <alignment horizontal="center" vertical="center"/>
    </xf>
    <xf numFmtId="0" fontId="57" fillId="0" borderId="98" xfId="4" applyFont="1" applyBorder="1" applyAlignment="1">
      <alignment horizontal="center"/>
    </xf>
    <xf numFmtId="0" fontId="55" fillId="0" borderId="22" xfId="4" applyFont="1" applyBorder="1" applyAlignment="1">
      <alignment horizontal="center" vertical="center"/>
    </xf>
    <xf numFmtId="0" fontId="50" fillId="0" borderId="98" xfId="4" applyBorder="1"/>
    <xf numFmtId="0" fontId="57" fillId="0" borderId="22" xfId="4" applyFont="1" applyBorder="1" applyAlignment="1">
      <alignment vertical="center"/>
    </xf>
    <xf numFmtId="0" fontId="57" fillId="0" borderId="22" xfId="4" applyFont="1" applyBorder="1" applyAlignment="1">
      <alignment horizontal="left"/>
    </xf>
    <xf numFmtId="0" fontId="50" fillId="0" borderId="22" xfId="4" applyBorder="1"/>
    <xf numFmtId="0" fontId="57" fillId="0" borderId="36" xfId="4" applyFont="1" applyBorder="1"/>
    <xf numFmtId="0" fontId="55" fillId="0" borderId="99" xfId="4" applyFont="1" applyBorder="1" applyAlignment="1">
      <alignment horizontal="left" vertical="center"/>
    </xf>
    <xf numFmtId="0" fontId="58" fillId="0" borderId="58" xfId="4" applyFont="1" applyBorder="1" applyAlignment="1">
      <alignment horizontal="center" vertical="center"/>
    </xf>
    <xf numFmtId="0" fontId="50" fillId="0" borderId="100" xfId="4" applyBorder="1"/>
    <xf numFmtId="0" fontId="50" fillId="0" borderId="17" xfId="4" applyBorder="1"/>
    <xf numFmtId="0" fontId="55" fillId="0" borderId="101" xfId="4" applyFont="1" applyBorder="1" applyAlignment="1">
      <alignment horizontal="left" vertical="center"/>
    </xf>
    <xf numFmtId="0" fontId="50" fillId="0" borderId="102" xfId="4" applyBorder="1"/>
    <xf numFmtId="0" fontId="50" fillId="0" borderId="103" xfId="4" applyBorder="1"/>
    <xf numFmtId="0" fontId="58" fillId="0" borderId="54" xfId="4" applyFont="1" applyBorder="1" applyAlignment="1">
      <alignment horizontal="center" vertical="center"/>
    </xf>
    <xf numFmtId="0" fontId="55" fillId="0" borderId="22" xfId="4" applyFont="1" applyBorder="1" applyAlignment="1">
      <alignment vertical="center"/>
    </xf>
    <xf numFmtId="0" fontId="57" fillId="0" borderId="104" xfId="4" applyFont="1" applyBorder="1" applyAlignment="1">
      <alignment horizontal="center"/>
    </xf>
    <xf numFmtId="0" fontId="50" fillId="0" borderId="105" xfId="4" applyBorder="1"/>
    <xf numFmtId="0" fontId="58" fillId="0" borderId="28" xfId="4" applyFont="1" applyBorder="1" applyAlignment="1">
      <alignment horizontal="center" vertical="center"/>
    </xf>
    <xf numFmtId="0" fontId="58" fillId="0" borderId="17" xfId="4" applyFont="1" applyBorder="1" applyAlignment="1">
      <alignment horizontal="center" vertical="center"/>
    </xf>
    <xf numFmtId="0" fontId="58" fillId="0" borderId="106" xfId="4" applyFont="1" applyBorder="1" applyAlignment="1">
      <alignment horizontal="center" vertical="center"/>
    </xf>
    <xf numFmtId="0" fontId="59" fillId="0" borderId="107" xfId="4" applyFont="1" applyBorder="1" applyAlignment="1">
      <alignment horizontal="left" vertical="center"/>
    </xf>
    <xf numFmtId="1" fontId="55" fillId="0" borderId="15" xfId="4" applyNumberFormat="1" applyFont="1" applyBorder="1" applyAlignment="1">
      <alignment horizontal="center" vertical="center"/>
    </xf>
    <xf numFmtId="0" fontId="55" fillId="0" borderId="107" xfId="4" applyFont="1" applyBorder="1" applyAlignment="1">
      <alignment horizontal="left" vertical="center"/>
    </xf>
    <xf numFmtId="0" fontId="50" fillId="0" borderId="15" xfId="4" applyBorder="1" applyAlignment="1">
      <alignment horizontal="center"/>
    </xf>
    <xf numFmtId="1" fontId="57" fillId="0" borderId="104" xfId="4" applyNumberFormat="1" applyFont="1" applyBorder="1" applyAlignment="1">
      <alignment horizontal="center" vertical="center"/>
    </xf>
    <xf numFmtId="0" fontId="50" fillId="0" borderId="108" xfId="4" applyBorder="1"/>
    <xf numFmtId="0" fontId="50" fillId="0" borderId="109" xfId="4" applyBorder="1"/>
    <xf numFmtId="0" fontId="50" fillId="0" borderId="110" xfId="4" applyBorder="1"/>
    <xf numFmtId="0" fontId="50" fillId="0" borderId="111" xfId="4" applyBorder="1"/>
    <xf numFmtId="0" fontId="28" fillId="0" borderId="9" xfId="0" applyFont="1" applyBorder="1" applyAlignment="1" applyProtection="1">
      <alignment horizontal="centerContinuous" vertical="center"/>
      <protection hidden="1"/>
    </xf>
    <xf numFmtId="0" fontId="28" fillId="0" borderId="39" xfId="0" applyFont="1" applyBorder="1" applyAlignment="1" applyProtection="1">
      <alignment horizontal="centerContinuous" vertical="center"/>
      <protection hidden="1"/>
    </xf>
    <xf numFmtId="0" fontId="28" fillId="0" borderId="38" xfId="0" applyFont="1" applyBorder="1" applyAlignment="1" applyProtection="1">
      <alignment horizontal="centerContinuous" vertical="center"/>
      <protection hidden="1"/>
    </xf>
    <xf numFmtId="0" fontId="21" fillId="0" borderId="39" xfId="0" applyFont="1" applyBorder="1" applyAlignment="1" applyProtection="1">
      <alignment horizontal="centerContinuous" vertical="center"/>
      <protection hidden="1"/>
    </xf>
    <xf numFmtId="0" fontId="5" fillId="0" borderId="39" xfId="0" applyFont="1" applyBorder="1" applyAlignment="1" applyProtection="1">
      <alignment horizontal="centerContinuous" vertical="center"/>
      <protection hidden="1"/>
    </xf>
    <xf numFmtId="0" fontId="28" fillId="0" borderId="0" xfId="0" applyFont="1" applyAlignment="1" applyProtection="1">
      <alignment horizontal="centerContinuous" vertical="center"/>
      <protection hidden="1"/>
    </xf>
    <xf numFmtId="0" fontId="28" fillId="0" borderId="10" xfId="0" applyFont="1" applyBorder="1" applyAlignment="1" applyProtection="1">
      <alignment horizontal="centerContinuous" vertical="center"/>
      <protection hidden="1"/>
    </xf>
    <xf numFmtId="0" fontId="10" fillId="0" borderId="0" xfId="0" applyFont="1" applyAlignment="1">
      <alignment horizontal="right"/>
    </xf>
    <xf numFmtId="2" fontId="10" fillId="0" borderId="0" xfId="0" applyNumberFormat="1" applyFont="1" applyAlignment="1">
      <alignment horizontal="right"/>
    </xf>
    <xf numFmtId="2" fontId="9" fillId="0" borderId="46" xfId="0" applyNumberFormat="1" applyFont="1" applyBorder="1" applyAlignment="1" applyProtection="1">
      <alignment horizontal="center"/>
      <protection hidden="1"/>
    </xf>
    <xf numFmtId="2" fontId="9" fillId="0" borderId="11" xfId="0" applyNumberFormat="1" applyFont="1" applyBorder="1" applyAlignment="1" applyProtection="1">
      <alignment horizontal="center"/>
      <protection hidden="1"/>
    </xf>
    <xf numFmtId="2" fontId="9" fillId="0" borderId="19" xfId="0" applyNumberFormat="1" applyFont="1" applyBorder="1" applyAlignment="1" applyProtection="1">
      <alignment horizontal="center"/>
      <protection hidden="1"/>
    </xf>
    <xf numFmtId="2" fontId="9" fillId="0" borderId="5" xfId="0" applyNumberFormat="1" applyFont="1" applyBorder="1" applyAlignment="1" applyProtection="1">
      <alignment horizontal="center"/>
      <protection hidden="1"/>
    </xf>
    <xf numFmtId="2" fontId="9" fillId="0" borderId="19" xfId="0" applyNumberFormat="1" applyFont="1" applyBorder="1" applyAlignment="1">
      <alignment horizontal="center"/>
    </xf>
    <xf numFmtId="2" fontId="9" fillId="0" borderId="25" xfId="0" applyNumberFormat="1" applyFont="1" applyBorder="1" applyAlignment="1">
      <alignment horizontal="center"/>
    </xf>
    <xf numFmtId="2" fontId="9" fillId="0" borderId="11" xfId="0" applyNumberFormat="1" applyFont="1" applyBorder="1" applyAlignment="1">
      <alignment horizontal="center"/>
    </xf>
    <xf numFmtId="2" fontId="9" fillId="0" borderId="5" xfId="0" applyNumberFormat="1" applyFont="1" applyBorder="1" applyAlignment="1">
      <alignment horizontal="center"/>
    </xf>
    <xf numFmtId="2" fontId="9" fillId="0" borderId="58" xfId="0" applyNumberFormat="1" applyFont="1" applyBorder="1" applyAlignment="1">
      <alignment horizontal="center"/>
    </xf>
    <xf numFmtId="2" fontId="9" fillId="0" borderId="36" xfId="0" applyNumberFormat="1" applyFont="1" applyBorder="1" applyAlignment="1">
      <alignment horizontal="center"/>
    </xf>
    <xf numFmtId="1" fontId="9" fillId="0" borderId="43" xfId="0" applyNumberFormat="1" applyFont="1" applyBorder="1" applyAlignment="1" applyProtection="1">
      <alignment horizontal="center"/>
      <protection hidden="1"/>
    </xf>
    <xf numFmtId="1" fontId="9" fillId="0" borderId="16" xfId="0" applyNumberFormat="1" applyFont="1" applyBorder="1" applyAlignment="1" applyProtection="1">
      <alignment horizontal="center"/>
      <protection hidden="1"/>
    </xf>
    <xf numFmtId="1" fontId="9" fillId="0" borderId="30" xfId="0" applyNumberFormat="1" applyFont="1" applyBorder="1" applyAlignment="1" applyProtection="1">
      <alignment horizontal="center"/>
      <protection hidden="1"/>
    </xf>
    <xf numFmtId="0" fontId="10" fillId="0" borderId="112" xfId="0" applyFont="1" applyBorder="1" applyAlignment="1">
      <alignment horizontal="center" vertical="center"/>
    </xf>
    <xf numFmtId="0" fontId="10" fillId="0" borderId="112" xfId="0" applyFont="1" applyBorder="1" applyAlignment="1">
      <alignment horizontal="center"/>
    </xf>
    <xf numFmtId="0" fontId="10" fillId="0" borderId="112" xfId="0" applyFont="1" applyBorder="1" applyAlignment="1" applyProtection="1">
      <alignment horizontal="centerContinuous" vertical="center"/>
      <protection hidden="1"/>
    </xf>
    <xf numFmtId="0" fontId="0" fillId="0" borderId="112" xfId="0" applyBorder="1" applyAlignment="1">
      <alignment horizontal="centerContinuous"/>
    </xf>
    <xf numFmtId="0" fontId="10" fillId="0" borderId="113" xfId="0" applyFont="1" applyBorder="1" applyAlignment="1">
      <alignment horizontal="center"/>
    </xf>
    <xf numFmtId="0" fontId="10" fillId="0" borderId="114" xfId="0" applyFont="1" applyBorder="1" applyAlignment="1">
      <alignment horizontal="center"/>
    </xf>
    <xf numFmtId="2" fontId="10" fillId="0" borderId="114" xfId="0" applyNumberFormat="1" applyFont="1" applyBorder="1" applyAlignment="1" applyProtection="1">
      <alignment horizontal="right" vertical="center"/>
      <protection hidden="1"/>
    </xf>
    <xf numFmtId="0" fontId="10" fillId="0" borderId="114" xfId="0" applyFont="1" applyBorder="1"/>
    <xf numFmtId="169" fontId="10" fillId="0" borderId="114" xfId="0" applyNumberFormat="1" applyFont="1" applyBorder="1" applyAlignment="1">
      <alignment horizontal="center" vertical="center"/>
    </xf>
    <xf numFmtId="169" fontId="10" fillId="0" borderId="49" xfId="0" applyNumberFormat="1" applyFont="1" applyBorder="1" applyAlignment="1">
      <alignment horizontal="center" vertical="center"/>
    </xf>
    <xf numFmtId="0" fontId="10" fillId="0" borderId="35" xfId="0" applyFont="1" applyBorder="1" applyAlignment="1">
      <alignment horizontal="left" vertical="center"/>
    </xf>
    <xf numFmtId="2" fontId="10" fillId="0" borderId="50" xfId="0" applyNumberFormat="1" applyFont="1" applyBorder="1" applyAlignment="1">
      <alignment horizontal="center"/>
    </xf>
    <xf numFmtId="2" fontId="10" fillId="0" borderId="35" xfId="0" applyNumberFormat="1" applyFont="1" applyBorder="1" applyAlignment="1">
      <alignment horizontal="center"/>
    </xf>
    <xf numFmtId="0" fontId="10" fillId="0" borderId="50" xfId="0" applyFont="1" applyBorder="1" applyAlignment="1">
      <alignment horizontal="center"/>
    </xf>
    <xf numFmtId="0" fontId="10" fillId="0" borderId="35" xfId="0" applyFont="1" applyBorder="1" applyAlignment="1">
      <alignment horizontal="center" vertical="center"/>
    </xf>
    <xf numFmtId="0" fontId="10" fillId="0" borderId="50" xfId="0" applyFont="1" applyBorder="1" applyAlignment="1" applyProtection="1">
      <alignment horizontal="center" vertical="center"/>
      <protection hidden="1"/>
    </xf>
    <xf numFmtId="169" fontId="10" fillId="0" borderId="35" xfId="0" applyNumberFormat="1" applyFont="1" applyBorder="1" applyAlignment="1">
      <alignment horizontal="center" vertical="center"/>
    </xf>
    <xf numFmtId="1" fontId="10" fillId="0" borderId="115" xfId="0" applyNumberFormat="1" applyFont="1" applyBorder="1" applyAlignment="1">
      <alignment horizontal="center"/>
    </xf>
    <xf numFmtId="2" fontId="10" fillId="0" borderId="115" xfId="0" applyNumberFormat="1" applyFont="1" applyBorder="1" applyAlignment="1">
      <alignment horizontal="center"/>
    </xf>
    <xf numFmtId="2" fontId="10" fillId="0" borderId="116" xfId="0" applyNumberFormat="1" applyFont="1" applyBorder="1" applyAlignment="1">
      <alignment horizontal="center"/>
    </xf>
    <xf numFmtId="0" fontId="9" fillId="0" borderId="117" xfId="0" applyFont="1" applyBorder="1"/>
    <xf numFmtId="1" fontId="46" fillId="0" borderId="118" xfId="0" applyNumberFormat="1" applyFont="1" applyBorder="1" applyAlignment="1">
      <alignment horizontal="center"/>
    </xf>
    <xf numFmtId="0" fontId="44" fillId="6" borderId="119" xfId="0" applyFont="1" applyFill="1" applyBorder="1" applyAlignment="1">
      <alignment horizontal="center"/>
    </xf>
    <xf numFmtId="0" fontId="44" fillId="6" borderId="120" xfId="0" applyFont="1" applyFill="1" applyBorder="1" applyAlignment="1">
      <alignment horizontal="center"/>
    </xf>
    <xf numFmtId="0" fontId="46" fillId="0" borderId="5" xfId="0" applyFont="1" applyBorder="1" applyAlignment="1">
      <alignment horizontal="center"/>
    </xf>
    <xf numFmtId="0" fontId="46" fillId="0" borderId="78" xfId="0" applyFont="1" applyBorder="1"/>
    <xf numFmtId="1" fontId="46" fillId="0" borderId="78" xfId="0" applyNumberFormat="1" applyFont="1" applyBorder="1" applyAlignment="1">
      <alignment horizontal="center"/>
    </xf>
    <xf numFmtId="0" fontId="46" fillId="0" borderId="78" xfId="0" applyFont="1" applyBorder="1" applyAlignment="1">
      <alignment horizontal="center"/>
    </xf>
    <xf numFmtId="1" fontId="46" fillId="0" borderId="81" xfId="0" applyNumberFormat="1" applyFont="1" applyBorder="1" applyAlignment="1">
      <alignment horizontal="center"/>
    </xf>
    <xf numFmtId="0" fontId="46" fillId="0" borderId="121" xfId="0" applyFont="1" applyBorder="1"/>
    <xf numFmtId="0" fontId="46" fillId="0" borderId="122" xfId="0" applyFont="1" applyBorder="1"/>
    <xf numFmtId="0" fontId="46" fillId="0" borderId="118" xfId="0" applyFont="1" applyBorder="1"/>
    <xf numFmtId="2" fontId="46" fillId="0" borderId="118" xfId="0" applyNumberFormat="1" applyFont="1" applyBorder="1"/>
    <xf numFmtId="0" fontId="46" fillId="0" borderId="118" xfId="0" applyFont="1" applyBorder="1" applyAlignment="1">
      <alignment horizontal="center"/>
    </xf>
    <xf numFmtId="1" fontId="46" fillId="0" borderId="123" xfId="0" applyNumberFormat="1" applyFont="1" applyBorder="1" applyAlignment="1">
      <alignment horizontal="center"/>
    </xf>
    <xf numFmtId="2" fontId="3" fillId="0" borderId="124" xfId="0" applyNumberFormat="1" applyFont="1" applyBorder="1"/>
    <xf numFmtId="0" fontId="46" fillId="0" borderId="77" xfId="0" applyFont="1" applyBorder="1" applyAlignment="1">
      <alignment horizontal="center"/>
    </xf>
    <xf numFmtId="2" fontId="3" fillId="3" borderId="5" xfId="0" applyNumberFormat="1" applyFont="1" applyFill="1" applyBorder="1"/>
    <xf numFmtId="0" fontId="3" fillId="0" borderId="8" xfId="0" applyFont="1" applyBorder="1" applyAlignment="1" applyProtection="1">
      <alignment horizontal="center" vertical="center"/>
      <protection hidden="1"/>
    </xf>
    <xf numFmtId="0" fontId="3" fillId="0" borderId="9" xfId="0" applyFont="1" applyBorder="1" applyAlignment="1" applyProtection="1">
      <alignment horizontal="center" vertical="center"/>
      <protection hidden="1"/>
    </xf>
    <xf numFmtId="0" fontId="7" fillId="0" borderId="0" xfId="0" applyFont="1" applyAlignment="1" applyProtection="1">
      <alignment horizontal="centerContinuous" vertical="center"/>
      <protection hidden="1"/>
    </xf>
    <xf numFmtId="0" fontId="2" fillId="0" borderId="10" xfId="0" applyFont="1" applyBorder="1" applyAlignment="1">
      <alignment horizontal="centerContinuous" vertical="center"/>
    </xf>
    <xf numFmtId="0" fontId="6" fillId="0" borderId="6" xfId="0" applyFont="1" applyBorder="1" applyAlignment="1" applyProtection="1">
      <alignment horizontal="centerContinuous" vertical="center"/>
      <protection hidden="1"/>
    </xf>
    <xf numFmtId="0" fontId="6" fillId="0" borderId="4" xfId="0" applyFont="1" applyBorder="1" applyAlignment="1" applyProtection="1">
      <alignment horizontal="centerContinuous" vertical="center"/>
      <protection hidden="1"/>
    </xf>
    <xf numFmtId="0" fontId="3" fillId="0" borderId="43" xfId="0" applyFont="1" applyBorder="1" applyAlignment="1" applyProtection="1">
      <alignment horizontal="center" vertical="center"/>
      <protection hidden="1"/>
    </xf>
    <xf numFmtId="0" fontId="3" fillId="0" borderId="9" xfId="0" applyFont="1" applyBorder="1" applyAlignment="1" applyProtection="1">
      <alignment vertical="center"/>
      <protection hidden="1"/>
    </xf>
    <xf numFmtId="0" fontId="26" fillId="0" borderId="0" xfId="0" applyFont="1" applyAlignment="1" applyProtection="1">
      <alignment horizontal="right" vertical="center"/>
      <protection hidden="1"/>
    </xf>
    <xf numFmtId="0" fontId="31" fillId="0" borderId="0" xfId="0" applyFont="1" applyAlignment="1" applyProtection="1">
      <alignment horizontal="center" vertical="center"/>
      <protection hidden="1"/>
    </xf>
    <xf numFmtId="0" fontId="31" fillId="0" borderId="10" xfId="0" applyFont="1" applyBorder="1" applyAlignment="1" applyProtection="1">
      <alignment horizontal="center" vertical="center"/>
      <protection hidden="1"/>
    </xf>
    <xf numFmtId="0" fontId="19" fillId="0" borderId="9" xfId="0" applyFont="1" applyBorder="1" applyAlignment="1" applyProtection="1">
      <alignment vertical="center"/>
      <protection hidden="1"/>
    </xf>
    <xf numFmtId="0" fontId="19" fillId="0" borderId="0" xfId="0" applyFont="1" applyAlignment="1" applyProtection="1">
      <alignment horizontal="right" vertical="center"/>
      <protection hidden="1"/>
    </xf>
    <xf numFmtId="0" fontId="3" fillId="0" borderId="0" xfId="0" applyFont="1" applyAlignment="1" applyProtection="1">
      <alignment horizontal="center" vertical="center"/>
      <protection hidden="1"/>
    </xf>
    <xf numFmtId="0" fontId="3" fillId="0" borderId="10" xfId="0" applyFont="1" applyBorder="1" applyAlignment="1" applyProtection="1">
      <alignment horizontal="center" vertical="center"/>
      <protection hidden="1"/>
    </xf>
    <xf numFmtId="0" fontId="0" fillId="0" borderId="9" xfId="0" applyBorder="1" applyAlignment="1">
      <alignment vertical="center"/>
    </xf>
    <xf numFmtId="0" fontId="19" fillId="0" borderId="0" xfId="0" applyFont="1" applyAlignment="1">
      <alignment horizontal="right" vertical="center"/>
    </xf>
    <xf numFmtId="0" fontId="3" fillId="0" borderId="10" xfId="0" applyFont="1" applyBorder="1" applyAlignment="1">
      <alignment horizontal="center" vertical="center"/>
    </xf>
    <xf numFmtId="1" fontId="3" fillId="0" borderId="0" xfId="0" applyNumberFormat="1" applyFont="1" applyAlignment="1" applyProtection="1">
      <alignment horizontal="right" vertical="center"/>
      <protection hidden="1"/>
    </xf>
    <xf numFmtId="0" fontId="3" fillId="0" borderId="10" xfId="0" applyFont="1" applyBorder="1" applyAlignment="1" applyProtection="1">
      <alignment horizontal="left" vertical="center"/>
      <protection hidden="1"/>
    </xf>
    <xf numFmtId="0" fontId="19" fillId="0" borderId="9" xfId="0" applyFont="1" applyBorder="1" applyAlignment="1" applyProtection="1">
      <alignment horizontal="left" vertical="center"/>
      <protection hidden="1"/>
    </xf>
    <xf numFmtId="0" fontId="3" fillId="0" borderId="0" xfId="0" applyFont="1" applyAlignment="1" applyProtection="1">
      <alignment horizontal="centerContinuous" vertical="center"/>
      <protection hidden="1"/>
    </xf>
    <xf numFmtId="0" fontId="6" fillId="0" borderId="9" xfId="0" applyFont="1" applyBorder="1" applyAlignment="1" applyProtection="1">
      <alignment horizontal="centerContinuous" vertical="center"/>
      <protection hidden="1"/>
    </xf>
    <xf numFmtId="0" fontId="6" fillId="0" borderId="0" xfId="0" applyFont="1" applyAlignment="1" applyProtection="1">
      <alignment horizontal="centerContinuous" vertical="center"/>
      <protection hidden="1"/>
    </xf>
    <xf numFmtId="0" fontId="6" fillId="0" borderId="10" xfId="0" applyFont="1" applyBorder="1" applyAlignment="1" applyProtection="1">
      <alignment horizontal="centerContinuous" vertical="center"/>
      <protection hidden="1"/>
    </xf>
    <xf numFmtId="0" fontId="27" fillId="0" borderId="9" xfId="0" applyFont="1" applyBorder="1" applyAlignment="1" applyProtection="1">
      <alignment vertical="center"/>
      <protection hidden="1"/>
    </xf>
    <xf numFmtId="0" fontId="27" fillId="0" borderId="0" xfId="0" applyFont="1" applyAlignment="1" applyProtection="1">
      <alignment vertical="center"/>
      <protection hidden="1"/>
    </xf>
    <xf numFmtId="0" fontId="27" fillId="0" borderId="0" xfId="0" applyFont="1" applyAlignment="1" applyProtection="1">
      <alignment horizontal="center" vertical="center"/>
      <protection hidden="1"/>
    </xf>
    <xf numFmtId="0" fontId="27" fillId="0" borderId="10" xfId="0" applyFont="1" applyBorder="1" applyAlignment="1" applyProtection="1">
      <alignment horizontal="center" vertical="center"/>
      <protection hidden="1"/>
    </xf>
    <xf numFmtId="0" fontId="49" fillId="0" borderId="9" xfId="0" applyFont="1" applyBorder="1" applyAlignment="1" applyProtection="1">
      <alignment vertical="center"/>
      <protection hidden="1"/>
    </xf>
    <xf numFmtId="0" fontId="49" fillId="0" borderId="0" xfId="0" applyFont="1" applyAlignment="1" applyProtection="1">
      <alignment vertical="center"/>
      <protection hidden="1"/>
    </xf>
    <xf numFmtId="0" fontId="3" fillId="0" borderId="10" xfId="0" applyFont="1" applyBorder="1" applyAlignment="1" applyProtection="1">
      <alignment vertical="center"/>
      <protection hidden="1"/>
    </xf>
    <xf numFmtId="0" fontId="17" fillId="0" borderId="9" xfId="0" applyFont="1" applyBorder="1" applyAlignment="1" applyProtection="1">
      <alignment horizontal="centerContinuous" vertical="center"/>
      <protection hidden="1"/>
    </xf>
    <xf numFmtId="0" fontId="17" fillId="0" borderId="0" xfId="0" applyFont="1" applyAlignment="1" applyProtection="1">
      <alignment vertical="center"/>
      <protection hidden="1"/>
    </xf>
    <xf numFmtId="0" fontId="16" fillId="0" borderId="0" xfId="0" applyFont="1" applyAlignment="1" applyProtection="1">
      <alignment horizontal="center" vertical="center"/>
      <protection hidden="1"/>
    </xf>
    <xf numFmtId="0" fontId="16" fillId="0" borderId="10" xfId="0" applyFont="1" applyBorder="1" applyAlignment="1" applyProtection="1">
      <alignment horizontal="center" vertical="center"/>
      <protection hidden="1"/>
    </xf>
    <xf numFmtId="0" fontId="3" fillId="0" borderId="9" xfId="0" applyFont="1" applyBorder="1" applyAlignment="1" applyProtection="1">
      <alignment horizontal="left" vertical="center"/>
      <protection hidden="1"/>
    </xf>
    <xf numFmtId="49" fontId="3" fillId="0" borderId="0" xfId="0" applyNumberFormat="1" applyFont="1" applyAlignment="1" applyProtection="1">
      <alignment vertical="center"/>
      <protection hidden="1"/>
    </xf>
    <xf numFmtId="169" fontId="3" fillId="0" borderId="10" xfId="0" applyNumberFormat="1" applyFont="1" applyBorder="1" applyAlignment="1" applyProtection="1">
      <alignment horizontal="center" vertical="center"/>
      <protection hidden="1"/>
    </xf>
    <xf numFmtId="0" fontId="3" fillId="0" borderId="0" xfId="0" applyFont="1" applyAlignment="1" applyProtection="1">
      <alignment vertical="center"/>
      <protection hidden="1"/>
    </xf>
    <xf numFmtId="0" fontId="17" fillId="0" borderId="0" xfId="0" applyFont="1" applyAlignment="1" applyProtection="1">
      <alignment horizontal="centerContinuous" vertical="center"/>
      <protection hidden="1"/>
    </xf>
    <xf numFmtId="0" fontId="17" fillId="2" borderId="10" xfId="0" applyFont="1" applyFill="1" applyBorder="1" applyAlignment="1" applyProtection="1">
      <alignment horizontal="center" vertical="center"/>
      <protection hidden="1"/>
    </xf>
    <xf numFmtId="169" fontId="3" fillId="2" borderId="10" xfId="0" applyNumberFormat="1" applyFont="1" applyFill="1" applyBorder="1" applyAlignment="1" applyProtection="1">
      <alignment horizontal="center" vertical="center"/>
      <protection hidden="1"/>
    </xf>
    <xf numFmtId="0" fontId="3" fillId="2" borderId="10" xfId="0" applyFont="1" applyFill="1" applyBorder="1" applyAlignment="1" applyProtection="1">
      <alignment horizontal="center" vertical="center"/>
      <protection hidden="1"/>
    </xf>
    <xf numFmtId="0" fontId="3" fillId="0" borderId="9" xfId="0" applyFont="1" applyBorder="1" applyAlignment="1" applyProtection="1">
      <alignment horizontal="left" vertical="top"/>
      <protection hidden="1"/>
    </xf>
    <xf numFmtId="0" fontId="3" fillId="0" borderId="0" xfId="0" applyFont="1" applyAlignment="1" applyProtection="1">
      <alignment horizontal="left" vertical="top"/>
      <protection hidden="1"/>
    </xf>
    <xf numFmtId="0" fontId="3" fillId="0" borderId="10" xfId="0" applyFont="1" applyBorder="1" applyAlignment="1" applyProtection="1">
      <alignment horizontal="left" vertical="top"/>
      <protection hidden="1"/>
    </xf>
    <xf numFmtId="0" fontId="4" fillId="0" borderId="9" xfId="0" applyFont="1" applyBorder="1" applyAlignment="1" applyProtection="1">
      <alignment horizontal="centerContinuous" vertical="center"/>
      <protection hidden="1"/>
    </xf>
    <xf numFmtId="0" fontId="19" fillId="0" borderId="0" xfId="0" applyFont="1" applyAlignment="1" applyProtection="1">
      <alignment horizontal="left" vertical="center"/>
      <protection hidden="1"/>
    </xf>
    <xf numFmtId="0" fontId="19" fillId="0" borderId="0" xfId="0" applyFont="1" applyAlignment="1" applyProtection="1">
      <alignment horizontal="centerContinuous" vertical="center"/>
      <protection hidden="1"/>
    </xf>
    <xf numFmtId="0" fontId="19" fillId="0" borderId="0" xfId="0" applyFont="1" applyAlignment="1" applyProtection="1">
      <alignment vertical="center"/>
      <protection hidden="1"/>
    </xf>
    <xf numFmtId="0" fontId="19" fillId="0" borderId="3" xfId="0" applyFont="1" applyBorder="1" applyAlignment="1" applyProtection="1">
      <alignment horizontal="left" vertical="center"/>
      <protection hidden="1"/>
    </xf>
    <xf numFmtId="0" fontId="19" fillId="0" borderId="3" xfId="0" applyFont="1" applyBorder="1" applyAlignment="1" applyProtection="1">
      <alignment vertical="center"/>
      <protection hidden="1"/>
    </xf>
    <xf numFmtId="0" fontId="3" fillId="0" borderId="23" xfId="0" applyFont="1" applyBorder="1" applyAlignment="1" applyProtection="1">
      <alignment horizontal="center" vertical="center"/>
      <protection hidden="1"/>
    </xf>
    <xf numFmtId="0" fontId="60" fillId="0" borderId="27" xfId="0" applyFont="1" applyBorder="1" applyAlignment="1" applyProtection="1">
      <alignment vertical="center"/>
      <protection hidden="1"/>
    </xf>
    <xf numFmtId="0" fontId="60" fillId="0" borderId="28" xfId="0" applyFont="1" applyBorder="1" applyAlignment="1" applyProtection="1">
      <alignment horizontal="right" vertical="center"/>
      <protection hidden="1"/>
    </xf>
    <xf numFmtId="0" fontId="60" fillId="0" borderId="14" xfId="0" applyFont="1" applyBorder="1" applyAlignment="1" applyProtection="1">
      <alignment horizontal="left" vertical="center"/>
      <protection hidden="1"/>
    </xf>
    <xf numFmtId="0" fontId="61" fillId="0" borderId="15" xfId="0" applyFont="1" applyBorder="1" applyAlignment="1" applyProtection="1">
      <alignment horizontal="right"/>
      <protection hidden="1"/>
    </xf>
    <xf numFmtId="0" fontId="60" fillId="0" borderId="24" xfId="0" applyFont="1" applyBorder="1" applyAlignment="1" applyProtection="1">
      <alignment horizontal="left" vertical="center"/>
      <protection hidden="1"/>
    </xf>
    <xf numFmtId="0" fontId="61" fillId="0" borderId="29" xfId="0" applyFont="1" applyBorder="1" applyAlignment="1" applyProtection="1">
      <alignment horizontal="right"/>
      <protection hidden="1"/>
    </xf>
    <xf numFmtId="2" fontId="3" fillId="0" borderId="17" xfId="0" applyNumberFormat="1" applyFont="1" applyBorder="1"/>
    <xf numFmtId="2" fontId="3" fillId="0" borderId="77" xfId="0" applyNumberFormat="1" applyFont="1" applyBorder="1"/>
    <xf numFmtId="0" fontId="3" fillId="0" borderId="82" xfId="0" applyFont="1" applyBorder="1"/>
    <xf numFmtId="0" fontId="3" fillId="0" borderId="28" xfId="0" applyFont="1" applyBorder="1"/>
    <xf numFmtId="0" fontId="3" fillId="0" borderId="17" xfId="0" applyFont="1" applyBorder="1"/>
    <xf numFmtId="1" fontId="3" fillId="0" borderId="17" xfId="0" applyNumberFormat="1" applyFont="1" applyBorder="1" applyAlignment="1">
      <alignment horizontal="center"/>
    </xf>
    <xf numFmtId="1" fontId="3" fillId="0" borderId="118" xfId="0" applyNumberFormat="1" applyFont="1" applyBorder="1" applyAlignment="1">
      <alignment horizontal="center"/>
    </xf>
    <xf numFmtId="1" fontId="3" fillId="0" borderId="32" xfId="0" applyNumberFormat="1" applyFont="1" applyBorder="1" applyAlignment="1">
      <alignment horizontal="center"/>
    </xf>
    <xf numFmtId="0" fontId="3" fillId="0" borderId="73" xfId="0" applyFont="1" applyBorder="1"/>
    <xf numFmtId="0" fontId="3" fillId="0" borderId="15" xfId="0" applyFont="1" applyBorder="1"/>
    <xf numFmtId="0" fontId="3" fillId="0" borderId="5" xfId="0" applyFont="1" applyBorder="1"/>
    <xf numFmtId="1" fontId="3" fillId="0" borderId="5" xfId="0" applyNumberFormat="1" applyFont="1" applyBorder="1" applyAlignment="1">
      <alignment horizontal="center"/>
    </xf>
    <xf numFmtId="0" fontId="3" fillId="0" borderId="125" xfId="0" applyFont="1" applyBorder="1"/>
    <xf numFmtId="0" fontId="3" fillId="0" borderId="55" xfId="0" applyFont="1" applyBorder="1"/>
    <xf numFmtId="1" fontId="3" fillId="0" borderId="58" xfId="0" applyNumberFormat="1" applyFont="1" applyBorder="1" applyAlignment="1">
      <alignment horizontal="center"/>
    </xf>
    <xf numFmtId="2" fontId="3" fillId="0" borderId="126" xfId="0" applyNumberFormat="1" applyFont="1" applyBorder="1"/>
    <xf numFmtId="1" fontId="3" fillId="0" borderId="19" xfId="0" applyNumberFormat="1" applyFont="1" applyBorder="1" applyAlignment="1">
      <alignment horizontal="center"/>
    </xf>
    <xf numFmtId="0" fontId="3" fillId="0" borderId="75" xfId="0" applyFont="1" applyBorder="1"/>
    <xf numFmtId="0" fontId="3" fillId="0" borderId="76" xfId="0" applyFont="1" applyBorder="1"/>
    <xf numFmtId="0" fontId="3" fillId="0" borderId="77" xfId="0" applyFont="1" applyBorder="1"/>
    <xf numFmtId="1" fontId="3" fillId="0" borderId="77" xfId="0" applyNumberFormat="1" applyFont="1" applyBorder="1" applyAlignment="1">
      <alignment horizontal="center"/>
    </xf>
    <xf numFmtId="1" fontId="3" fillId="0" borderId="79" xfId="0" applyNumberFormat="1" applyFont="1" applyBorder="1" applyAlignment="1">
      <alignment horizontal="center"/>
    </xf>
    <xf numFmtId="0" fontId="45" fillId="6" borderId="66" xfId="0" applyFont="1" applyFill="1" applyBorder="1"/>
    <xf numFmtId="0" fontId="45" fillId="6" borderId="67" xfId="0" applyFont="1" applyFill="1" applyBorder="1"/>
    <xf numFmtId="1" fontId="3" fillId="0" borderId="0" xfId="3" applyFont="1" applyAlignment="1" applyProtection="1">
      <alignment horizontal="left"/>
      <protection hidden="1"/>
    </xf>
    <xf numFmtId="1" fontId="16" fillId="0" borderId="0" xfId="3" applyFont="1" applyAlignment="1" applyProtection="1">
      <alignment horizontal="right"/>
      <protection hidden="1"/>
    </xf>
    <xf numFmtId="1" fontId="16" fillId="0" borderId="0" xfId="3" applyFont="1" applyAlignment="1" applyProtection="1">
      <alignment horizontal="left"/>
      <protection hidden="1"/>
    </xf>
    <xf numFmtId="49" fontId="3" fillId="0" borderId="32" xfId="0" applyNumberFormat="1" applyFont="1" applyBorder="1" applyAlignment="1" applyProtection="1">
      <alignment horizontal="center" vertical="center"/>
      <protection hidden="1"/>
    </xf>
    <xf numFmtId="49" fontId="3" fillId="0" borderId="19" xfId="0" applyNumberFormat="1" applyFont="1" applyBorder="1" applyAlignment="1" applyProtection="1">
      <alignment horizontal="center" vertical="center"/>
      <protection hidden="1"/>
    </xf>
    <xf numFmtId="49" fontId="3" fillId="0" borderId="36" xfId="0" applyNumberFormat="1" applyFont="1" applyBorder="1" applyAlignment="1" applyProtection="1">
      <alignment vertical="center"/>
      <protection hidden="1"/>
    </xf>
    <xf numFmtId="1" fontId="10" fillId="0" borderId="0" xfId="0" applyNumberFormat="1" applyFont="1" applyAlignment="1">
      <alignment horizontal="center" vertical="center"/>
    </xf>
    <xf numFmtId="0" fontId="39" fillId="0" borderId="0" xfId="0" applyFont="1" applyAlignment="1">
      <alignment horizontal="center"/>
    </xf>
    <xf numFmtId="0" fontId="10" fillId="0" borderId="0" xfId="0" applyFont="1" applyAlignment="1">
      <alignment horizontal="center" vertical="center"/>
    </xf>
    <xf numFmtId="1" fontId="39" fillId="0" borderId="0" xfId="0" applyNumberFormat="1" applyFont="1" applyAlignment="1">
      <alignment horizontal="center"/>
    </xf>
    <xf numFmtId="0" fontId="46" fillId="0" borderId="66" xfId="0" applyFont="1" applyBorder="1"/>
    <xf numFmtId="0" fontId="46" fillId="0" borderId="127" xfId="0" applyFont="1" applyBorder="1"/>
    <xf numFmtId="0" fontId="64" fillId="0" borderId="5" xfId="4" applyFont="1" applyBorder="1" applyAlignment="1">
      <alignment horizontal="center" vertical="center"/>
    </xf>
    <xf numFmtId="0" fontId="64" fillId="0" borderId="16" xfId="4" applyFont="1" applyBorder="1" applyAlignment="1">
      <alignment horizontal="center" vertical="center"/>
    </xf>
    <xf numFmtId="1" fontId="64" fillId="0" borderId="16" xfId="4" applyNumberFormat="1" applyFont="1" applyBorder="1" applyAlignment="1">
      <alignment horizontal="center"/>
    </xf>
    <xf numFmtId="0" fontId="64" fillId="7" borderId="5" xfId="4" applyFont="1" applyFill="1" applyBorder="1" applyAlignment="1">
      <alignment horizontal="center" vertical="center"/>
    </xf>
    <xf numFmtId="0" fontId="64" fillId="7" borderId="16" xfId="4" applyFont="1" applyFill="1" applyBorder="1" applyAlignment="1">
      <alignment horizontal="center" vertical="center"/>
    </xf>
    <xf numFmtId="0" fontId="64" fillId="8" borderId="5" xfId="4" applyFont="1" applyFill="1" applyBorder="1" applyAlignment="1">
      <alignment horizontal="center"/>
    </xf>
    <xf numFmtId="0" fontId="64" fillId="0" borderId="5" xfId="4" applyFont="1" applyBorder="1" applyAlignment="1">
      <alignment horizontal="center"/>
    </xf>
    <xf numFmtId="0" fontId="64" fillId="0" borderId="16" xfId="4" applyFont="1" applyBorder="1" applyAlignment="1">
      <alignment horizontal="center"/>
    </xf>
    <xf numFmtId="1" fontId="64" fillId="0" borderId="5" xfId="4" applyNumberFormat="1" applyFont="1" applyBorder="1" applyAlignment="1">
      <alignment horizontal="center" vertical="center"/>
    </xf>
    <xf numFmtId="1" fontId="64" fillId="0" borderId="5" xfId="4" applyNumberFormat="1" applyFont="1" applyBorder="1" applyAlignment="1">
      <alignment horizontal="center"/>
    </xf>
    <xf numFmtId="0" fontId="64" fillId="0" borderId="128" xfId="4" applyFont="1" applyBorder="1"/>
    <xf numFmtId="0" fontId="64" fillId="0" borderId="129" xfId="4" applyFont="1" applyBorder="1"/>
    <xf numFmtId="0" fontId="57" fillId="0" borderId="53" xfId="4" applyFont="1" applyBorder="1" applyAlignment="1">
      <alignment horizontal="left"/>
    </xf>
    <xf numFmtId="0" fontId="55" fillId="0" borderId="130" xfId="4" applyFont="1" applyBorder="1" applyAlignment="1">
      <alignment horizontal="center" vertical="center"/>
    </xf>
    <xf numFmtId="0" fontId="55" fillId="0" borderId="104" xfId="4" applyFont="1" applyBorder="1" applyAlignment="1">
      <alignment horizontal="left" vertical="center"/>
    </xf>
    <xf numFmtId="0" fontId="50" fillId="0" borderId="85" xfId="4" applyBorder="1" applyAlignment="1">
      <alignment horizontal="left"/>
    </xf>
    <xf numFmtId="0" fontId="55" fillId="0" borderId="131" xfId="4" applyFont="1" applyBorder="1" applyAlignment="1">
      <alignment horizontal="center" vertical="center"/>
    </xf>
    <xf numFmtId="0" fontId="55" fillId="0" borderId="58" xfId="4" applyFont="1" applyBorder="1" applyAlignment="1">
      <alignment horizontal="center" vertical="center"/>
    </xf>
    <xf numFmtId="0" fontId="57" fillId="0" borderId="58" xfId="4" applyFont="1" applyBorder="1" applyAlignment="1">
      <alignment horizontal="center"/>
    </xf>
    <xf numFmtId="0" fontId="50" fillId="0" borderId="132" xfId="4" applyBorder="1" applyAlignment="1">
      <alignment horizontal="left"/>
    </xf>
    <xf numFmtId="0" fontId="50" fillId="0" borderId="104" xfId="4" applyBorder="1" applyAlignment="1">
      <alignment horizontal="left"/>
    </xf>
    <xf numFmtId="0" fontId="55" fillId="0" borderId="133" xfId="4" applyFont="1" applyBorder="1" applyAlignment="1">
      <alignment horizontal="left" vertical="center"/>
    </xf>
    <xf numFmtId="0" fontId="55" fillId="0" borderId="128" xfId="4" applyFont="1" applyBorder="1" applyAlignment="1">
      <alignment horizontal="center" vertical="center"/>
    </xf>
    <xf numFmtId="0" fontId="57" fillId="0" borderId="128" xfId="4" applyFont="1" applyBorder="1" applyAlignment="1">
      <alignment horizontal="center"/>
    </xf>
    <xf numFmtId="0" fontId="57" fillId="0" borderId="128" xfId="4" applyFont="1" applyBorder="1"/>
    <xf numFmtId="0" fontId="50" fillId="0" borderId="111" xfId="4" applyBorder="1" applyAlignment="1">
      <alignment horizontal="left"/>
    </xf>
    <xf numFmtId="0" fontId="50" fillId="0" borderId="134" xfId="4" applyBorder="1"/>
    <xf numFmtId="0" fontId="50" fillId="0" borderId="135" xfId="4" applyBorder="1"/>
    <xf numFmtId="0" fontId="51" fillId="0" borderId="31" xfId="4" applyFont="1" applyBorder="1" applyAlignment="1">
      <alignment horizontal="center" vertical="center"/>
    </xf>
    <xf numFmtId="0" fontId="51" fillId="0" borderId="0" xfId="4" applyFont="1" applyAlignment="1">
      <alignment horizontal="center" vertical="center"/>
    </xf>
    <xf numFmtId="0" fontId="0" fillId="0" borderId="87" xfId="0" applyBorder="1" applyAlignment="1">
      <alignment vertical="center" wrapText="1"/>
    </xf>
    <xf numFmtId="0" fontId="4" fillId="0" borderId="87" xfId="0" quotePrefix="1" applyFont="1" applyBorder="1" applyAlignment="1">
      <alignment vertical="center" wrapText="1"/>
    </xf>
    <xf numFmtId="0" fontId="0" fillId="0" borderId="86" xfId="0" applyBorder="1" applyAlignment="1">
      <alignment vertical="center" wrapText="1"/>
    </xf>
    <xf numFmtId="0" fontId="0" fillId="0" borderId="134" xfId="0" applyBorder="1" applyAlignment="1">
      <alignment vertical="center" wrapText="1"/>
    </xf>
    <xf numFmtId="0" fontId="0" fillId="0" borderId="136" xfId="0" applyBorder="1" applyAlignment="1">
      <alignment vertical="center" wrapText="1"/>
    </xf>
    <xf numFmtId="0" fontId="0" fillId="0" borderId="135" xfId="0" applyBorder="1" applyAlignment="1">
      <alignment vertical="center" wrapText="1"/>
    </xf>
    <xf numFmtId="0" fontId="28" fillId="0" borderId="4" xfId="0" applyFont="1" applyBorder="1" applyAlignment="1" applyProtection="1">
      <alignment horizontal="center" vertical="center"/>
      <protection hidden="1"/>
    </xf>
    <xf numFmtId="0" fontId="5" fillId="0" borderId="42" xfId="0" applyFont="1" applyBorder="1" applyAlignment="1" applyProtection="1">
      <alignment horizontal="centerContinuous" vertical="center"/>
      <protection hidden="1"/>
    </xf>
    <xf numFmtId="0" fontId="28" fillId="0" borderId="11" xfId="0" applyFont="1" applyBorder="1" applyAlignment="1" applyProtection="1">
      <alignment horizontal="centerContinuous" vertical="center"/>
      <protection hidden="1"/>
    </xf>
    <xf numFmtId="0" fontId="5" fillId="0" borderId="11" xfId="0" applyFont="1" applyBorder="1" applyAlignment="1" applyProtection="1">
      <alignment horizontal="centerContinuous" vertical="center"/>
      <protection hidden="1"/>
    </xf>
    <xf numFmtId="0" fontId="28" fillId="0" borderId="43" xfId="0" applyFont="1" applyBorder="1" applyAlignment="1" applyProtection="1">
      <alignment horizontal="centerContinuous" vertical="center"/>
      <protection hidden="1"/>
    </xf>
    <xf numFmtId="0" fontId="28" fillId="0" borderId="22" xfId="0" applyFont="1" applyBorder="1" applyAlignment="1" applyProtection="1">
      <alignment horizontal="right" vertical="center"/>
      <protection hidden="1"/>
    </xf>
    <xf numFmtId="0" fontId="5" fillId="0" borderId="37" xfId="0" applyFont="1" applyBorder="1" applyAlignment="1" applyProtection="1">
      <alignment horizontal="right" vertical="center"/>
      <protection hidden="1"/>
    </xf>
    <xf numFmtId="0" fontId="6" fillId="0" borderId="46" xfId="0" applyFont="1" applyBorder="1" applyAlignment="1" applyProtection="1">
      <alignment horizontal="center" vertical="center"/>
      <protection hidden="1"/>
    </xf>
    <xf numFmtId="0" fontId="6" fillId="0" borderId="47" xfId="0" applyFont="1" applyBorder="1" applyAlignment="1" applyProtection="1">
      <alignment horizontal="center" vertical="center"/>
      <protection hidden="1"/>
    </xf>
    <xf numFmtId="0" fontId="6" fillId="0" borderId="45" xfId="0" applyFont="1" applyBorder="1" applyAlignment="1" applyProtection="1">
      <alignment horizontal="center" vertical="center"/>
      <protection hidden="1"/>
    </xf>
    <xf numFmtId="0" fontId="6" fillId="0" borderId="44" xfId="0" applyFont="1" applyBorder="1" applyAlignment="1" applyProtection="1">
      <alignment horizontal="center" vertical="center"/>
      <protection hidden="1"/>
    </xf>
    <xf numFmtId="0" fontId="6" fillId="0" borderId="48" xfId="0" applyFont="1" applyBorder="1" applyAlignment="1" applyProtection="1">
      <alignment horizontal="center" vertical="center"/>
      <protection hidden="1"/>
    </xf>
    <xf numFmtId="0" fontId="28" fillId="0" borderId="6" xfId="0" applyFont="1" applyBorder="1" applyAlignment="1" applyProtection="1">
      <alignment horizontal="center" vertical="center"/>
      <protection hidden="1"/>
    </xf>
    <xf numFmtId="0" fontId="0" fillId="0" borderId="7" xfId="0" applyBorder="1" applyAlignment="1">
      <alignment horizontal="center" vertical="center"/>
    </xf>
    <xf numFmtId="0" fontId="28" fillId="0" borderId="144" xfId="0" applyFont="1" applyBorder="1" applyAlignment="1" applyProtection="1">
      <alignment horizontal="center" vertical="center"/>
      <protection hidden="1"/>
    </xf>
    <xf numFmtId="0" fontId="28" fillId="0" borderId="4" xfId="0" applyFont="1" applyBorder="1" applyAlignment="1" applyProtection="1">
      <alignment horizontal="center" vertical="center"/>
      <protection hidden="1"/>
    </xf>
    <xf numFmtId="170" fontId="3" fillId="0" borderId="5" xfId="0" applyNumberFormat="1" applyFont="1" applyBorder="1" applyAlignment="1" applyProtection="1">
      <alignment horizontal="right" vertical="center"/>
      <protection hidden="1"/>
    </xf>
    <xf numFmtId="170" fontId="3" fillId="0" borderId="16" xfId="0" applyNumberFormat="1" applyFont="1" applyBorder="1" applyAlignment="1" applyProtection="1">
      <alignment horizontal="right" vertical="center"/>
      <protection hidden="1"/>
    </xf>
    <xf numFmtId="0" fontId="3" fillId="0" borderId="24" xfId="0" applyFont="1" applyBorder="1" applyAlignment="1" applyProtection="1">
      <alignment horizontal="left" vertical="top" wrapText="1"/>
      <protection hidden="1"/>
    </xf>
    <xf numFmtId="0" fontId="3" fillId="0" borderId="33" xfId="0" applyFont="1" applyBorder="1" applyAlignment="1" applyProtection="1">
      <alignment horizontal="left" vertical="top" wrapText="1"/>
      <protection hidden="1"/>
    </xf>
    <xf numFmtId="0" fontId="3" fillId="0" borderId="26" xfId="0" applyFont="1" applyBorder="1" applyAlignment="1" applyProtection="1">
      <alignment horizontal="left" vertical="top" wrapText="1"/>
      <protection hidden="1"/>
    </xf>
    <xf numFmtId="170" fontId="4" fillId="0" borderId="25" xfId="0" applyNumberFormat="1" applyFont="1" applyBorder="1" applyAlignment="1">
      <alignment horizontal="right" vertical="center"/>
    </xf>
    <xf numFmtId="0" fontId="4" fillId="0" borderId="26" xfId="0" applyFont="1" applyBorder="1" applyAlignment="1">
      <alignment horizontal="right" vertical="center"/>
    </xf>
    <xf numFmtId="0" fontId="30" fillId="0" borderId="9" xfId="0" applyFont="1" applyBorder="1" applyAlignment="1" applyProtection="1">
      <alignment horizontal="center" vertical="center"/>
      <protection hidden="1"/>
    </xf>
    <xf numFmtId="0" fontId="30" fillId="0" borderId="10" xfId="0" applyFont="1" applyBorder="1" applyAlignment="1" applyProtection="1">
      <alignment horizontal="center" vertical="center"/>
      <protection hidden="1"/>
    </xf>
    <xf numFmtId="0" fontId="65" fillId="0" borderId="8" xfId="0" applyFont="1" applyBorder="1" applyAlignment="1">
      <alignment horizontal="center" vertical="center"/>
    </xf>
    <xf numFmtId="0" fontId="65" fillId="0" borderId="23" xfId="0" applyFont="1" applyBorder="1" applyAlignment="1">
      <alignment horizontal="center" vertical="center"/>
    </xf>
    <xf numFmtId="0" fontId="3" fillId="0" borderId="38" xfId="0" applyFont="1" applyBorder="1" applyAlignment="1" applyProtection="1">
      <alignment horizontal="center" vertical="center"/>
      <protection hidden="1"/>
    </xf>
    <xf numFmtId="0" fontId="3" fillId="0" borderId="10" xfId="0" applyFont="1" applyBorder="1" applyAlignment="1" applyProtection="1">
      <alignment horizontal="center" vertical="center"/>
      <protection hidden="1"/>
    </xf>
    <xf numFmtId="0" fontId="3" fillId="0" borderId="50" xfId="0" applyFont="1" applyBorder="1" applyAlignment="1" applyProtection="1">
      <alignment horizontal="center" vertical="center"/>
      <protection hidden="1"/>
    </xf>
    <xf numFmtId="0" fontId="3" fillId="0" borderId="23" xfId="0" applyFont="1" applyBorder="1" applyAlignment="1" applyProtection="1">
      <alignment horizontal="center" vertical="center"/>
      <protection hidden="1"/>
    </xf>
    <xf numFmtId="0" fontId="30" fillId="0" borderId="143" xfId="0" applyFont="1" applyBorder="1" applyAlignment="1" applyProtection="1">
      <alignment horizontal="center" vertical="center"/>
      <protection hidden="1"/>
    </xf>
    <xf numFmtId="0" fontId="30" fillId="0" borderId="102" xfId="0" applyFont="1" applyBorder="1" applyAlignment="1" applyProtection="1">
      <alignment horizontal="center" vertical="center"/>
      <protection hidden="1"/>
    </xf>
    <xf numFmtId="0" fontId="4" fillId="0" borderId="29" xfId="0" applyFont="1" applyBorder="1" applyAlignment="1">
      <alignment horizontal="right" vertical="center"/>
    </xf>
    <xf numFmtId="0" fontId="4" fillId="0" borderId="137" xfId="0" applyFont="1" applyBorder="1" applyAlignment="1">
      <alignment horizontal="left" vertical="center" wrapText="1"/>
    </xf>
    <xf numFmtId="0" fontId="4" fillId="0" borderId="138" xfId="0" applyFont="1" applyBorder="1" applyAlignment="1">
      <alignment horizontal="left" vertical="center" wrapText="1"/>
    </xf>
    <xf numFmtId="0" fontId="4" fillId="0" borderId="139" xfId="0" applyFont="1" applyBorder="1" applyAlignment="1">
      <alignment horizontal="left" vertical="center" wrapText="1"/>
    </xf>
    <xf numFmtId="171" fontId="0" fillId="0" borderId="137" xfId="0" applyNumberFormat="1" applyBorder="1" applyAlignment="1">
      <alignment horizontal="left"/>
    </xf>
    <xf numFmtId="171" fontId="0" fillId="0" borderId="138" xfId="0" applyNumberFormat="1" applyBorder="1" applyAlignment="1">
      <alignment horizontal="left"/>
    </xf>
    <xf numFmtId="171" fontId="0" fillId="0" borderId="139" xfId="0" applyNumberFormat="1" applyBorder="1" applyAlignment="1">
      <alignment horizontal="left"/>
    </xf>
    <xf numFmtId="0" fontId="4" fillId="5" borderId="140" xfId="0" applyFont="1" applyFill="1" applyBorder="1" applyAlignment="1">
      <alignment horizontal="center" vertical="center"/>
    </xf>
    <xf numFmtId="0" fontId="4" fillId="5" borderId="141" xfId="0" applyFont="1" applyFill="1" applyBorder="1" applyAlignment="1">
      <alignment horizontal="center" vertical="center"/>
    </xf>
    <xf numFmtId="0" fontId="4" fillId="5" borderId="142" xfId="0" applyFont="1" applyFill="1" applyBorder="1" applyAlignment="1">
      <alignment horizontal="center" vertical="center"/>
    </xf>
    <xf numFmtId="0" fontId="0" fillId="0" borderId="84" xfId="0" applyBorder="1" applyAlignment="1">
      <alignment horizontal="center"/>
    </xf>
    <xf numFmtId="0" fontId="0" fillId="0" borderId="85" xfId="0" applyBorder="1" applyAlignment="1">
      <alignment horizontal="center"/>
    </xf>
    <xf numFmtId="0" fontId="0" fillId="0" borderId="131" xfId="0" applyBorder="1" applyAlignment="1">
      <alignment horizontal="center"/>
    </xf>
    <xf numFmtId="0" fontId="0" fillId="0" borderId="86" xfId="0" applyBorder="1" applyAlignment="1">
      <alignment horizontal="center"/>
    </xf>
    <xf numFmtId="0" fontId="0" fillId="0" borderId="0" xfId="0" applyAlignment="1">
      <alignment horizontal="center"/>
    </xf>
    <xf numFmtId="0" fontId="0" fillId="0" borderId="87" xfId="0" applyBorder="1" applyAlignment="1">
      <alignment horizontal="center"/>
    </xf>
    <xf numFmtId="0" fontId="0" fillId="0" borderId="134" xfId="0" applyBorder="1" applyAlignment="1">
      <alignment horizontal="center"/>
    </xf>
    <xf numFmtId="0" fontId="0" fillId="0" borderId="136" xfId="0" applyBorder="1" applyAlignment="1">
      <alignment horizontal="center"/>
    </xf>
    <xf numFmtId="0" fontId="0" fillId="0" borderId="135" xfId="0" applyBorder="1" applyAlignment="1">
      <alignment horizontal="center"/>
    </xf>
    <xf numFmtId="0" fontId="4" fillId="0" borderId="137" xfId="0" quotePrefix="1" applyFont="1" applyBorder="1" applyAlignment="1">
      <alignment vertical="center" wrapText="1"/>
    </xf>
    <xf numFmtId="0" fontId="4" fillId="0" borderId="138" xfId="0" quotePrefix="1" applyFont="1" applyBorder="1" applyAlignment="1">
      <alignment vertical="center" wrapText="1"/>
    </xf>
    <xf numFmtId="0" fontId="4" fillId="0" borderId="139" xfId="0" quotePrefix="1" applyFont="1" applyBorder="1" applyAlignment="1">
      <alignment vertical="center" wrapText="1"/>
    </xf>
    <xf numFmtId="0" fontId="4" fillId="0" borderId="137" xfId="0" applyFont="1" applyBorder="1" applyAlignment="1">
      <alignment vertical="center" wrapText="1"/>
    </xf>
    <xf numFmtId="0" fontId="0" fillId="0" borderId="138" xfId="0" applyBorder="1" applyAlignment="1">
      <alignment vertical="center" wrapText="1"/>
    </xf>
    <xf numFmtId="0" fontId="0" fillId="0" borderId="139" xfId="0" applyBorder="1" applyAlignment="1">
      <alignment vertical="center" wrapText="1"/>
    </xf>
    <xf numFmtId="0" fontId="35" fillId="10" borderId="0" xfId="0" applyFont="1" applyFill="1" applyAlignment="1">
      <alignment horizontal="center" vertical="center"/>
    </xf>
    <xf numFmtId="0" fontId="39" fillId="9" borderId="84" xfId="0" quotePrefix="1" applyFont="1" applyFill="1" applyBorder="1" applyAlignment="1">
      <alignment horizontal="center" wrapText="1"/>
    </xf>
    <xf numFmtId="0" fontId="39" fillId="6" borderId="85" xfId="0" applyFont="1" applyFill="1" applyBorder="1" applyAlignment="1">
      <alignment horizontal="center" wrapText="1"/>
    </xf>
    <xf numFmtId="0" fontId="39" fillId="6" borderId="131" xfId="0" applyFont="1" applyFill="1" applyBorder="1" applyAlignment="1">
      <alignment horizontal="center" wrapText="1"/>
    </xf>
    <xf numFmtId="0" fontId="39" fillId="6" borderId="86" xfId="0" applyFont="1" applyFill="1" applyBorder="1" applyAlignment="1">
      <alignment horizontal="center" wrapText="1"/>
    </xf>
    <xf numFmtId="0" fontId="39" fillId="6" borderId="0" xfId="0" applyFont="1" applyFill="1" applyAlignment="1">
      <alignment horizontal="center" wrapText="1"/>
    </xf>
    <xf numFmtId="0" fontId="39" fillId="6" borderId="87" xfId="0" applyFont="1" applyFill="1" applyBorder="1" applyAlignment="1">
      <alignment horizontal="center" wrapText="1"/>
    </xf>
    <xf numFmtId="0" fontId="39" fillId="6" borderId="134" xfId="0" applyFont="1" applyFill="1" applyBorder="1" applyAlignment="1">
      <alignment horizontal="center" wrapText="1"/>
    </xf>
    <xf numFmtId="0" fontId="39" fillId="6" borderId="136" xfId="0" applyFont="1" applyFill="1" applyBorder="1" applyAlignment="1">
      <alignment horizontal="center" wrapText="1"/>
    </xf>
    <xf numFmtId="0" fontId="39" fillId="6" borderId="135" xfId="0" applyFont="1" applyFill="1" applyBorder="1" applyAlignment="1">
      <alignment horizontal="center" wrapText="1"/>
    </xf>
    <xf numFmtId="0" fontId="0" fillId="0" borderId="137" xfId="0" applyBorder="1"/>
    <xf numFmtId="0" fontId="0" fillId="0" borderId="138" xfId="0" applyBorder="1"/>
    <xf numFmtId="0" fontId="0" fillId="0" borderId="139" xfId="0" applyBorder="1"/>
    <xf numFmtId="0" fontId="17" fillId="0" borderId="40" xfId="0" applyFont="1" applyBorder="1" applyAlignment="1" applyProtection="1">
      <alignment horizontal="center" vertical="center"/>
      <protection hidden="1"/>
    </xf>
    <xf numFmtId="0" fontId="17" fillId="0" borderId="41" xfId="0" applyFont="1" applyBorder="1" applyAlignment="1" applyProtection="1">
      <alignment horizontal="center" vertical="center"/>
      <protection hidden="1"/>
    </xf>
    <xf numFmtId="0" fontId="17" fillId="0" borderId="59" xfId="0" applyFont="1" applyBorder="1" applyAlignment="1" applyProtection="1">
      <alignment horizontal="center" vertical="center"/>
      <protection hidden="1"/>
    </xf>
    <xf numFmtId="0" fontId="3" fillId="0" borderId="9" xfId="0" applyFont="1" applyBorder="1" applyAlignment="1" applyProtection="1">
      <alignment horizontal="center" vertical="center"/>
      <protection hidden="1"/>
    </xf>
    <xf numFmtId="0" fontId="3" fillId="0" borderId="39" xfId="0" applyFont="1" applyBorder="1" applyAlignment="1" applyProtection="1">
      <alignment horizontal="center" vertical="center"/>
      <protection hidden="1"/>
    </xf>
    <xf numFmtId="0" fontId="3" fillId="0" borderId="35" xfId="0" applyFont="1" applyBorder="1" applyAlignment="1" applyProtection="1">
      <alignment horizontal="center" vertical="center"/>
      <protection hidden="1"/>
    </xf>
    <xf numFmtId="0" fontId="3" fillId="0" borderId="8" xfId="0" applyFont="1" applyBorder="1" applyAlignment="1" applyProtection="1">
      <alignment horizontal="center" vertical="center"/>
      <protection hidden="1"/>
    </xf>
    <xf numFmtId="0" fontId="57" fillId="0" borderId="25" xfId="4" applyFont="1" applyBorder="1" applyAlignment="1">
      <alignment horizontal="center"/>
    </xf>
    <xf numFmtId="0" fontId="57" fillId="0" borderId="29" xfId="4" applyFont="1" applyBorder="1" applyAlignment="1">
      <alignment horizontal="center"/>
    </xf>
    <xf numFmtId="0" fontId="58" fillId="0" borderId="21" xfId="4" applyFont="1" applyBorder="1" applyAlignment="1">
      <alignment horizontal="center" vertical="center"/>
    </xf>
    <xf numFmtId="0" fontId="58" fillId="0" borderId="55" xfId="4" applyFont="1" applyBorder="1" applyAlignment="1">
      <alignment horizontal="center" vertical="center"/>
    </xf>
    <xf numFmtId="0" fontId="62" fillId="0" borderId="85" xfId="4" applyFont="1" applyBorder="1" applyAlignment="1">
      <alignment horizontal="center"/>
    </xf>
    <xf numFmtId="0" fontId="62" fillId="0" borderId="131" xfId="4" applyFont="1" applyBorder="1" applyAlignment="1">
      <alignment horizontal="center"/>
    </xf>
    <xf numFmtId="0" fontId="63" fillId="0" borderId="0" xfId="4" applyFont="1" applyAlignment="1">
      <alignment horizontal="center" vertical="center"/>
    </xf>
    <xf numFmtId="0" fontId="63" fillId="0" borderId="87" xfId="4" applyFont="1" applyBorder="1" applyAlignment="1">
      <alignment horizontal="center" vertical="center"/>
    </xf>
    <xf numFmtId="0" fontId="57" fillId="0" borderId="19" xfId="4" applyFont="1" applyBorder="1" applyAlignment="1">
      <alignment horizontal="center"/>
    </xf>
    <xf numFmtId="0" fontId="57" fillId="0" borderId="15" xfId="4" applyFont="1" applyBorder="1" applyAlignment="1">
      <alignment horizontal="center"/>
    </xf>
    <xf numFmtId="0" fontId="58" fillId="0" borderId="21" xfId="4" applyFont="1" applyBorder="1" applyAlignment="1">
      <alignment horizontal="center"/>
    </xf>
    <xf numFmtId="0" fontId="58" fillId="0" borderId="55" xfId="4" applyFont="1" applyBorder="1" applyAlignment="1">
      <alignment horizontal="center"/>
    </xf>
    <xf numFmtId="0" fontId="50" fillId="0" borderId="32" xfId="4" applyBorder="1" applyAlignment="1">
      <alignment horizontal="center"/>
    </xf>
    <xf numFmtId="0" fontId="50" fillId="0" borderId="28" xfId="4" applyBorder="1" applyAlignment="1">
      <alignment horizontal="center"/>
    </xf>
    <xf numFmtId="0" fontId="57" fillId="0" borderId="34" xfId="4" applyFont="1" applyBorder="1" applyAlignment="1">
      <alignment horizontal="center"/>
    </xf>
    <xf numFmtId="0" fontId="57" fillId="0" borderId="98" xfId="4" applyFont="1" applyBorder="1" applyAlignment="1">
      <alignment horizontal="center"/>
    </xf>
    <xf numFmtId="0" fontId="54" fillId="0" borderId="4" xfId="4" applyFont="1" applyBorder="1" applyAlignment="1">
      <alignment horizontal="center" vertical="center"/>
    </xf>
    <xf numFmtId="0" fontId="54" fillId="0" borderId="89" xfId="4" applyFont="1" applyBorder="1" applyAlignment="1">
      <alignment horizontal="center" vertical="center"/>
    </xf>
    <xf numFmtId="0" fontId="56" fillId="0" borderId="8" xfId="4" applyFont="1" applyBorder="1" applyAlignment="1">
      <alignment horizontal="center" vertical="center"/>
    </xf>
    <xf numFmtId="0" fontId="56" fillId="0" borderId="91" xfId="4" applyFont="1" applyBorder="1" applyAlignment="1">
      <alignment horizontal="center" vertical="center"/>
    </xf>
    <xf numFmtId="0" fontId="51" fillId="0" borderId="6" xfId="4" applyFont="1" applyBorder="1" applyAlignment="1">
      <alignment horizontal="center" vertical="center"/>
    </xf>
    <xf numFmtId="0" fontId="50" fillId="0" borderId="89" xfId="4" applyBorder="1"/>
    <xf numFmtId="0" fontId="58" fillId="0" borderId="56" xfId="4" applyFont="1" applyBorder="1" applyAlignment="1">
      <alignment horizontal="center"/>
    </xf>
    <xf numFmtId="0" fontId="58" fillId="0" borderId="130" xfId="4" applyFont="1" applyBorder="1" applyAlignment="1">
      <alignment horizontal="center"/>
    </xf>
    <xf numFmtId="0" fontId="57" fillId="0" borderId="31" xfId="4" applyFont="1" applyBorder="1" applyAlignment="1">
      <alignment horizontal="center"/>
    </xf>
    <xf numFmtId="0" fontId="57" fillId="0" borderId="146" xfId="4" applyFont="1" applyBorder="1" applyAlignment="1">
      <alignment horizontal="center"/>
    </xf>
    <xf numFmtId="0" fontId="57" fillId="0" borderId="33" xfId="4" applyFont="1" applyBorder="1" applyAlignment="1">
      <alignment horizontal="center"/>
    </xf>
    <xf numFmtId="0" fontId="57" fillId="0" borderId="147" xfId="4" applyFont="1" applyBorder="1" applyAlignment="1">
      <alignment horizontal="center"/>
    </xf>
    <xf numFmtId="0" fontId="58" fillId="0" borderId="145" xfId="4" applyFont="1" applyBorder="1" applyAlignment="1">
      <alignment horizontal="center" vertical="center"/>
    </xf>
    <xf numFmtId="0" fontId="39" fillId="0" borderId="0" xfId="0" applyFont="1" applyAlignment="1">
      <alignment horizontal="center"/>
    </xf>
    <xf numFmtId="0" fontId="10" fillId="0" borderId="0" xfId="0" applyFont="1" applyAlignment="1">
      <alignment horizontal="center" vertical="center"/>
    </xf>
    <xf numFmtId="2" fontId="3" fillId="0" borderId="0" xfId="3" applyNumberFormat="1" applyFont="1" applyAlignment="1" applyProtection="1">
      <alignment horizontal="right" vertical="center"/>
      <protection hidden="1"/>
    </xf>
    <xf numFmtId="2" fontId="3" fillId="0" borderId="0" xfId="0" applyNumberFormat="1" applyFont="1" applyAlignment="1">
      <alignment horizontal="center"/>
    </xf>
    <xf numFmtId="0" fontId="3" fillId="0" borderId="0" xfId="0" applyFont="1" applyAlignment="1">
      <alignment horizontal="center"/>
    </xf>
    <xf numFmtId="2" fontId="3" fillId="0" borderId="67" xfId="0" applyNumberFormat="1" applyFont="1" applyBorder="1" applyAlignment="1">
      <alignment horizontal="right"/>
    </xf>
    <xf numFmtId="14" fontId="30" fillId="2" borderId="0" xfId="0" applyNumberFormat="1" applyFont="1" applyFill="1" applyAlignment="1">
      <alignment horizontal="left" vertical="center"/>
    </xf>
    <xf numFmtId="0" fontId="43" fillId="0" borderId="62" xfId="0" applyFont="1" applyBorder="1" applyAlignment="1">
      <alignment horizontal="center"/>
    </xf>
    <xf numFmtId="1" fontId="43" fillId="0" borderId="62" xfId="3" applyFont="1" applyBorder="1" applyAlignment="1" applyProtection="1">
      <alignment horizontal="center" vertical="center"/>
      <protection hidden="1"/>
    </xf>
    <xf numFmtId="2" fontId="3" fillId="0" borderId="0" xfId="3" applyNumberFormat="1" applyFont="1" applyAlignment="1" applyProtection="1">
      <alignment horizontal="right"/>
      <protection hidden="1"/>
    </xf>
    <xf numFmtId="0" fontId="3" fillId="3" borderId="19" xfId="0" applyFont="1" applyFill="1" applyBorder="1" applyAlignment="1">
      <alignment horizontal="center"/>
    </xf>
    <xf numFmtId="0" fontId="3" fillId="3" borderId="34" xfId="0" applyFont="1" applyFill="1" applyBorder="1" applyAlignment="1">
      <alignment horizontal="center"/>
    </xf>
    <xf numFmtId="0" fontId="3" fillId="3" borderId="15" xfId="0" applyFont="1" applyFill="1" applyBorder="1" applyAlignment="1">
      <alignment horizontal="center"/>
    </xf>
    <xf numFmtId="1" fontId="43" fillId="0" borderId="62" xfId="3" applyFont="1" applyBorder="1" applyAlignment="1" applyProtection="1">
      <alignment horizontal="center"/>
      <protection hidden="1"/>
    </xf>
    <xf numFmtId="0" fontId="9" fillId="0" borderId="14" xfId="0" applyFont="1" applyBorder="1" applyAlignment="1">
      <alignment horizontal="left" vertical="center"/>
    </xf>
    <xf numFmtId="0" fontId="2" fillId="0" borderId="34" xfId="0" applyFont="1" applyBorder="1" applyAlignment="1">
      <alignment horizontal="left"/>
    </xf>
    <xf numFmtId="0" fontId="2" fillId="0" borderId="15" xfId="0" applyFont="1" applyBorder="1" applyAlignment="1">
      <alignment horizontal="left"/>
    </xf>
    <xf numFmtId="4" fontId="9" fillId="0" borderId="19" xfId="0" applyNumberFormat="1" applyFont="1" applyBorder="1" applyAlignment="1">
      <alignment horizontal="right"/>
    </xf>
    <xf numFmtId="0" fontId="0" fillId="0" borderId="34" xfId="0" applyBorder="1" applyAlignment="1">
      <alignment horizontal="right"/>
    </xf>
    <xf numFmtId="0" fontId="0" fillId="0" borderId="20" xfId="0" applyBorder="1" applyAlignment="1">
      <alignment horizontal="right"/>
    </xf>
    <xf numFmtId="4" fontId="9" fillId="0" borderId="25" xfId="0" applyNumberFormat="1" applyFont="1" applyBorder="1" applyAlignment="1">
      <alignment horizontal="right"/>
    </xf>
    <xf numFmtId="0" fontId="0" fillId="0" borderId="33" xfId="0" applyBorder="1" applyAlignment="1">
      <alignment horizontal="right"/>
    </xf>
    <xf numFmtId="0" fontId="0" fillId="0" borderId="26" xfId="0" applyBorder="1" applyAlignment="1">
      <alignment horizontal="right"/>
    </xf>
    <xf numFmtId="0" fontId="14" fillId="0" borderId="3" xfId="0" applyFont="1" applyBorder="1" applyAlignment="1" applyProtection="1">
      <alignment horizontal="center" vertical="center" wrapText="1"/>
      <protection hidden="1"/>
    </xf>
    <xf numFmtId="0" fontId="0" fillId="0" borderId="3" xfId="0" applyBorder="1" applyAlignment="1">
      <alignment horizontal="center" vertical="center" wrapText="1"/>
    </xf>
    <xf numFmtId="0" fontId="0" fillId="0" borderId="23" xfId="0" applyBorder="1" applyAlignment="1">
      <alignment horizontal="center" vertical="center" wrapText="1"/>
    </xf>
    <xf numFmtId="4" fontId="9" fillId="0" borderId="46" xfId="0" applyNumberFormat="1" applyFont="1" applyBorder="1" applyAlignment="1">
      <alignment horizontal="right"/>
    </xf>
    <xf numFmtId="0" fontId="0" fillId="0" borderId="47" xfId="0" applyBorder="1" applyAlignment="1">
      <alignment horizontal="right"/>
    </xf>
    <xf numFmtId="0" fontId="0" fillId="0" borderId="45" xfId="0" applyBorder="1" applyAlignment="1">
      <alignment horizontal="right"/>
    </xf>
    <xf numFmtId="0" fontId="10" fillId="0" borderId="6" xfId="0" applyFont="1" applyBorder="1" applyAlignment="1">
      <alignment horizontal="center"/>
    </xf>
    <xf numFmtId="0" fontId="0" fillId="0" borderId="4" xfId="0" applyBorder="1" applyAlignment="1">
      <alignment horizontal="center"/>
    </xf>
    <xf numFmtId="0" fontId="0" fillId="0" borderId="7" xfId="0" applyBorder="1" applyAlignment="1">
      <alignment horizontal="center"/>
    </xf>
    <xf numFmtId="0" fontId="10" fillId="0" borderId="4" xfId="0" applyFont="1" applyBorder="1" applyAlignment="1">
      <alignment horizontal="center"/>
    </xf>
    <xf numFmtId="0" fontId="0" fillId="0" borderId="7" xfId="0" applyBorder="1"/>
    <xf numFmtId="0" fontId="10" fillId="0" borderId="6" xfId="0" applyFont="1" applyBorder="1" applyAlignment="1">
      <alignment horizontal="center" vertical="center"/>
    </xf>
    <xf numFmtId="0" fontId="9" fillId="0" borderId="0" xfId="0" applyFont="1" applyAlignment="1" applyProtection="1">
      <alignment horizontal="left" vertical="center"/>
      <protection hidden="1"/>
    </xf>
    <xf numFmtId="0" fontId="2" fillId="0" borderId="0" xfId="0" applyFont="1" applyAlignment="1">
      <alignment horizontal="left" vertical="center"/>
    </xf>
    <xf numFmtId="0" fontId="0" fillId="0" borderId="0" xfId="0" applyAlignment="1">
      <alignment vertical="center"/>
    </xf>
    <xf numFmtId="0" fontId="10" fillId="0" borderId="4" xfId="0" applyFont="1" applyBorder="1" applyAlignment="1" applyProtection="1">
      <alignment horizontal="left" vertical="center"/>
      <protection hidden="1"/>
    </xf>
    <xf numFmtId="0" fontId="4" fillId="0" borderId="4" xfId="0" applyFont="1" applyBorder="1" applyAlignment="1">
      <alignment horizontal="left" vertical="center"/>
    </xf>
    <xf numFmtId="0" fontId="0" fillId="0" borderId="4" xfId="0" applyBorder="1" applyAlignment="1">
      <alignment vertical="center"/>
    </xf>
    <xf numFmtId="0" fontId="9" fillId="0" borderId="44" xfId="0" applyFont="1" applyBorder="1" applyAlignment="1">
      <alignment horizontal="left" vertical="center"/>
    </xf>
    <xf numFmtId="0" fontId="2" fillId="0" borderId="47" xfId="0" applyFont="1" applyBorder="1" applyAlignment="1">
      <alignment horizontal="left"/>
    </xf>
    <xf numFmtId="0" fontId="2" fillId="0" borderId="48" xfId="0" applyFont="1" applyBorder="1" applyAlignment="1">
      <alignment horizontal="left"/>
    </xf>
    <xf numFmtId="169" fontId="10" fillId="0" borderId="8" xfId="0" applyNumberFormat="1" applyFont="1" applyBorder="1" applyAlignment="1">
      <alignment horizontal="center" vertical="center"/>
    </xf>
    <xf numFmtId="0" fontId="0" fillId="0" borderId="3" xfId="0" applyBorder="1" applyAlignment="1">
      <alignment vertical="center"/>
    </xf>
    <xf numFmtId="0" fontId="0" fillId="0" borderId="23" xfId="0" applyBorder="1" applyAlignment="1">
      <alignment vertical="center"/>
    </xf>
    <xf numFmtId="0" fontId="2" fillId="0" borderId="0" xfId="0" applyFont="1" applyAlignment="1">
      <alignment horizontal="center" vertical="center"/>
    </xf>
    <xf numFmtId="0" fontId="2" fillId="0" borderId="0" xfId="0" applyFont="1" applyAlignment="1">
      <alignment horizontal="center"/>
    </xf>
    <xf numFmtId="4" fontId="9" fillId="0" borderId="4" xfId="0" applyNumberFormat="1" applyFont="1" applyBorder="1" applyAlignment="1">
      <alignment horizontal="left"/>
    </xf>
    <xf numFmtId="0" fontId="0" fillId="0" borderId="4" xfId="0" applyBorder="1"/>
    <xf numFmtId="0" fontId="10" fillId="0" borderId="8" xfId="0" applyFont="1" applyBorder="1" applyAlignment="1">
      <alignment horizontal="center" vertical="center"/>
    </xf>
    <xf numFmtId="0" fontId="0" fillId="0" borderId="3" xfId="0" applyBorder="1" applyAlignment="1">
      <alignment horizontal="center"/>
    </xf>
    <xf numFmtId="0" fontId="0" fillId="0" borderId="23" xfId="0" applyBorder="1" applyAlignment="1">
      <alignment horizontal="center"/>
    </xf>
    <xf numFmtId="0" fontId="9" fillId="0" borderId="24" xfId="0" applyFont="1" applyBorder="1" applyAlignment="1">
      <alignment horizontal="left" vertical="center"/>
    </xf>
    <xf numFmtId="0" fontId="2" fillId="0" borderId="33" xfId="0" applyFont="1" applyBorder="1" applyAlignment="1">
      <alignment horizontal="left"/>
    </xf>
    <xf numFmtId="0" fontId="2" fillId="0" borderId="29" xfId="0" applyFont="1" applyBorder="1" applyAlignment="1">
      <alignment horizontal="left"/>
    </xf>
    <xf numFmtId="0" fontId="9" fillId="0" borderId="14" xfId="0" applyFont="1" applyBorder="1" applyAlignment="1">
      <alignment horizontal="left"/>
    </xf>
    <xf numFmtId="0" fontId="9" fillId="0" borderId="15" xfId="0" applyFont="1" applyBorder="1" applyAlignment="1">
      <alignment horizontal="left"/>
    </xf>
    <xf numFmtId="0" fontId="9" fillId="0" borderId="24" xfId="0" applyFont="1" applyBorder="1" applyAlignment="1">
      <alignment horizontal="left"/>
    </xf>
    <xf numFmtId="0" fontId="9" fillId="0" borderId="29" xfId="0" applyFont="1" applyBorder="1" applyAlignment="1">
      <alignment horizontal="left"/>
    </xf>
    <xf numFmtId="0" fontId="9" fillId="0" borderId="27" xfId="0" applyFont="1" applyBorder="1" applyAlignment="1">
      <alignment horizontal="left"/>
    </xf>
    <xf numFmtId="0" fontId="9" fillId="0" borderId="28" xfId="0" applyFont="1" applyBorder="1" applyAlignment="1">
      <alignment horizontal="left"/>
    </xf>
    <xf numFmtId="0" fontId="10" fillId="0" borderId="148" xfId="0" applyFont="1" applyBorder="1" applyAlignment="1">
      <alignment horizontal="center" vertical="center"/>
    </xf>
    <xf numFmtId="0" fontId="0" fillId="0" borderId="112" xfId="0" applyBorder="1" applyAlignment="1">
      <alignment horizontal="center" vertical="center"/>
    </xf>
    <xf numFmtId="0" fontId="14" fillId="0" borderId="4" xfId="0" applyFont="1" applyBorder="1" applyAlignment="1" applyProtection="1">
      <alignment horizontal="center" vertical="center" wrapText="1"/>
      <protection hidden="1"/>
    </xf>
    <xf numFmtId="0" fontId="0" fillId="0" borderId="4" xfId="0" applyBorder="1" applyAlignment="1">
      <alignment vertical="center" wrapText="1"/>
    </xf>
    <xf numFmtId="0" fontId="0" fillId="0" borderId="7" xfId="0" applyBorder="1" applyAlignment="1">
      <alignment vertical="center" wrapText="1"/>
    </xf>
    <xf numFmtId="0" fontId="0" fillId="0" borderId="3" xfId="0" applyBorder="1" applyAlignment="1">
      <alignment vertical="center" wrapText="1"/>
    </xf>
    <xf numFmtId="0" fontId="0" fillId="0" borderId="23" xfId="0" applyBorder="1" applyAlignment="1">
      <alignment vertical="center" wrapText="1"/>
    </xf>
    <xf numFmtId="0" fontId="10" fillId="0" borderId="112" xfId="0" applyFont="1" applyBorder="1" applyAlignment="1">
      <alignment horizontal="center"/>
    </xf>
    <xf numFmtId="0" fontId="0" fillId="0" borderId="112" xfId="0" applyBorder="1" applyAlignment="1">
      <alignment horizontal="center"/>
    </xf>
    <xf numFmtId="0" fontId="34" fillId="0" borderId="0" xfId="0" applyFont="1"/>
    <xf numFmtId="0" fontId="0" fillId="0" borderId="0" xfId="0"/>
  </cellXfs>
  <cellStyles count="10">
    <cellStyle name="Migliaia (0)_Foglio1" xfId="2" xr:uid="{00000000-0005-0000-0000-000001000000}"/>
    <cellStyle name="Moneda" xfId="1" builtinId="4"/>
    <cellStyle name="Normal" xfId="0" builtinId="0"/>
    <cellStyle name="Normal_PERUIFE9" xfId="3" xr:uid="{00000000-0005-0000-0000-000007000000}"/>
    <cellStyle name="Normal_Volume Info" xfId="4" xr:uid="{00000000-0005-0000-0000-000008000000}"/>
    <cellStyle name="Œ…‹æØ‚è [0.00]_Sheet1" xfId="5" xr:uid="{00000000-0005-0000-0000-000009000000}"/>
    <cellStyle name="Œ…‹æØ‚è_Sheet1" xfId="6" xr:uid="{00000000-0005-0000-0000-00000A000000}"/>
    <cellStyle name="piero 1" xfId="8" xr:uid="{00000000-0005-0000-0000-00000C000000}"/>
    <cellStyle name="piero 2" xfId="9" xr:uid="{00000000-0005-0000-0000-00000D000000}"/>
    <cellStyle name="Porcentaje" xfId="7" builtin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emf"/></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6</xdr:col>
      <xdr:colOff>476250</xdr:colOff>
      <xdr:row>4</xdr:row>
      <xdr:rowOff>76200</xdr:rowOff>
    </xdr:from>
    <xdr:to>
      <xdr:col>11</xdr:col>
      <xdr:colOff>276225</xdr:colOff>
      <xdr:row>6</xdr:row>
      <xdr:rowOff>142875</xdr:rowOff>
    </xdr:to>
    <xdr:pic>
      <xdr:nvPicPr>
        <xdr:cNvPr id="50185" name="Picture 9" descr="M-I SWACO RGB">
          <a:extLst>
            <a:ext uri="{FF2B5EF4-FFF2-40B4-BE49-F238E27FC236}">
              <a16:creationId xmlns:a16="http://schemas.microsoft.com/office/drawing/2014/main" id="{00000000-0008-0000-0000-000009C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467225" y="857250"/>
          <a:ext cx="2847975" cy="419100"/>
        </a:xfrm>
        <a:prstGeom prst="rect">
          <a:avLst/>
        </a:prstGeom>
        <a:noFill/>
      </xdr:spPr>
    </xdr:pic>
    <xdr:clientData/>
  </xdr:twoCellAnchor>
  <mc:AlternateContent xmlns:mc="http://schemas.openxmlformats.org/markup-compatibility/2006">
    <mc:Choice xmlns:a14="http://schemas.microsoft.com/office/drawing/2010/main" Requires="a14">
      <xdr:twoCellAnchor>
        <xdr:from>
          <xdr:col>3</xdr:col>
          <xdr:colOff>198120</xdr:colOff>
          <xdr:row>2</xdr:row>
          <xdr:rowOff>38100</xdr:rowOff>
        </xdr:from>
        <xdr:to>
          <xdr:col>5</xdr:col>
          <xdr:colOff>22860</xdr:colOff>
          <xdr:row>4</xdr:row>
          <xdr:rowOff>91440</xdr:rowOff>
        </xdr:to>
        <xdr:sp macro="" textlink="">
          <xdr:nvSpPr>
            <xdr:cNvPr id="50177" name="Button 1" hidden="1">
              <a:extLst>
                <a:ext uri="{63B3BB69-23CF-44E3-9099-C40C66FF867C}">
                  <a14:compatExt spid="_x0000_s50177"/>
                </a:ext>
                <a:ext uri="{FF2B5EF4-FFF2-40B4-BE49-F238E27FC236}">
                  <a16:creationId xmlns:a16="http://schemas.microsoft.com/office/drawing/2014/main" id="{26ADB040-6808-39FA-B33F-DC04FCCDC934}"/>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1" i="0" u="none" strike="noStrike" baseline="0">
                  <a:solidFill>
                    <a:srgbClr val="000000"/>
                  </a:solidFill>
                  <a:latin typeface="Arial"/>
                  <a:cs typeface="Arial"/>
                </a:rPr>
                <a:t>1 - Run First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0</xdr:col>
          <xdr:colOff>563880</xdr:colOff>
          <xdr:row>2</xdr:row>
          <xdr:rowOff>38100</xdr:rowOff>
        </xdr:from>
        <xdr:to>
          <xdr:col>2</xdr:col>
          <xdr:colOff>106680</xdr:colOff>
          <xdr:row>4</xdr:row>
          <xdr:rowOff>68580</xdr:rowOff>
        </xdr:to>
        <xdr:sp macro="" textlink="">
          <xdr:nvSpPr>
            <xdr:cNvPr id="50180" name="Button 4" hidden="1">
              <a:extLst>
                <a:ext uri="{63B3BB69-23CF-44E3-9099-C40C66FF867C}">
                  <a14:compatExt spid="_x0000_s50180"/>
                </a:ext>
                <a:ext uri="{FF2B5EF4-FFF2-40B4-BE49-F238E27FC236}">
                  <a16:creationId xmlns:a16="http://schemas.microsoft.com/office/drawing/2014/main" id="{21F0F7E5-CDFD-1546-923B-59F6425D2A19}"/>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1" i="0" u="none" strike="noStrike" baseline="0">
                  <a:solidFill>
                    <a:srgbClr val="000000"/>
                  </a:solidFill>
                  <a:latin typeface="Arial"/>
                  <a:cs typeface="Arial"/>
                </a:rPr>
                <a:t>About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289560</xdr:colOff>
          <xdr:row>36</xdr:row>
          <xdr:rowOff>45720</xdr:rowOff>
        </xdr:from>
        <xdr:to>
          <xdr:col>6</xdr:col>
          <xdr:colOff>99060</xdr:colOff>
          <xdr:row>38</xdr:row>
          <xdr:rowOff>83820</xdr:rowOff>
        </xdr:to>
        <xdr:sp macro="" textlink="">
          <xdr:nvSpPr>
            <xdr:cNvPr id="50181" name="Button 5" hidden="1">
              <a:extLst>
                <a:ext uri="{63B3BB69-23CF-44E3-9099-C40C66FF867C}">
                  <a14:compatExt spid="_x0000_s50181"/>
                </a:ext>
                <a:ext uri="{FF2B5EF4-FFF2-40B4-BE49-F238E27FC236}">
                  <a16:creationId xmlns:a16="http://schemas.microsoft.com/office/drawing/2014/main" id="{7F1B99B2-82F2-CF00-21DC-2637008CD773}"/>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1" i="0" u="none" strike="noStrike" baseline="0">
                  <a:solidFill>
                    <a:srgbClr val="000000"/>
                  </a:solidFill>
                  <a:latin typeface="Arial"/>
                  <a:cs typeface="Arial"/>
                </a:rPr>
                <a:t>Return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403860</xdr:colOff>
          <xdr:row>6</xdr:row>
          <xdr:rowOff>15240</xdr:rowOff>
        </xdr:from>
        <xdr:to>
          <xdr:col>3</xdr:col>
          <xdr:colOff>373380</xdr:colOff>
          <xdr:row>8</xdr:row>
          <xdr:rowOff>83820</xdr:rowOff>
        </xdr:to>
        <xdr:sp macro="" textlink="">
          <xdr:nvSpPr>
            <xdr:cNvPr id="50182" name="Button 6" hidden="1">
              <a:extLst>
                <a:ext uri="{63B3BB69-23CF-44E3-9099-C40C66FF867C}">
                  <a14:compatExt spid="_x0000_s50182"/>
                </a:ext>
                <a:ext uri="{FF2B5EF4-FFF2-40B4-BE49-F238E27FC236}">
                  <a16:creationId xmlns:a16="http://schemas.microsoft.com/office/drawing/2014/main" id="{423432DE-BEEA-1D76-2031-BA29C85AD4F7}"/>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1" i="0" u="none" strike="noStrike" baseline="0">
                  <a:solidFill>
                    <a:srgbClr val="000000"/>
                  </a:solidFill>
                  <a:latin typeface="Arial"/>
                  <a:cs typeface="Arial"/>
                </a:rPr>
                <a:t>Save Final Report</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28575</xdr:colOff>
      <xdr:row>0</xdr:row>
      <xdr:rowOff>28575</xdr:rowOff>
    </xdr:from>
    <xdr:to>
      <xdr:col>2</xdr:col>
      <xdr:colOff>657225</xdr:colOff>
      <xdr:row>1</xdr:row>
      <xdr:rowOff>495300</xdr:rowOff>
    </xdr:to>
    <xdr:pic>
      <xdr:nvPicPr>
        <xdr:cNvPr id="53253" name="Picture 5" descr="MISW_orange_Center">
          <a:extLst>
            <a:ext uri="{FF2B5EF4-FFF2-40B4-BE49-F238E27FC236}">
              <a16:creationId xmlns:a16="http://schemas.microsoft.com/office/drawing/2014/main" id="{00000000-0008-0000-0100-000005D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8575" y="28575"/>
          <a:ext cx="2276475" cy="542925"/>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28575</xdr:colOff>
      <xdr:row>0</xdr:row>
      <xdr:rowOff>28575</xdr:rowOff>
    </xdr:from>
    <xdr:to>
      <xdr:col>2</xdr:col>
      <xdr:colOff>657225</xdr:colOff>
      <xdr:row>1</xdr:row>
      <xdr:rowOff>495300</xdr:rowOff>
    </xdr:to>
    <xdr:pic>
      <xdr:nvPicPr>
        <xdr:cNvPr id="54275" name="Picture 1027" descr="MISW_orange_Center">
          <a:extLst>
            <a:ext uri="{FF2B5EF4-FFF2-40B4-BE49-F238E27FC236}">
              <a16:creationId xmlns:a16="http://schemas.microsoft.com/office/drawing/2014/main" id="{00000000-0008-0000-0200-000003D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8575" y="28575"/>
          <a:ext cx="2276475" cy="542925"/>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28575</xdr:colOff>
      <xdr:row>0</xdr:row>
      <xdr:rowOff>28575</xdr:rowOff>
    </xdr:from>
    <xdr:to>
      <xdr:col>2</xdr:col>
      <xdr:colOff>657225</xdr:colOff>
      <xdr:row>1</xdr:row>
      <xdr:rowOff>495300</xdr:rowOff>
    </xdr:to>
    <xdr:pic>
      <xdr:nvPicPr>
        <xdr:cNvPr id="55299" name="Picture 3" descr="MISW_orange_Center">
          <a:extLst>
            <a:ext uri="{FF2B5EF4-FFF2-40B4-BE49-F238E27FC236}">
              <a16:creationId xmlns:a16="http://schemas.microsoft.com/office/drawing/2014/main" id="{00000000-0008-0000-0300-000003D8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8575" y="28575"/>
          <a:ext cx="2276475" cy="542925"/>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28575</xdr:colOff>
      <xdr:row>0</xdr:row>
      <xdr:rowOff>28575</xdr:rowOff>
    </xdr:from>
    <xdr:to>
      <xdr:col>2</xdr:col>
      <xdr:colOff>657225</xdr:colOff>
      <xdr:row>1</xdr:row>
      <xdr:rowOff>495300</xdr:rowOff>
    </xdr:to>
    <xdr:pic>
      <xdr:nvPicPr>
        <xdr:cNvPr id="56323" name="Picture 3" descr="MISW_orange_Center">
          <a:extLst>
            <a:ext uri="{FF2B5EF4-FFF2-40B4-BE49-F238E27FC236}">
              <a16:creationId xmlns:a16="http://schemas.microsoft.com/office/drawing/2014/main" id="{00000000-0008-0000-0400-000003DC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8575" y="28575"/>
          <a:ext cx="2276475" cy="542925"/>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28575</xdr:colOff>
      <xdr:row>0</xdr:row>
      <xdr:rowOff>28575</xdr:rowOff>
    </xdr:from>
    <xdr:to>
      <xdr:col>2</xdr:col>
      <xdr:colOff>247650</xdr:colOff>
      <xdr:row>1</xdr:row>
      <xdr:rowOff>495300</xdr:rowOff>
    </xdr:to>
    <xdr:pic>
      <xdr:nvPicPr>
        <xdr:cNvPr id="60420" name="Picture 4" descr="MISW_orange_Center">
          <a:extLst>
            <a:ext uri="{FF2B5EF4-FFF2-40B4-BE49-F238E27FC236}">
              <a16:creationId xmlns:a16="http://schemas.microsoft.com/office/drawing/2014/main" id="{00000000-0008-0000-0500-000004EC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8575" y="28575"/>
          <a:ext cx="2276475" cy="542925"/>
        </a:xfrm>
        <a:prstGeom prst="rect">
          <a:avLst/>
        </a:prstGeom>
        <a:noFill/>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28575</xdr:colOff>
      <xdr:row>0</xdr:row>
      <xdr:rowOff>28575</xdr:rowOff>
    </xdr:from>
    <xdr:to>
      <xdr:col>2</xdr:col>
      <xdr:colOff>247650</xdr:colOff>
      <xdr:row>1</xdr:row>
      <xdr:rowOff>390525</xdr:rowOff>
    </xdr:to>
    <xdr:pic>
      <xdr:nvPicPr>
        <xdr:cNvPr id="61444" name="Picture 4" descr="MISW_orange_Center">
          <a:extLst>
            <a:ext uri="{FF2B5EF4-FFF2-40B4-BE49-F238E27FC236}">
              <a16:creationId xmlns:a16="http://schemas.microsoft.com/office/drawing/2014/main" id="{00000000-0008-0000-0600-000004F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8575" y="28575"/>
          <a:ext cx="2276475" cy="542925"/>
        </a:xfrm>
        <a:prstGeom prst="rect">
          <a:avLst/>
        </a:prstGeom>
        <a:noFill/>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133350</xdr:rowOff>
    </xdr:from>
    <xdr:to>
      <xdr:col>0</xdr:col>
      <xdr:colOff>9525</xdr:colOff>
      <xdr:row>3</xdr:row>
      <xdr:rowOff>114300</xdr:rowOff>
    </xdr:to>
    <xdr:pic>
      <xdr:nvPicPr>
        <xdr:cNvPr id="64513" name="Picture 1">
          <a:extLst>
            <a:ext uri="{FF2B5EF4-FFF2-40B4-BE49-F238E27FC236}">
              <a16:creationId xmlns:a16="http://schemas.microsoft.com/office/drawing/2014/main" id="{00000000-0008-0000-0700-000001FC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0" y="133350"/>
          <a:ext cx="9525" cy="561975"/>
        </a:xfrm>
        <a:prstGeom prst="rect">
          <a:avLst/>
        </a:prstGeom>
        <a:solidFill>
          <a:srgbClr val="FFFFFF"/>
        </a:solidFill>
        <a:ln w="9525">
          <a:solidFill>
            <a:srgbClr val="000000"/>
          </a:solidFill>
          <a:miter lim="800000"/>
          <a:headEnd/>
          <a:tailEnd/>
        </a:ln>
      </xdr:spPr>
    </xdr:pic>
    <xdr:clientData/>
  </xdr:twoCellAnchor>
  <xdr:twoCellAnchor editAs="oneCell">
    <xdr:from>
      <xdr:col>0</xdr:col>
      <xdr:colOff>28575</xdr:colOff>
      <xdr:row>0</xdr:row>
      <xdr:rowOff>28575</xdr:rowOff>
    </xdr:from>
    <xdr:to>
      <xdr:col>3</xdr:col>
      <xdr:colOff>342900</xdr:colOff>
      <xdr:row>3</xdr:row>
      <xdr:rowOff>133350</xdr:rowOff>
    </xdr:to>
    <xdr:pic>
      <xdr:nvPicPr>
        <xdr:cNvPr id="64514" name="Picture 2" descr="MISW_orange_Center">
          <a:extLst>
            <a:ext uri="{FF2B5EF4-FFF2-40B4-BE49-F238E27FC236}">
              <a16:creationId xmlns:a16="http://schemas.microsoft.com/office/drawing/2014/main" id="{00000000-0008-0000-0700-000002FC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28575" y="28575"/>
          <a:ext cx="2867025" cy="685800"/>
        </a:xfrm>
        <a:prstGeom prst="rect">
          <a:avLst/>
        </a:prstGeom>
        <a:noFill/>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85725</xdr:colOff>
      <xdr:row>60</xdr:row>
      <xdr:rowOff>95250</xdr:rowOff>
    </xdr:from>
    <xdr:to>
      <xdr:col>4</xdr:col>
      <xdr:colOff>447675</xdr:colOff>
      <xdr:row>61</xdr:row>
      <xdr:rowOff>266700</xdr:rowOff>
    </xdr:to>
    <xdr:pic>
      <xdr:nvPicPr>
        <xdr:cNvPr id="57355" name="Picture 11" descr="M-I SWACO RGB">
          <a:extLst>
            <a:ext uri="{FF2B5EF4-FFF2-40B4-BE49-F238E27FC236}">
              <a16:creationId xmlns:a16="http://schemas.microsoft.com/office/drawing/2014/main" id="{00000000-0008-0000-0800-00000BE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5725" y="8601075"/>
          <a:ext cx="2847975" cy="419100"/>
        </a:xfrm>
        <a:prstGeom prst="rect">
          <a:avLst/>
        </a:prstGeom>
        <a:noFill/>
      </xdr:spPr>
    </xdr:pic>
    <xdr:clientData/>
  </xdr:twoCellAnchor>
  <xdr:twoCellAnchor editAs="absolute">
    <xdr:from>
      <xdr:col>0</xdr:col>
      <xdr:colOff>85725</xdr:colOff>
      <xdr:row>120</xdr:row>
      <xdr:rowOff>95250</xdr:rowOff>
    </xdr:from>
    <xdr:to>
      <xdr:col>4</xdr:col>
      <xdr:colOff>447675</xdr:colOff>
      <xdr:row>121</xdr:row>
      <xdr:rowOff>266700</xdr:rowOff>
    </xdr:to>
    <xdr:pic>
      <xdr:nvPicPr>
        <xdr:cNvPr id="57356" name="Picture 12" descr="M-I SWACO RGB">
          <a:extLst>
            <a:ext uri="{FF2B5EF4-FFF2-40B4-BE49-F238E27FC236}">
              <a16:creationId xmlns:a16="http://schemas.microsoft.com/office/drawing/2014/main" id="{00000000-0008-0000-0800-00000CE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5725" y="17106900"/>
          <a:ext cx="2847975" cy="419100"/>
        </a:xfrm>
        <a:prstGeom prst="rect">
          <a:avLst/>
        </a:prstGeom>
        <a:noFill/>
      </xdr:spPr>
    </xdr:pic>
    <xdr:clientData/>
  </xdr:twoCellAnchor>
  <xdr:twoCellAnchor editAs="oneCell">
    <xdr:from>
      <xdr:col>0</xdr:col>
      <xdr:colOff>28575</xdr:colOff>
      <xdr:row>0</xdr:row>
      <xdr:rowOff>28575</xdr:rowOff>
    </xdr:from>
    <xdr:to>
      <xdr:col>3</xdr:col>
      <xdr:colOff>257175</xdr:colOff>
      <xdr:row>1</xdr:row>
      <xdr:rowOff>304800</xdr:rowOff>
    </xdr:to>
    <xdr:pic>
      <xdr:nvPicPr>
        <xdr:cNvPr id="57357" name="Picture 13" descr="MISW_orange_Center">
          <a:extLst>
            <a:ext uri="{FF2B5EF4-FFF2-40B4-BE49-F238E27FC236}">
              <a16:creationId xmlns:a16="http://schemas.microsoft.com/office/drawing/2014/main" id="{00000000-0008-0000-0800-00000DE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28575" y="28575"/>
          <a:ext cx="2209800" cy="523875"/>
        </a:xfrm>
        <a:prstGeom prst="rect">
          <a:avLst/>
        </a:prstGeom>
        <a:noFill/>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85725</xdr:colOff>
      <xdr:row>60</xdr:row>
      <xdr:rowOff>95250</xdr:rowOff>
    </xdr:from>
    <xdr:to>
      <xdr:col>4</xdr:col>
      <xdr:colOff>447675</xdr:colOff>
      <xdr:row>61</xdr:row>
      <xdr:rowOff>266700</xdr:rowOff>
    </xdr:to>
    <xdr:pic>
      <xdr:nvPicPr>
        <xdr:cNvPr id="59399" name="Picture 7" descr="M-I SWACO RGB">
          <a:extLst>
            <a:ext uri="{FF2B5EF4-FFF2-40B4-BE49-F238E27FC236}">
              <a16:creationId xmlns:a16="http://schemas.microsoft.com/office/drawing/2014/main" id="{00000000-0008-0000-0900-000007E8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5725" y="8601075"/>
          <a:ext cx="2847975" cy="419100"/>
        </a:xfrm>
        <a:prstGeom prst="rect">
          <a:avLst/>
        </a:prstGeom>
        <a:noFill/>
      </xdr:spPr>
    </xdr:pic>
    <xdr:clientData/>
  </xdr:twoCellAnchor>
  <xdr:twoCellAnchor editAs="absolute">
    <xdr:from>
      <xdr:col>0</xdr:col>
      <xdr:colOff>85725</xdr:colOff>
      <xdr:row>120</xdr:row>
      <xdr:rowOff>95250</xdr:rowOff>
    </xdr:from>
    <xdr:to>
      <xdr:col>4</xdr:col>
      <xdr:colOff>447675</xdr:colOff>
      <xdr:row>121</xdr:row>
      <xdr:rowOff>266700</xdr:rowOff>
    </xdr:to>
    <xdr:pic>
      <xdr:nvPicPr>
        <xdr:cNvPr id="59400" name="Picture 8" descr="M-I SWACO RGB">
          <a:extLst>
            <a:ext uri="{FF2B5EF4-FFF2-40B4-BE49-F238E27FC236}">
              <a16:creationId xmlns:a16="http://schemas.microsoft.com/office/drawing/2014/main" id="{00000000-0008-0000-0900-000008E8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5725" y="17106900"/>
          <a:ext cx="2847975" cy="419100"/>
        </a:xfrm>
        <a:prstGeom prst="rect">
          <a:avLst/>
        </a:prstGeom>
        <a:noFill/>
      </xdr:spPr>
    </xdr:pic>
    <xdr:clientData/>
  </xdr:twoCellAnchor>
  <xdr:twoCellAnchor editAs="oneCell">
    <xdr:from>
      <xdr:col>0</xdr:col>
      <xdr:colOff>28575</xdr:colOff>
      <xdr:row>0</xdr:row>
      <xdr:rowOff>28575</xdr:rowOff>
    </xdr:from>
    <xdr:to>
      <xdr:col>3</xdr:col>
      <xdr:colOff>257175</xdr:colOff>
      <xdr:row>1</xdr:row>
      <xdr:rowOff>304800</xdr:rowOff>
    </xdr:to>
    <xdr:pic>
      <xdr:nvPicPr>
        <xdr:cNvPr id="59401" name="Picture 9" descr="MISW_orange_Center">
          <a:extLst>
            <a:ext uri="{FF2B5EF4-FFF2-40B4-BE49-F238E27FC236}">
              <a16:creationId xmlns:a16="http://schemas.microsoft.com/office/drawing/2014/main" id="{00000000-0008-0000-0900-000009E8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28575" y="28575"/>
          <a:ext cx="2209800" cy="523875"/>
        </a:xfrm>
        <a:prstGeom prst="rect">
          <a:avLst/>
        </a:prstGeom>
        <a:noFill/>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85725</xdr:colOff>
      <xdr:row>60</xdr:row>
      <xdr:rowOff>95250</xdr:rowOff>
    </xdr:from>
    <xdr:to>
      <xdr:col>4</xdr:col>
      <xdr:colOff>447675</xdr:colOff>
      <xdr:row>61</xdr:row>
      <xdr:rowOff>266700</xdr:rowOff>
    </xdr:to>
    <xdr:pic>
      <xdr:nvPicPr>
        <xdr:cNvPr id="62465" name="Picture 1" descr="M-I SWACO RGB">
          <a:extLst>
            <a:ext uri="{FF2B5EF4-FFF2-40B4-BE49-F238E27FC236}">
              <a16:creationId xmlns:a16="http://schemas.microsoft.com/office/drawing/2014/main" id="{00000000-0008-0000-0A00-000001F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5725" y="8601075"/>
          <a:ext cx="2847975" cy="419100"/>
        </a:xfrm>
        <a:prstGeom prst="rect">
          <a:avLst/>
        </a:prstGeom>
        <a:noFill/>
      </xdr:spPr>
    </xdr:pic>
    <xdr:clientData/>
  </xdr:twoCellAnchor>
  <xdr:twoCellAnchor editAs="absolute">
    <xdr:from>
      <xdr:col>0</xdr:col>
      <xdr:colOff>85725</xdr:colOff>
      <xdr:row>120</xdr:row>
      <xdr:rowOff>95250</xdr:rowOff>
    </xdr:from>
    <xdr:to>
      <xdr:col>4</xdr:col>
      <xdr:colOff>447675</xdr:colOff>
      <xdr:row>121</xdr:row>
      <xdr:rowOff>266700</xdr:rowOff>
    </xdr:to>
    <xdr:pic>
      <xdr:nvPicPr>
        <xdr:cNvPr id="62466" name="Picture 2" descr="M-I SWACO RGB">
          <a:extLst>
            <a:ext uri="{FF2B5EF4-FFF2-40B4-BE49-F238E27FC236}">
              <a16:creationId xmlns:a16="http://schemas.microsoft.com/office/drawing/2014/main" id="{00000000-0008-0000-0A00-000002F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5725" y="17106900"/>
          <a:ext cx="2847975" cy="419100"/>
        </a:xfrm>
        <a:prstGeom prst="rect">
          <a:avLst/>
        </a:prstGeom>
        <a:noFill/>
      </xdr:spPr>
    </xdr:pic>
    <xdr:clientData/>
  </xdr:twoCellAnchor>
  <xdr:twoCellAnchor editAs="oneCell">
    <xdr:from>
      <xdr:col>0</xdr:col>
      <xdr:colOff>28575</xdr:colOff>
      <xdr:row>0</xdr:row>
      <xdr:rowOff>28575</xdr:rowOff>
    </xdr:from>
    <xdr:to>
      <xdr:col>3</xdr:col>
      <xdr:colOff>257175</xdr:colOff>
      <xdr:row>1</xdr:row>
      <xdr:rowOff>304800</xdr:rowOff>
    </xdr:to>
    <xdr:pic>
      <xdr:nvPicPr>
        <xdr:cNvPr id="62467" name="Picture 3" descr="MISW_orange_Center">
          <a:extLst>
            <a:ext uri="{FF2B5EF4-FFF2-40B4-BE49-F238E27FC236}">
              <a16:creationId xmlns:a16="http://schemas.microsoft.com/office/drawing/2014/main" id="{00000000-0008-0000-0A00-000003F4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28575" y="28575"/>
          <a:ext cx="2209800" cy="523875"/>
        </a:xfrm>
        <a:prstGeom prst="rect">
          <a:avLst/>
        </a:prstGeom>
        <a:noFill/>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28575</xdr:colOff>
      <xdr:row>0</xdr:row>
      <xdr:rowOff>28575</xdr:rowOff>
    </xdr:from>
    <xdr:to>
      <xdr:col>3</xdr:col>
      <xdr:colOff>219075</xdr:colOff>
      <xdr:row>1</xdr:row>
      <xdr:rowOff>485775</xdr:rowOff>
    </xdr:to>
    <xdr:pic>
      <xdr:nvPicPr>
        <xdr:cNvPr id="40967" name="Picture 7" descr="MISW_orange_Center">
          <a:extLst>
            <a:ext uri="{FF2B5EF4-FFF2-40B4-BE49-F238E27FC236}">
              <a16:creationId xmlns:a16="http://schemas.microsoft.com/office/drawing/2014/main" id="{00000000-0008-0000-0B00-000007A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8575" y="28575"/>
          <a:ext cx="2705100" cy="638175"/>
        </a:xfrm>
        <a:prstGeom prst="rect">
          <a:avLst/>
        </a:prstGeom>
        <a:noFill/>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28575</xdr:colOff>
      <xdr:row>0</xdr:row>
      <xdr:rowOff>28575</xdr:rowOff>
    </xdr:from>
    <xdr:to>
      <xdr:col>2</xdr:col>
      <xdr:colOff>352425</xdr:colOff>
      <xdr:row>1</xdr:row>
      <xdr:rowOff>485775</xdr:rowOff>
    </xdr:to>
    <xdr:pic>
      <xdr:nvPicPr>
        <xdr:cNvPr id="48136" name="Picture 8" descr="MISW_orange_Center">
          <a:extLst>
            <a:ext uri="{FF2B5EF4-FFF2-40B4-BE49-F238E27FC236}">
              <a16:creationId xmlns:a16="http://schemas.microsoft.com/office/drawing/2014/main" id="{00000000-0008-0000-0C00-000008BC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8575" y="28575"/>
          <a:ext cx="2705100" cy="638175"/>
        </a:xfrm>
        <a:prstGeom prst="rect">
          <a:avLst/>
        </a:prstGeom>
        <a:noFill/>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ife.dat\IFEDat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FE"/>
      <sheetName val="IFE1"/>
      <sheetName val="BenchMark"/>
      <sheetName val="CFData"/>
      <sheetName val="SQM"/>
      <sheetName val="Equipment Performance"/>
    </sheetNames>
    <sheetDataSet>
      <sheetData sheetId="0">
        <row r="1">
          <cell r="AO1" t="str">
            <v>M-I BAR BULK</v>
          </cell>
        </row>
        <row r="2">
          <cell r="AO2" t="str">
            <v>100. LB BG</v>
          </cell>
          <cell r="AQ2">
            <v>3359</v>
          </cell>
        </row>
        <row r="3">
          <cell r="B3" t="str">
            <v>91514</v>
          </cell>
          <cell r="C3" t="str">
            <v>Logo Line1</v>
          </cell>
          <cell r="D3" t="str">
            <v xml:space="preserve">CARDON IV </v>
          </cell>
          <cell r="E3" t="str">
            <v xml:space="preserve">CARDON IV  </v>
          </cell>
          <cell r="X3" t="str">
            <v>OPERATOR</v>
          </cell>
          <cell r="Y3" t="str">
            <v>B6</v>
          </cell>
          <cell r="Z3" t="str">
            <v>Cardon IV</v>
          </cell>
          <cell r="AB3" t="str">
            <v>CritVel1</v>
          </cell>
          <cell r="AK3" t="str">
            <v>ProdStart3</v>
          </cell>
          <cell r="AO3">
            <v>0</v>
          </cell>
          <cell r="AQ3">
            <v>0</v>
          </cell>
          <cell r="BN3" t="str">
            <v>Pit # 3</v>
          </cell>
        </row>
        <row r="4">
          <cell r="AO4">
            <v>1153</v>
          </cell>
          <cell r="BN4" t="str">
            <v>Trip tank # 1</v>
          </cell>
        </row>
        <row r="5">
          <cell r="B5">
            <v>39981</v>
          </cell>
          <cell r="AO5">
            <v>0</v>
          </cell>
          <cell r="BN5" t="str">
            <v>Trip tank # 2</v>
          </cell>
        </row>
        <row r="6">
          <cell r="B6" t="str">
            <v>Cardon IV</v>
          </cell>
          <cell r="AO6">
            <v>0</v>
          </cell>
          <cell r="BN6" t="str">
            <v>Pit # 1</v>
          </cell>
        </row>
        <row r="7">
          <cell r="K7">
            <v>0</v>
          </cell>
          <cell r="L7">
            <v>0</v>
          </cell>
          <cell r="O7">
            <v>0</v>
          </cell>
          <cell r="P7">
            <v>0</v>
          </cell>
          <cell r="AO7">
            <v>1153</v>
          </cell>
          <cell r="BN7" t="str">
            <v>Pit # 2</v>
          </cell>
        </row>
        <row r="8">
          <cell r="B8" t="str">
            <v>Perla-1X</v>
          </cell>
          <cell r="K8">
            <v>5749.32</v>
          </cell>
          <cell r="O8">
            <v>0</v>
          </cell>
          <cell r="BN8" t="str">
            <v>Slug Pit</v>
          </cell>
        </row>
        <row r="9">
          <cell r="B9" t="str">
            <v>Golfo de Venezuela</v>
          </cell>
          <cell r="AO9">
            <v>2206</v>
          </cell>
          <cell r="BN9" t="str">
            <v>Sand Traps</v>
          </cell>
        </row>
        <row r="10">
          <cell r="B10" t="str">
            <v>Exploratory</v>
          </cell>
          <cell r="AO10">
            <v>20.25</v>
          </cell>
        </row>
        <row r="11">
          <cell r="B11" t="str">
            <v>Offshore</v>
          </cell>
          <cell r="AO11" t="str">
            <v>SODA ASH</v>
          </cell>
        </row>
        <row r="12">
          <cell r="AO12" t="str">
            <v>50. KG BG</v>
          </cell>
          <cell r="AQ12">
            <v>16</v>
          </cell>
        </row>
        <row r="13">
          <cell r="AO13">
            <v>0</v>
          </cell>
          <cell r="AQ13">
            <v>0</v>
          </cell>
        </row>
        <row r="14">
          <cell r="AO14">
            <v>10</v>
          </cell>
        </row>
        <row r="15">
          <cell r="B15" t="str">
            <v>Ensco</v>
          </cell>
          <cell r="AO15">
            <v>0</v>
          </cell>
        </row>
        <row r="16">
          <cell r="B16">
            <v>202</v>
          </cell>
          <cell r="AO16">
            <v>0</v>
          </cell>
        </row>
        <row r="17">
          <cell r="AO17">
            <v>10</v>
          </cell>
        </row>
        <row r="19">
          <cell r="AO19">
            <v>6</v>
          </cell>
        </row>
        <row r="20">
          <cell r="K20">
            <v>0</v>
          </cell>
          <cell r="L20">
            <v>0</v>
          </cell>
          <cell r="O20">
            <v>0</v>
          </cell>
          <cell r="P20">
            <v>0</v>
          </cell>
          <cell r="AO20">
            <v>55.51</v>
          </cell>
        </row>
        <row r="21">
          <cell r="K21">
            <v>89939.53</v>
          </cell>
          <cell r="O21">
            <v>0</v>
          </cell>
          <cell r="AO21" t="str">
            <v>SODIUM BICARBONATE</v>
          </cell>
        </row>
        <row r="22">
          <cell r="AO22" t="str">
            <v>50. LB BG</v>
          </cell>
          <cell r="AQ22">
            <v>27</v>
          </cell>
        </row>
        <row r="23">
          <cell r="AO23">
            <v>0</v>
          </cell>
          <cell r="AQ23">
            <v>0</v>
          </cell>
        </row>
        <row r="24">
          <cell r="AO24">
            <v>27</v>
          </cell>
        </row>
        <row r="25">
          <cell r="AO25">
            <v>0</v>
          </cell>
        </row>
        <row r="26">
          <cell r="AO26">
            <v>0</v>
          </cell>
        </row>
        <row r="27">
          <cell r="AO27">
            <v>27</v>
          </cell>
        </row>
        <row r="28">
          <cell r="B28" t="str">
            <v>$</v>
          </cell>
        </row>
        <row r="29">
          <cell r="AO29">
            <v>0</v>
          </cell>
        </row>
        <row r="30">
          <cell r="B30" t="str">
            <v>pies</v>
          </cell>
          <cell r="AO30">
            <v>52.87</v>
          </cell>
        </row>
        <row r="31">
          <cell r="B31" t="str">
            <v>plg</v>
          </cell>
          <cell r="AO31" t="str">
            <v>POLYPAC R</v>
          </cell>
        </row>
        <row r="32">
          <cell r="B32" t="str">
            <v>bbl</v>
          </cell>
          <cell r="AO32" t="str">
            <v>50. LB BG</v>
          </cell>
          <cell r="AQ32">
            <v>70</v>
          </cell>
        </row>
        <row r="33">
          <cell r="B33" t="str">
            <v>gal/min</v>
          </cell>
          <cell r="AO33">
            <v>0</v>
          </cell>
          <cell r="AQ33">
            <v>0</v>
          </cell>
          <cell r="BN33" t="str">
            <v>Reserve</v>
          </cell>
        </row>
        <row r="34">
          <cell r="B34" t="str">
            <v>1/32 plg</v>
          </cell>
          <cell r="AO34">
            <v>52</v>
          </cell>
          <cell r="BN34" t="str">
            <v>Reserve</v>
          </cell>
        </row>
        <row r="35">
          <cell r="AO35">
            <v>0</v>
          </cell>
          <cell r="BN35" t="str">
            <v>Reserve</v>
          </cell>
        </row>
        <row r="36">
          <cell r="B36" t="str">
            <v>psi</v>
          </cell>
          <cell r="AO36">
            <v>0</v>
          </cell>
          <cell r="BN36" t="str">
            <v>Reserve</v>
          </cell>
        </row>
        <row r="37">
          <cell r="AO37">
            <v>52</v>
          </cell>
          <cell r="BN37" t="str">
            <v>Reserve</v>
          </cell>
        </row>
        <row r="38">
          <cell r="BE38">
            <v>429</v>
          </cell>
          <cell r="BN38" t="str">
            <v>Reserve</v>
          </cell>
        </row>
        <row r="39">
          <cell r="B39" t="str">
            <v>lb/gal</v>
          </cell>
          <cell r="AO39">
            <v>18</v>
          </cell>
          <cell r="BN39" t="str">
            <v>Reserve</v>
          </cell>
        </row>
        <row r="40">
          <cell r="B40" t="str">
            <v>°F</v>
          </cell>
          <cell r="AO40">
            <v>184.5</v>
          </cell>
          <cell r="BD40" t="str">
            <v>Shakers</v>
          </cell>
          <cell r="BE40">
            <v>0</v>
          </cell>
        </row>
        <row r="41">
          <cell r="B41" t="str">
            <v>cP</v>
          </cell>
          <cell r="AO41" t="str">
            <v>LOWA TECH 70/75</v>
          </cell>
          <cell r="BD41" t="str">
            <v>Evaporation</v>
          </cell>
          <cell r="BE41">
            <v>0</v>
          </cell>
        </row>
        <row r="42">
          <cell r="B42" t="str">
            <v>lb/100p²</v>
          </cell>
          <cell r="AO42" t="str">
            <v>50. LB BG</v>
          </cell>
          <cell r="AQ42">
            <v>224</v>
          </cell>
          <cell r="BD42" t="str">
            <v>Centrifuge</v>
          </cell>
          <cell r="BE42">
            <v>0</v>
          </cell>
        </row>
        <row r="43">
          <cell r="B43" t="str">
            <v>s/ct</v>
          </cell>
          <cell r="AO43">
            <v>0</v>
          </cell>
          <cell r="AQ43">
            <v>112</v>
          </cell>
          <cell r="BD43" t="str">
            <v>Formation</v>
          </cell>
          <cell r="BE43">
            <v>0</v>
          </cell>
        </row>
        <row r="44">
          <cell r="B44" t="str">
            <v>lb/bbl</v>
          </cell>
          <cell r="AO44">
            <v>112</v>
          </cell>
          <cell r="BD44" t="str">
            <v>Left in Hole</v>
          </cell>
          <cell r="BE44">
            <v>0</v>
          </cell>
        </row>
        <row r="45">
          <cell r="AO45">
            <v>0</v>
          </cell>
          <cell r="BD45" t="str">
            <v>Other</v>
          </cell>
          <cell r="BE45">
            <v>0</v>
          </cell>
        </row>
        <row r="46">
          <cell r="AO46">
            <v>0</v>
          </cell>
          <cell r="BD46" t="str">
            <v>Discharged</v>
          </cell>
          <cell r="BE46">
            <v>0</v>
          </cell>
        </row>
        <row r="47">
          <cell r="AO47">
            <v>112</v>
          </cell>
          <cell r="BD47" t="str">
            <v>Pit Cleaning</v>
          </cell>
          <cell r="BE47">
            <v>0</v>
          </cell>
        </row>
        <row r="48">
          <cell r="AO48">
            <v>18.45</v>
          </cell>
          <cell r="BE48">
            <v>0</v>
          </cell>
        </row>
        <row r="49">
          <cell r="AO49">
            <v>0</v>
          </cell>
          <cell r="BE49">
            <v>0</v>
          </cell>
        </row>
        <row r="50">
          <cell r="AO50">
            <v>18.45</v>
          </cell>
        </row>
        <row r="51">
          <cell r="AO51" t="str">
            <v>CELL-U-SEAL FINE</v>
          </cell>
        </row>
        <row r="52">
          <cell r="AO52" t="str">
            <v>30. LB BG</v>
          </cell>
          <cell r="AQ52">
            <v>114</v>
          </cell>
        </row>
        <row r="53">
          <cell r="AO53">
            <v>0</v>
          </cell>
          <cell r="AQ53">
            <v>0</v>
          </cell>
        </row>
        <row r="54">
          <cell r="AO54">
            <v>114</v>
          </cell>
        </row>
        <row r="55">
          <cell r="AO55">
            <v>0</v>
          </cell>
        </row>
        <row r="56">
          <cell r="AO56">
            <v>0</v>
          </cell>
        </row>
        <row r="57">
          <cell r="B57" t="str">
            <v>gal/emb</v>
          </cell>
          <cell r="D57" t="str">
            <v>cc/30min</v>
          </cell>
          <cell r="AO57">
            <v>114</v>
          </cell>
        </row>
        <row r="58">
          <cell r="D58" t="str">
            <v>mg/L</v>
          </cell>
          <cell r="AO58">
            <v>69.67</v>
          </cell>
        </row>
        <row r="59">
          <cell r="D59" t="str">
            <v>%Vol</v>
          </cell>
          <cell r="AO59">
            <v>0</v>
          </cell>
        </row>
        <row r="60">
          <cell r="D60" t="str">
            <v>%Wt</v>
          </cell>
          <cell r="AO60">
            <v>69.67</v>
          </cell>
        </row>
        <row r="61">
          <cell r="AO61" t="str">
            <v>CAUSTIC POTASH (POTASSIUM HYDROXIDE - KOH)</v>
          </cell>
        </row>
        <row r="62">
          <cell r="AO62" t="str">
            <v>25. KG BG</v>
          </cell>
          <cell r="AQ62">
            <v>14</v>
          </cell>
        </row>
        <row r="63">
          <cell r="AO63">
            <v>0</v>
          </cell>
          <cell r="AQ63">
            <v>0</v>
          </cell>
          <cell r="BN63">
            <v>0</v>
          </cell>
        </row>
        <row r="64">
          <cell r="AO64">
            <v>14</v>
          </cell>
          <cell r="BN64">
            <v>0</v>
          </cell>
        </row>
        <row r="65">
          <cell r="AO65">
            <v>0</v>
          </cell>
          <cell r="BN65">
            <v>0</v>
          </cell>
        </row>
        <row r="66">
          <cell r="AO66">
            <v>0</v>
          </cell>
          <cell r="BN66">
            <v>0</v>
          </cell>
        </row>
        <row r="67">
          <cell r="AO67">
            <v>14</v>
          </cell>
          <cell r="BN67">
            <v>0</v>
          </cell>
        </row>
        <row r="68">
          <cell r="AO68">
            <v>113.32</v>
          </cell>
          <cell r="BN68">
            <v>0</v>
          </cell>
        </row>
        <row r="69">
          <cell r="AO69">
            <v>0</v>
          </cell>
          <cell r="BN69">
            <v>0</v>
          </cell>
        </row>
        <row r="70">
          <cell r="AO70">
            <v>113.32</v>
          </cell>
        </row>
        <row r="71">
          <cell r="AO71" t="str">
            <v>ENGINEERING SERVICE</v>
          </cell>
        </row>
        <row r="72">
          <cell r="AO72" t="str">
            <v>1.  EA</v>
          </cell>
          <cell r="AQ72">
            <v>0</v>
          </cell>
        </row>
        <row r="73">
          <cell r="AO73">
            <v>2</v>
          </cell>
          <cell r="AQ73">
            <v>0</v>
          </cell>
        </row>
        <row r="74">
          <cell r="AO74">
            <v>0</v>
          </cell>
        </row>
        <row r="75">
          <cell r="AO75">
            <v>0</v>
          </cell>
        </row>
        <row r="76">
          <cell r="AO76">
            <v>0</v>
          </cell>
        </row>
        <row r="77">
          <cell r="C77" t="str">
            <v>TK  1</v>
          </cell>
          <cell r="D77">
            <v>0</v>
          </cell>
          <cell r="E77" t="str">
            <v>TK  3</v>
          </cell>
          <cell r="F77" t="str">
            <v>TK  3</v>
          </cell>
          <cell r="AO77">
            <v>2</v>
          </cell>
        </row>
        <row r="78">
          <cell r="C78" t="str">
            <v>12:00</v>
          </cell>
          <cell r="D78" t="str">
            <v>00:00</v>
          </cell>
          <cell r="E78" t="str">
            <v>12:00</v>
          </cell>
          <cell r="F78" t="str">
            <v>00:00</v>
          </cell>
          <cell r="AO78">
            <v>1485</v>
          </cell>
        </row>
        <row r="79">
          <cell r="C79">
            <v>0</v>
          </cell>
          <cell r="D79">
            <v>0</v>
          </cell>
          <cell r="E79">
            <v>0</v>
          </cell>
          <cell r="F79">
            <v>0</v>
          </cell>
          <cell r="AO79">
            <v>13</v>
          </cell>
        </row>
        <row r="80">
          <cell r="C80">
            <v>563</v>
          </cell>
          <cell r="D80">
            <v>563</v>
          </cell>
          <cell r="E80">
            <v>563</v>
          </cell>
          <cell r="F80">
            <v>563</v>
          </cell>
          <cell r="AO80">
            <v>1485</v>
          </cell>
        </row>
        <row r="81">
          <cell r="C81">
            <v>563</v>
          </cell>
          <cell r="D81">
            <v>563</v>
          </cell>
          <cell r="E81">
            <v>563</v>
          </cell>
          <cell r="F81">
            <v>563</v>
          </cell>
          <cell r="AO81" t="str">
            <v>BENTONITE WYOMING</v>
          </cell>
        </row>
        <row r="82">
          <cell r="C82">
            <v>9.1</v>
          </cell>
          <cell r="D82">
            <v>9.1</v>
          </cell>
          <cell r="E82">
            <v>14</v>
          </cell>
          <cell r="F82">
            <v>14</v>
          </cell>
          <cell r="AO82" t="str">
            <v>100. LB BG</v>
          </cell>
          <cell r="AQ82">
            <v>500</v>
          </cell>
        </row>
        <row r="83">
          <cell r="C83">
            <v>85</v>
          </cell>
          <cell r="D83">
            <v>85</v>
          </cell>
          <cell r="E83">
            <v>85</v>
          </cell>
          <cell r="F83">
            <v>85</v>
          </cell>
          <cell r="AO83">
            <v>1</v>
          </cell>
          <cell r="AQ83">
            <v>0</v>
          </cell>
        </row>
        <row r="84">
          <cell r="C84">
            <v>55</v>
          </cell>
          <cell r="D84">
            <v>55</v>
          </cell>
          <cell r="E84">
            <v>80</v>
          </cell>
          <cell r="F84">
            <v>80</v>
          </cell>
          <cell r="AO84">
            <v>58</v>
          </cell>
        </row>
        <row r="85">
          <cell r="C85">
            <v>120</v>
          </cell>
          <cell r="D85">
            <v>120</v>
          </cell>
          <cell r="E85">
            <v>120</v>
          </cell>
          <cell r="F85">
            <v>120</v>
          </cell>
          <cell r="AO85">
            <v>0</v>
          </cell>
          <cell r="BE85">
            <v>429</v>
          </cell>
        </row>
        <row r="86">
          <cell r="C86">
            <v>38</v>
          </cell>
          <cell r="D86">
            <v>38</v>
          </cell>
          <cell r="E86">
            <v>130</v>
          </cell>
          <cell r="F86">
            <v>130</v>
          </cell>
          <cell r="AO86">
            <v>0</v>
          </cell>
        </row>
        <row r="87">
          <cell r="C87">
            <v>27</v>
          </cell>
          <cell r="D87">
            <v>27</v>
          </cell>
          <cell r="E87">
            <v>81</v>
          </cell>
          <cell r="F87">
            <v>81</v>
          </cell>
          <cell r="AO87">
            <v>57</v>
          </cell>
        </row>
        <row r="88">
          <cell r="C88">
            <v>23</v>
          </cell>
          <cell r="D88">
            <v>23</v>
          </cell>
          <cell r="E88">
            <v>61</v>
          </cell>
          <cell r="F88">
            <v>61</v>
          </cell>
          <cell r="AO88">
            <v>28.72</v>
          </cell>
        </row>
        <row r="89">
          <cell r="C89">
            <v>18</v>
          </cell>
          <cell r="D89">
            <v>18</v>
          </cell>
          <cell r="E89">
            <v>39</v>
          </cell>
          <cell r="F89">
            <v>39</v>
          </cell>
          <cell r="AO89">
            <v>443</v>
          </cell>
        </row>
        <row r="90">
          <cell r="C90">
            <v>11</v>
          </cell>
          <cell r="D90">
            <v>11</v>
          </cell>
          <cell r="E90">
            <v>10</v>
          </cell>
          <cell r="F90">
            <v>10</v>
          </cell>
          <cell r="AO90">
            <v>28.72</v>
          </cell>
        </row>
        <row r="91">
          <cell r="C91">
            <v>10</v>
          </cell>
          <cell r="D91">
            <v>10</v>
          </cell>
          <cell r="E91">
            <v>8</v>
          </cell>
          <cell r="F91">
            <v>8</v>
          </cell>
          <cell r="AO91" t="str">
            <v>DUO-VIS</v>
          </cell>
        </row>
        <row r="92">
          <cell r="C92">
            <v>11</v>
          </cell>
          <cell r="D92">
            <v>11</v>
          </cell>
          <cell r="E92">
            <v>49</v>
          </cell>
          <cell r="F92">
            <v>49</v>
          </cell>
          <cell r="AO92" t="str">
            <v>50. LB BG</v>
          </cell>
          <cell r="AQ92">
            <v>0</v>
          </cell>
        </row>
        <row r="93">
          <cell r="C93">
            <v>16</v>
          </cell>
          <cell r="D93">
            <v>16</v>
          </cell>
          <cell r="E93">
            <v>32</v>
          </cell>
          <cell r="F93">
            <v>32</v>
          </cell>
          <cell r="AO93">
            <v>0</v>
          </cell>
          <cell r="AQ93">
            <v>0</v>
          </cell>
          <cell r="BN93">
            <v>420</v>
          </cell>
        </row>
        <row r="94">
          <cell r="C94">
            <v>11</v>
          </cell>
          <cell r="D94">
            <v>11</v>
          </cell>
          <cell r="E94">
            <v>12</v>
          </cell>
          <cell r="F94">
            <v>12</v>
          </cell>
          <cell r="AO94">
            <v>0</v>
          </cell>
        </row>
        <row r="95">
          <cell r="C95">
            <v>15</v>
          </cell>
          <cell r="D95">
            <v>15</v>
          </cell>
          <cell r="E95">
            <v>18</v>
          </cell>
          <cell r="F95">
            <v>18</v>
          </cell>
          <cell r="AO95">
            <v>0</v>
          </cell>
        </row>
        <row r="96">
          <cell r="C96">
            <v>0</v>
          </cell>
          <cell r="D96">
            <v>0</v>
          </cell>
          <cell r="E96">
            <v>0</v>
          </cell>
          <cell r="F96">
            <v>0</v>
          </cell>
          <cell r="AO96">
            <v>0</v>
          </cell>
          <cell r="BN96">
            <v>501</v>
          </cell>
        </row>
        <row r="97">
          <cell r="C97">
            <v>0</v>
          </cell>
          <cell r="D97">
            <v>0</v>
          </cell>
          <cell r="E97">
            <v>0</v>
          </cell>
          <cell r="F97">
            <v>0</v>
          </cell>
          <cell r="AO97">
            <v>0</v>
          </cell>
          <cell r="BN97">
            <v>497</v>
          </cell>
        </row>
        <row r="98">
          <cell r="C98">
            <v>0</v>
          </cell>
          <cell r="D98">
            <v>0</v>
          </cell>
          <cell r="E98">
            <v>0</v>
          </cell>
          <cell r="F98">
            <v>0</v>
          </cell>
          <cell r="AO98">
            <v>550.12</v>
          </cell>
        </row>
        <row r="99">
          <cell r="C99">
            <v>0</v>
          </cell>
          <cell r="D99">
            <v>0</v>
          </cell>
          <cell r="E99">
            <v>0</v>
          </cell>
          <cell r="F99">
            <v>0</v>
          </cell>
          <cell r="AO99">
            <v>0</v>
          </cell>
        </row>
        <row r="100">
          <cell r="C100">
            <v>0</v>
          </cell>
          <cell r="D100">
            <v>0</v>
          </cell>
          <cell r="E100">
            <v>0</v>
          </cell>
          <cell r="F100">
            <v>0</v>
          </cell>
          <cell r="AO100">
            <v>550.12</v>
          </cell>
        </row>
        <row r="101">
          <cell r="C101">
            <v>0</v>
          </cell>
          <cell r="D101">
            <v>0</v>
          </cell>
          <cell r="E101">
            <v>0</v>
          </cell>
          <cell r="F101">
            <v>0</v>
          </cell>
          <cell r="AO101" t="str">
            <v>PIPE-LAX</v>
          </cell>
        </row>
        <row r="102">
          <cell r="C102">
            <v>4.2</v>
          </cell>
          <cell r="D102">
            <v>4.2</v>
          </cell>
          <cell r="E102">
            <v>22</v>
          </cell>
          <cell r="F102">
            <v>22</v>
          </cell>
          <cell r="AO102" t="str">
            <v>55. GA DM</v>
          </cell>
          <cell r="AQ102">
            <v>20</v>
          </cell>
        </row>
        <row r="103">
          <cell r="C103">
            <v>0</v>
          </cell>
          <cell r="D103">
            <v>0</v>
          </cell>
          <cell r="E103">
            <v>0</v>
          </cell>
          <cell r="F103">
            <v>0</v>
          </cell>
          <cell r="AO103">
            <v>0</v>
          </cell>
          <cell r="AQ103">
            <v>0</v>
          </cell>
        </row>
        <row r="104">
          <cell r="C104">
            <v>95.8</v>
          </cell>
          <cell r="D104">
            <v>95.8</v>
          </cell>
          <cell r="E104">
            <v>78</v>
          </cell>
          <cell r="F104">
            <v>78</v>
          </cell>
          <cell r="AO104">
            <v>20</v>
          </cell>
        </row>
        <row r="105">
          <cell r="C105">
            <v>0</v>
          </cell>
          <cell r="D105">
            <v>0</v>
          </cell>
          <cell r="E105">
            <v>0</v>
          </cell>
          <cell r="F105">
            <v>0</v>
          </cell>
          <cell r="AO105">
            <v>0</v>
          </cell>
        </row>
        <row r="106">
          <cell r="C106">
            <v>20</v>
          </cell>
          <cell r="D106">
            <v>20</v>
          </cell>
          <cell r="E106">
            <v>15</v>
          </cell>
          <cell r="F106">
            <v>15</v>
          </cell>
          <cell r="AO106">
            <v>0</v>
          </cell>
        </row>
        <row r="107">
          <cell r="C107">
            <v>10</v>
          </cell>
          <cell r="D107">
            <v>10</v>
          </cell>
          <cell r="E107">
            <v>10.5</v>
          </cell>
          <cell r="F107">
            <v>10.5</v>
          </cell>
          <cell r="AO107">
            <v>20</v>
          </cell>
        </row>
        <row r="108">
          <cell r="C108">
            <v>85</v>
          </cell>
          <cell r="D108">
            <v>85</v>
          </cell>
          <cell r="E108">
            <v>85</v>
          </cell>
          <cell r="F108">
            <v>85</v>
          </cell>
          <cell r="AO108">
            <v>2385.02</v>
          </cell>
        </row>
        <row r="109">
          <cell r="C109">
            <v>0.8</v>
          </cell>
          <cell r="D109">
            <v>0.8</v>
          </cell>
          <cell r="E109">
            <v>0</v>
          </cell>
          <cell r="F109">
            <v>0</v>
          </cell>
          <cell r="AO109">
            <v>0</v>
          </cell>
        </row>
        <row r="110">
          <cell r="C110">
            <v>0.2</v>
          </cell>
          <cell r="D110">
            <v>0.2</v>
          </cell>
          <cell r="E110">
            <v>0</v>
          </cell>
          <cell r="F110">
            <v>0</v>
          </cell>
          <cell r="AO110">
            <v>2385.02</v>
          </cell>
        </row>
        <row r="111">
          <cell r="C111">
            <v>0.6</v>
          </cell>
          <cell r="D111">
            <v>0.6</v>
          </cell>
          <cell r="E111">
            <v>0</v>
          </cell>
          <cell r="F111">
            <v>0</v>
          </cell>
          <cell r="AO111" t="str">
            <v>LIME</v>
          </cell>
        </row>
        <row r="112">
          <cell r="C112">
            <v>0</v>
          </cell>
          <cell r="D112">
            <v>0</v>
          </cell>
          <cell r="E112">
            <v>0</v>
          </cell>
          <cell r="F112">
            <v>0</v>
          </cell>
          <cell r="AO112" t="str">
            <v>20. KG BG</v>
          </cell>
          <cell r="AQ112">
            <v>39</v>
          </cell>
        </row>
        <row r="113">
          <cell r="C113">
            <v>80</v>
          </cell>
          <cell r="D113">
            <v>80</v>
          </cell>
          <cell r="E113">
            <v>0</v>
          </cell>
          <cell r="F113">
            <v>0</v>
          </cell>
          <cell r="AO113">
            <v>0</v>
          </cell>
          <cell r="AQ113">
            <v>0</v>
          </cell>
        </row>
        <row r="114">
          <cell r="A114">
            <v>0</v>
          </cell>
          <cell r="B114">
            <v>0</v>
          </cell>
          <cell r="C114">
            <v>0</v>
          </cell>
          <cell r="D114">
            <v>0</v>
          </cell>
          <cell r="E114">
            <v>0</v>
          </cell>
          <cell r="F114">
            <v>0</v>
          </cell>
          <cell r="I114">
            <v>0</v>
          </cell>
          <cell r="J114">
            <v>0</v>
          </cell>
          <cell r="AO114">
            <v>39</v>
          </cell>
        </row>
        <row r="115">
          <cell r="A115">
            <v>0</v>
          </cell>
          <cell r="B115">
            <v>0</v>
          </cell>
          <cell r="C115">
            <v>0</v>
          </cell>
          <cell r="D115">
            <v>0</v>
          </cell>
          <cell r="E115">
            <v>0</v>
          </cell>
          <cell r="F115">
            <v>0</v>
          </cell>
          <cell r="I115">
            <v>0</v>
          </cell>
          <cell r="J115">
            <v>0</v>
          </cell>
          <cell r="AO115">
            <v>0</v>
          </cell>
        </row>
        <row r="116">
          <cell r="A116">
            <v>0</v>
          </cell>
          <cell r="B116">
            <v>0</v>
          </cell>
          <cell r="C116">
            <v>0</v>
          </cell>
          <cell r="D116">
            <v>0</v>
          </cell>
          <cell r="E116">
            <v>0</v>
          </cell>
          <cell r="F116">
            <v>0</v>
          </cell>
          <cell r="I116">
            <v>0</v>
          </cell>
          <cell r="J116">
            <v>0</v>
          </cell>
          <cell r="AO116">
            <v>0</v>
          </cell>
        </row>
        <row r="117">
          <cell r="A117">
            <v>0</v>
          </cell>
          <cell r="B117">
            <v>0</v>
          </cell>
          <cell r="C117">
            <v>0</v>
          </cell>
          <cell r="D117">
            <v>0</v>
          </cell>
          <cell r="E117">
            <v>0</v>
          </cell>
          <cell r="F117">
            <v>0</v>
          </cell>
          <cell r="I117">
            <v>0</v>
          </cell>
          <cell r="J117">
            <v>0</v>
          </cell>
          <cell r="AO117">
            <v>39</v>
          </cell>
        </row>
        <row r="118">
          <cell r="AO118">
            <v>37.43</v>
          </cell>
        </row>
        <row r="119">
          <cell r="B119">
            <v>39989</v>
          </cell>
          <cell r="AO119">
            <v>0</v>
          </cell>
        </row>
        <row r="120">
          <cell r="B120">
            <v>563</v>
          </cell>
          <cell r="AO120">
            <v>37.43</v>
          </cell>
        </row>
        <row r="121">
          <cell r="B121">
            <v>563</v>
          </cell>
          <cell r="AO121" t="str">
            <v>THINSMART</v>
          </cell>
        </row>
        <row r="122">
          <cell r="AO122" t="str">
            <v>25. LB BG</v>
          </cell>
          <cell r="AQ122">
            <v>160</v>
          </cell>
        </row>
        <row r="123">
          <cell r="B123" t="str">
            <v>Bajando Tuberia</v>
          </cell>
          <cell r="AO123">
            <v>0</v>
          </cell>
          <cell r="AQ123">
            <v>0</v>
          </cell>
        </row>
        <row r="124">
          <cell r="B124" t="str">
            <v>Agua de mar / HI VIS</v>
          </cell>
          <cell r="AO124">
            <v>117</v>
          </cell>
        </row>
        <row r="125">
          <cell r="B125" t="str">
            <v>Gerrit Ham / Jhony Quintero</v>
          </cell>
          <cell r="AO125">
            <v>0</v>
          </cell>
        </row>
        <row r="126">
          <cell r="B126" t="str">
            <v>Ricky Otwell</v>
          </cell>
          <cell r="AO126">
            <v>0</v>
          </cell>
        </row>
        <row r="127">
          <cell r="B127" t="str">
            <v>Jesus Villarroel</v>
          </cell>
          <cell r="AO127">
            <v>117</v>
          </cell>
        </row>
        <row r="128">
          <cell r="B128" t="str">
            <v>Nelson Marcano</v>
          </cell>
          <cell r="AO128">
            <v>119.83</v>
          </cell>
        </row>
        <row r="129">
          <cell r="B129">
            <v>0</v>
          </cell>
          <cell r="AO129">
            <v>43</v>
          </cell>
        </row>
        <row r="130">
          <cell r="AO130">
            <v>119.83</v>
          </cell>
        </row>
        <row r="131">
          <cell r="D131">
            <v>0</v>
          </cell>
          <cell r="AO131" t="str">
            <v>CAUSTIC SODA</v>
          </cell>
        </row>
        <row r="132">
          <cell r="AO132" t="str">
            <v>25. KG BG</v>
          </cell>
          <cell r="AQ132">
            <v>30</v>
          </cell>
        </row>
        <row r="133">
          <cell r="B133">
            <v>0</v>
          </cell>
          <cell r="AO133">
            <v>0</v>
          </cell>
          <cell r="AQ133">
            <v>0</v>
          </cell>
        </row>
        <row r="134">
          <cell r="B134">
            <v>5749.32</v>
          </cell>
          <cell r="AO134">
            <v>21</v>
          </cell>
        </row>
        <row r="135">
          <cell r="B135">
            <v>89939.53</v>
          </cell>
          <cell r="AO135">
            <v>0</v>
          </cell>
        </row>
        <row r="136">
          <cell r="B136">
            <v>26</v>
          </cell>
          <cell r="D136">
            <v>0</v>
          </cell>
          <cell r="AO136">
            <v>0</v>
          </cell>
        </row>
        <row r="137">
          <cell r="B137">
            <v>0</v>
          </cell>
          <cell r="D137">
            <v>0</v>
          </cell>
          <cell r="AO137">
            <v>21</v>
          </cell>
        </row>
        <row r="138">
          <cell r="D138">
            <v>0</v>
          </cell>
          <cell r="AO138">
            <v>64.72</v>
          </cell>
        </row>
        <row r="139">
          <cell r="B139">
            <v>0</v>
          </cell>
          <cell r="D139">
            <v>0</v>
          </cell>
          <cell r="AO139">
            <v>9</v>
          </cell>
        </row>
        <row r="140">
          <cell r="B140">
            <v>0</v>
          </cell>
          <cell r="AO140">
            <v>64.72</v>
          </cell>
        </row>
        <row r="141">
          <cell r="B141">
            <v>0</v>
          </cell>
          <cell r="AO141" t="str">
            <v>DRIL-KLEEN</v>
          </cell>
        </row>
        <row r="142">
          <cell r="B142">
            <v>0</v>
          </cell>
          <cell r="D142">
            <v>0</v>
          </cell>
          <cell r="AO142" t="str">
            <v>5. GA CN</v>
          </cell>
          <cell r="AQ142">
            <v>45</v>
          </cell>
        </row>
        <row r="143">
          <cell r="B143">
            <v>0</v>
          </cell>
          <cell r="D143">
            <v>0</v>
          </cell>
          <cell r="AO143">
            <v>0</v>
          </cell>
          <cell r="AQ143">
            <v>0</v>
          </cell>
        </row>
        <row r="144">
          <cell r="B144">
            <v>0</v>
          </cell>
          <cell r="AO144">
            <v>45</v>
          </cell>
        </row>
        <row r="145">
          <cell r="AO145">
            <v>0</v>
          </cell>
        </row>
        <row r="146">
          <cell r="AO146">
            <v>0</v>
          </cell>
        </row>
        <row r="147">
          <cell r="AO147">
            <v>45</v>
          </cell>
        </row>
        <row r="148">
          <cell r="D148">
            <v>0</v>
          </cell>
          <cell r="AO148">
            <v>322.20999999999998</v>
          </cell>
        </row>
        <row r="149">
          <cell r="AO149">
            <v>0</v>
          </cell>
        </row>
        <row r="150">
          <cell r="B150">
            <v>0</v>
          </cell>
          <cell r="AO150">
            <v>322.20999999999998</v>
          </cell>
        </row>
        <row r="151">
          <cell r="AO151" t="str">
            <v>PECAN NUT PLUG CSE</v>
          </cell>
        </row>
        <row r="152">
          <cell r="B152">
            <v>0</v>
          </cell>
          <cell r="AO152" t="str">
            <v>50. LB BG</v>
          </cell>
          <cell r="AQ152">
            <v>25</v>
          </cell>
        </row>
        <row r="153">
          <cell r="B153" t="str">
            <v>9,1</v>
          </cell>
          <cell r="AO153">
            <v>0</v>
          </cell>
          <cell r="AQ153">
            <v>0</v>
          </cell>
        </row>
        <row r="154">
          <cell r="B154" t="str">
            <v>55</v>
          </cell>
          <cell r="AO154">
            <v>25</v>
          </cell>
        </row>
        <row r="155">
          <cell r="B155">
            <v>0</v>
          </cell>
          <cell r="AO155">
            <v>0</v>
          </cell>
        </row>
        <row r="156">
          <cell r="AO156">
            <v>0</v>
          </cell>
        </row>
        <row r="157">
          <cell r="B157" t="str">
            <v>Realizó chequeo a fluido y ajustó viscosidad. no se logro recibir barita debido a que el mal tiempo no permitio que el barco se pegara al equipo y luego debió volver a muelle. Actualmente esperando el barco con Barita. Realizó correccion de presentacion del producto DUOVIS, ya que el mismo estaba reportado de 50 libras y el usado es de 25 kg.</v>
          </cell>
          <cell r="AO157">
            <v>25</v>
          </cell>
        </row>
        <row r="158">
          <cell r="B158" t="str">
            <v>Terminó de instalar equipo de pozo, probo el mismo OK. bajo sarta de perforacion hasta tope de cemento, probó  equipo ok.</v>
          </cell>
          <cell r="AO158">
            <v>65.290000000000006</v>
          </cell>
        </row>
        <row r="159">
          <cell r="AO159">
            <v>0</v>
          </cell>
        </row>
        <row r="160">
          <cell r="AO160">
            <v>65.290000000000006</v>
          </cell>
        </row>
        <row r="161">
          <cell r="B161" t="str">
            <v>NATIONAL 12P-160</v>
          </cell>
          <cell r="C161" t="str">
            <v>6,5</v>
          </cell>
          <cell r="D161">
            <v>12</v>
          </cell>
          <cell r="F161">
            <v>97</v>
          </cell>
          <cell r="G161">
            <v>0</v>
          </cell>
          <cell r="AO161" t="str">
            <v>G-SEAL PLUS</v>
          </cell>
        </row>
        <row r="162">
          <cell r="B162" t="str">
            <v>NATIONAL 12P-160</v>
          </cell>
          <cell r="C162" t="str">
            <v>6,5</v>
          </cell>
          <cell r="D162">
            <v>12</v>
          </cell>
          <cell r="F162">
            <v>97</v>
          </cell>
          <cell r="G162">
            <v>0</v>
          </cell>
          <cell r="AO162" t="str">
            <v>25. KG BG</v>
          </cell>
          <cell r="AQ162">
            <v>35</v>
          </cell>
        </row>
        <row r="163">
          <cell r="AO163">
            <v>0</v>
          </cell>
          <cell r="AQ163">
            <v>0</v>
          </cell>
        </row>
        <row r="164">
          <cell r="AO164">
            <v>35</v>
          </cell>
        </row>
        <row r="165">
          <cell r="AO165">
            <v>0</v>
          </cell>
        </row>
        <row r="166">
          <cell r="B166">
            <v>9</v>
          </cell>
          <cell r="AO166">
            <v>0</v>
          </cell>
        </row>
        <row r="167">
          <cell r="B167" t="str">
            <v xml:space="preserve"> pies, 5.5-plg DP</v>
          </cell>
          <cell r="AO167">
            <v>35</v>
          </cell>
        </row>
        <row r="168">
          <cell r="B168" t="str">
            <v>372 pies, 5.5-plg HWDP</v>
          </cell>
          <cell r="AO168">
            <v>178.41</v>
          </cell>
        </row>
        <row r="169">
          <cell r="B169" t="str">
            <v>65 pies, 8.-plg DC</v>
          </cell>
          <cell r="AO169">
            <v>0</v>
          </cell>
        </row>
        <row r="170">
          <cell r="B170" t="str">
            <v>34 pies, 8.-plg JAR</v>
          </cell>
          <cell r="AO170">
            <v>178.41</v>
          </cell>
        </row>
        <row r="171">
          <cell r="B171" t="str">
            <v>96 pies, 8.-plg DC</v>
          </cell>
          <cell r="AO171" t="str">
            <v>CALCIUM CARBONATE #6</v>
          </cell>
        </row>
        <row r="172">
          <cell r="B172" t="str">
            <v>31 pies, 9.5-plg DC</v>
          </cell>
          <cell r="AO172" t="str">
            <v>50. LB BG</v>
          </cell>
          <cell r="AQ172">
            <v>112</v>
          </cell>
        </row>
        <row r="173">
          <cell r="B173" t="str">
            <v>30.-plg @563 pies (563 TVD)</v>
          </cell>
          <cell r="D173">
            <v>0</v>
          </cell>
          <cell r="AO173">
            <v>0</v>
          </cell>
          <cell r="AQ173">
            <v>0</v>
          </cell>
        </row>
        <row r="174">
          <cell r="B174">
            <v>0</v>
          </cell>
          <cell r="D174">
            <v>0</v>
          </cell>
          <cell r="AO174">
            <v>112</v>
          </cell>
        </row>
        <row r="175">
          <cell r="B175">
            <v>0</v>
          </cell>
          <cell r="D175">
            <v>0</v>
          </cell>
          <cell r="AO175">
            <v>0</v>
          </cell>
        </row>
        <row r="176">
          <cell r="B176">
            <v>0</v>
          </cell>
          <cell r="D176">
            <v>0</v>
          </cell>
          <cell r="AO176">
            <v>0</v>
          </cell>
        </row>
        <row r="177">
          <cell r="B177">
            <v>429</v>
          </cell>
          <cell r="AO177">
            <v>112</v>
          </cell>
        </row>
        <row r="178">
          <cell r="B178">
            <v>0</v>
          </cell>
          <cell r="AO178">
            <v>18.45</v>
          </cell>
        </row>
        <row r="179">
          <cell r="B179">
            <v>0</v>
          </cell>
          <cell r="AO179">
            <v>0</v>
          </cell>
        </row>
        <row r="180">
          <cell r="AO180">
            <v>18.45</v>
          </cell>
        </row>
        <row r="181">
          <cell r="AO181" t="str">
            <v>DUO-VIS</v>
          </cell>
        </row>
        <row r="182">
          <cell r="B182">
            <v>5.016</v>
          </cell>
          <cell r="AO182" t="str">
            <v>25. KG BG</v>
          </cell>
          <cell r="AQ182">
            <v>58</v>
          </cell>
        </row>
        <row r="183">
          <cell r="B183">
            <v>5.016</v>
          </cell>
          <cell r="AO183">
            <v>5</v>
          </cell>
          <cell r="AQ183">
            <v>0</v>
          </cell>
        </row>
        <row r="184">
          <cell r="AO184">
            <v>56</v>
          </cell>
        </row>
        <row r="185">
          <cell r="AO185">
            <v>0</v>
          </cell>
        </row>
        <row r="186">
          <cell r="B186">
            <v>0</v>
          </cell>
          <cell r="AO186">
            <v>0</v>
          </cell>
        </row>
        <row r="187">
          <cell r="B187">
            <v>0</v>
          </cell>
          <cell r="AO187">
            <v>51</v>
          </cell>
        </row>
        <row r="188">
          <cell r="AO188">
            <v>550.12</v>
          </cell>
        </row>
        <row r="189">
          <cell r="AO189">
            <v>7</v>
          </cell>
        </row>
        <row r="190">
          <cell r="AO190">
            <v>550.12</v>
          </cell>
        </row>
        <row r="202">
          <cell r="C202" t="str">
            <v>0,/ 0,</v>
          </cell>
        </row>
        <row r="203">
          <cell r="C203" t="str">
            <v>0,/ 0,</v>
          </cell>
        </row>
        <row r="204">
          <cell r="C204" t="str">
            <v>2,3/ 20,6</v>
          </cell>
        </row>
        <row r="205">
          <cell r="C205" t="str">
            <v>2,2/ 20,</v>
          </cell>
        </row>
        <row r="206">
          <cell r="C206" t="str">
            <v>0,/ 0,</v>
          </cell>
        </row>
        <row r="207">
          <cell r="C207" t="str">
            <v>1,9/ 28,9</v>
          </cell>
        </row>
        <row r="208">
          <cell r="C208" t="str">
            <v xml:space="preserve"> -  /  0,6</v>
          </cell>
        </row>
        <row r="209">
          <cell r="C209" t="str">
            <v>-0,0019</v>
          </cell>
        </row>
        <row r="210">
          <cell r="C210" t="str">
            <v>3,2</v>
          </cell>
          <cell r="BH210">
            <v>1418</v>
          </cell>
        </row>
        <row r="213">
          <cell r="BG213" t="str">
            <v>Base Oil</v>
          </cell>
        </row>
        <row r="214">
          <cell r="BG214" t="str">
            <v>Brine</v>
          </cell>
        </row>
        <row r="215">
          <cell r="BG215" t="str">
            <v>Hole</v>
          </cell>
        </row>
        <row r="220">
          <cell r="B220" t="str">
            <v>DERRICK SHEKER 1</v>
          </cell>
          <cell r="C220" t="str">
            <v>2X100 - 2X140</v>
          </cell>
          <cell r="D220">
            <v>0</v>
          </cell>
          <cell r="G220">
            <v>0</v>
          </cell>
          <cell r="H220">
            <v>0</v>
          </cell>
          <cell r="I220">
            <v>0</v>
          </cell>
        </row>
        <row r="221">
          <cell r="B221" t="str">
            <v>DERRICK SHAKER 2</v>
          </cell>
          <cell r="C221" t="str">
            <v>2X100 - 2X140</v>
          </cell>
          <cell r="D221">
            <v>0</v>
          </cell>
        </row>
        <row r="222">
          <cell r="B222" t="str">
            <v>DERRICK SHAKER 3</v>
          </cell>
          <cell r="C222" t="str">
            <v>2X100 - 2X140</v>
          </cell>
          <cell r="D222">
            <v>0</v>
          </cell>
        </row>
        <row r="223">
          <cell r="B223" t="str">
            <v>MOD 312 / 10T2 w/o pump</v>
          </cell>
          <cell r="C223" t="str">
            <v>4 X 200</v>
          </cell>
          <cell r="D223">
            <v>0</v>
          </cell>
        </row>
        <row r="224">
          <cell r="B224">
            <v>0</v>
          </cell>
          <cell r="C224">
            <v>0</v>
          </cell>
          <cell r="D224">
            <v>0</v>
          </cell>
        </row>
        <row r="225">
          <cell r="B225">
            <v>0</v>
          </cell>
          <cell r="C225">
            <v>0</v>
          </cell>
          <cell r="D225">
            <v>0</v>
          </cell>
        </row>
        <row r="226">
          <cell r="B226">
            <v>0</v>
          </cell>
          <cell r="C226">
            <v>0</v>
          </cell>
          <cell r="D226">
            <v>0</v>
          </cell>
        </row>
        <row r="227">
          <cell r="B227">
            <v>0</v>
          </cell>
          <cell r="C227">
            <v>0</v>
          </cell>
          <cell r="D227">
            <v>0</v>
          </cell>
        </row>
        <row r="228">
          <cell r="B228">
            <v>0</v>
          </cell>
          <cell r="C228">
            <v>0</v>
          </cell>
          <cell r="D228">
            <v>0</v>
          </cell>
        </row>
        <row r="229">
          <cell r="B229">
            <v>0</v>
          </cell>
          <cell r="C229">
            <v>0</v>
          </cell>
          <cell r="D229">
            <v>0</v>
          </cell>
        </row>
        <row r="243">
          <cell r="B243">
            <v>0</v>
          </cell>
        </row>
        <row r="244">
          <cell r="B244">
            <v>0</v>
          </cell>
        </row>
        <row r="245">
          <cell r="B245">
            <v>0</v>
          </cell>
        </row>
        <row r="246">
          <cell r="B246">
            <v>0</v>
          </cell>
        </row>
        <row r="247">
          <cell r="B247">
            <v>0</v>
          </cell>
        </row>
        <row r="248">
          <cell r="B248">
            <v>0</v>
          </cell>
        </row>
        <row r="249">
          <cell r="B249">
            <v>0</v>
          </cell>
        </row>
        <row r="250">
          <cell r="B250">
            <v>0</v>
          </cell>
        </row>
        <row r="251">
          <cell r="B251">
            <v>0</v>
          </cell>
        </row>
        <row r="252">
          <cell r="B252">
            <v>0</v>
          </cell>
        </row>
        <row r="253">
          <cell r="B253">
            <v>0</v>
          </cell>
        </row>
        <row r="261">
          <cell r="A261" t="str">
            <v>Shakers</v>
          </cell>
          <cell r="C261" t="str">
            <v>Pit Cleaning</v>
          </cell>
        </row>
        <row r="262">
          <cell r="A262" t="str">
            <v>Evaporation</v>
          </cell>
        </row>
        <row r="263">
          <cell r="A263" t="str">
            <v>Centrifuge</v>
          </cell>
        </row>
        <row r="264">
          <cell r="A264" t="str">
            <v>Formation</v>
          </cell>
        </row>
        <row r="265">
          <cell r="A265" t="str">
            <v>Left in Hole</v>
          </cell>
        </row>
        <row r="266">
          <cell r="A266" t="str">
            <v>Other</v>
          </cell>
        </row>
        <row r="267">
          <cell r="A267" t="str">
            <v>Discharged</v>
          </cell>
        </row>
        <row r="270">
          <cell r="B270" t="str">
            <v>Armado / Mantenimiento</v>
          </cell>
          <cell r="C270">
            <v>0</v>
          </cell>
        </row>
        <row r="271">
          <cell r="B271" t="str">
            <v>Perforación</v>
          </cell>
          <cell r="C271">
            <v>0</v>
          </cell>
        </row>
        <row r="272">
          <cell r="B272" t="str">
            <v>Viajes</v>
          </cell>
          <cell r="C272">
            <v>0</v>
          </cell>
        </row>
        <row r="273">
          <cell r="B273" t="str">
            <v>Tiempo No Productivo</v>
          </cell>
          <cell r="C273">
            <v>0</v>
          </cell>
        </row>
        <row r="274">
          <cell r="B274">
            <v>0</v>
          </cell>
          <cell r="C274">
            <v>0</v>
          </cell>
        </row>
        <row r="275">
          <cell r="B275">
            <v>0</v>
          </cell>
          <cell r="C275">
            <v>0</v>
          </cell>
        </row>
        <row r="276">
          <cell r="B276">
            <v>0</v>
          </cell>
          <cell r="C276">
            <v>0</v>
          </cell>
        </row>
        <row r="277">
          <cell r="B277">
            <v>0</v>
          </cell>
          <cell r="C277">
            <v>0</v>
          </cell>
        </row>
        <row r="278">
          <cell r="B278">
            <v>0</v>
          </cell>
          <cell r="C278">
            <v>0</v>
          </cell>
        </row>
        <row r="279">
          <cell r="B279">
            <v>0</v>
          </cell>
          <cell r="C279">
            <v>0</v>
          </cell>
        </row>
        <row r="313">
          <cell r="B313" t="str">
            <v>ENGINEERING SERVICE</v>
          </cell>
          <cell r="C313" t="str">
            <v>1.  EA</v>
          </cell>
          <cell r="D313">
            <v>2</v>
          </cell>
        </row>
        <row r="314">
          <cell r="B314" t="str">
            <v>BENTONITE WYOMING</v>
          </cell>
          <cell r="C314" t="str">
            <v>100. LB BG</v>
          </cell>
          <cell r="D314">
            <v>1</v>
          </cell>
        </row>
        <row r="315">
          <cell r="B315" t="str">
            <v>DUO-VIS</v>
          </cell>
          <cell r="C315" t="str">
            <v>25. KG BG</v>
          </cell>
          <cell r="D315">
            <v>5</v>
          </cell>
        </row>
        <row r="330">
          <cell r="B330">
            <v>0</v>
          </cell>
          <cell r="C330">
            <v>1419</v>
          </cell>
          <cell r="D330">
            <v>0</v>
          </cell>
          <cell r="E330">
            <v>1419</v>
          </cell>
        </row>
        <row r="331">
          <cell r="B331">
            <v>0</v>
          </cell>
          <cell r="C331">
            <v>0</v>
          </cell>
          <cell r="D331">
            <v>0</v>
          </cell>
          <cell r="E331">
            <v>0</v>
          </cell>
        </row>
        <row r="332">
          <cell r="B332">
            <v>0</v>
          </cell>
          <cell r="C332">
            <v>0</v>
          </cell>
          <cell r="D332">
            <v>0</v>
          </cell>
          <cell r="E332">
            <v>0</v>
          </cell>
        </row>
        <row r="333">
          <cell r="B333">
            <v>0</v>
          </cell>
          <cell r="C333">
            <v>0</v>
          </cell>
          <cell r="D333">
            <v>0</v>
          </cell>
          <cell r="E333">
            <v>0</v>
          </cell>
        </row>
        <row r="334">
          <cell r="B334">
            <v>0</v>
          </cell>
          <cell r="C334">
            <v>0</v>
          </cell>
          <cell r="D334">
            <v>0</v>
          </cell>
          <cell r="E334">
            <v>0</v>
          </cell>
        </row>
        <row r="335">
          <cell r="B335">
            <v>0</v>
          </cell>
          <cell r="C335">
            <v>0</v>
          </cell>
          <cell r="D335">
            <v>0</v>
          </cell>
          <cell r="E335">
            <v>0</v>
          </cell>
        </row>
        <row r="336">
          <cell r="B336">
            <v>0</v>
          </cell>
          <cell r="C336">
            <v>0</v>
          </cell>
          <cell r="D336">
            <v>0</v>
          </cell>
          <cell r="E336">
            <v>0</v>
          </cell>
        </row>
        <row r="337">
          <cell r="B337">
            <v>0</v>
          </cell>
          <cell r="C337">
            <v>0</v>
          </cell>
          <cell r="D337">
            <v>0</v>
          </cell>
          <cell r="E337">
            <v>0</v>
          </cell>
        </row>
        <row r="338">
          <cell r="C338">
            <v>0</v>
          </cell>
          <cell r="D338">
            <v>0</v>
          </cell>
        </row>
        <row r="339">
          <cell r="B339">
            <v>0</v>
          </cell>
          <cell r="D339">
            <v>0</v>
          </cell>
        </row>
        <row r="340">
          <cell r="B340">
            <v>0</v>
          </cell>
          <cell r="C340">
            <v>0</v>
          </cell>
        </row>
        <row r="341">
          <cell r="B341">
            <v>0</v>
          </cell>
          <cell r="C341">
            <v>0</v>
          </cell>
          <cell r="D341">
            <v>0</v>
          </cell>
          <cell r="E341">
            <v>0</v>
          </cell>
        </row>
        <row r="342">
          <cell r="B342">
            <v>0</v>
          </cell>
          <cell r="C342">
            <v>1419</v>
          </cell>
          <cell r="D342">
            <v>0</v>
          </cell>
          <cell r="E342">
            <v>1419</v>
          </cell>
        </row>
        <row r="382">
          <cell r="A382">
            <v>0</v>
          </cell>
          <cell r="B382">
            <v>0</v>
          </cell>
          <cell r="C382">
            <v>0</v>
          </cell>
          <cell r="D382">
            <v>0</v>
          </cell>
        </row>
        <row r="383">
          <cell r="A383">
            <v>0</v>
          </cell>
          <cell r="B383">
            <v>0</v>
          </cell>
          <cell r="C383">
            <v>0</v>
          </cell>
          <cell r="D383">
            <v>0</v>
          </cell>
        </row>
        <row r="384">
          <cell r="A384">
            <v>0</v>
          </cell>
          <cell r="B384">
            <v>0</v>
          </cell>
          <cell r="C384">
            <v>0</v>
          </cell>
          <cell r="D384">
            <v>0</v>
          </cell>
        </row>
        <row r="385">
          <cell r="A385">
            <v>0</v>
          </cell>
          <cell r="B385">
            <v>0</v>
          </cell>
          <cell r="C385">
            <v>0</v>
          </cell>
          <cell r="D385">
            <v>0</v>
          </cell>
        </row>
        <row r="404">
          <cell r="A404" t="str">
            <v>0,</v>
          </cell>
        </row>
        <row r="405">
          <cell r="A405" t="str">
            <v>0,</v>
          </cell>
        </row>
        <row r="406">
          <cell r="A406" t="str">
            <v>0,</v>
          </cell>
        </row>
        <row r="407">
          <cell r="A407" t="str">
            <v>0,</v>
          </cell>
        </row>
        <row r="408">
          <cell r="A408" t="str">
            <v>2,3</v>
          </cell>
        </row>
        <row r="409">
          <cell r="A409" t="str">
            <v>20,6</v>
          </cell>
        </row>
        <row r="410">
          <cell r="A410" t="str">
            <v>2,2</v>
          </cell>
        </row>
        <row r="411">
          <cell r="A411" t="str">
            <v>20,</v>
          </cell>
        </row>
        <row r="412">
          <cell r="A412" t="str">
            <v>0,</v>
          </cell>
        </row>
        <row r="423">
          <cell r="BN423">
            <v>586</v>
          </cell>
        </row>
        <row r="424">
          <cell r="BN424">
            <v>40</v>
          </cell>
        </row>
        <row r="425">
          <cell r="BN425">
            <v>40</v>
          </cell>
        </row>
        <row r="426">
          <cell r="BN426">
            <v>512</v>
          </cell>
        </row>
        <row r="427">
          <cell r="BN427">
            <v>586</v>
          </cell>
        </row>
        <row r="428">
          <cell r="BN428">
            <v>75</v>
          </cell>
        </row>
        <row r="429">
          <cell r="BN429">
            <v>170</v>
          </cell>
        </row>
        <row r="550">
          <cell r="B550">
            <v>0</v>
          </cell>
          <cell r="C550">
            <v>0</v>
          </cell>
          <cell r="D550">
            <v>0</v>
          </cell>
          <cell r="E550">
            <v>0</v>
          </cell>
          <cell r="F550">
            <v>0</v>
          </cell>
          <cell r="G550">
            <v>0</v>
          </cell>
          <cell r="H550">
            <v>0</v>
          </cell>
          <cell r="I550">
            <v>0</v>
          </cell>
          <cell r="J550">
            <v>0</v>
          </cell>
          <cell r="K550">
            <v>0</v>
          </cell>
          <cell r="L550">
            <v>0</v>
          </cell>
          <cell r="M550">
            <v>0</v>
          </cell>
          <cell r="N550" t="str">
            <v>Derrick 100</v>
          </cell>
        </row>
        <row r="551">
          <cell r="B551">
            <v>0</v>
          </cell>
          <cell r="C551">
            <v>0</v>
          </cell>
          <cell r="D551">
            <v>0</v>
          </cell>
          <cell r="E551">
            <v>0</v>
          </cell>
          <cell r="F551">
            <v>0</v>
          </cell>
          <cell r="G551">
            <v>0</v>
          </cell>
          <cell r="H551">
            <v>0</v>
          </cell>
          <cell r="I551">
            <v>0</v>
          </cell>
          <cell r="J551">
            <v>0</v>
          </cell>
          <cell r="K551">
            <v>0</v>
          </cell>
          <cell r="L551">
            <v>0</v>
          </cell>
          <cell r="M551">
            <v>0</v>
          </cell>
          <cell r="N551">
            <v>0</v>
          </cell>
        </row>
        <row r="552">
          <cell r="B552">
            <v>0</v>
          </cell>
          <cell r="C552">
            <v>0</v>
          </cell>
          <cell r="D552">
            <v>0</v>
          </cell>
          <cell r="E552">
            <v>0</v>
          </cell>
          <cell r="F552">
            <v>0</v>
          </cell>
          <cell r="G552">
            <v>0</v>
          </cell>
          <cell r="H552">
            <v>0</v>
          </cell>
          <cell r="I552">
            <v>0</v>
          </cell>
          <cell r="J552">
            <v>0</v>
          </cell>
          <cell r="K552">
            <v>0</v>
          </cell>
          <cell r="L552">
            <v>0</v>
          </cell>
          <cell r="M552">
            <v>0</v>
          </cell>
          <cell r="N552">
            <v>0</v>
          </cell>
        </row>
        <row r="553">
          <cell r="B553">
            <v>0</v>
          </cell>
          <cell r="C553">
            <v>0</v>
          </cell>
          <cell r="D553">
            <v>0</v>
          </cell>
          <cell r="E553">
            <v>0</v>
          </cell>
          <cell r="F553">
            <v>0</v>
          </cell>
          <cell r="G553">
            <v>0</v>
          </cell>
          <cell r="H553">
            <v>0</v>
          </cell>
          <cell r="I553">
            <v>0</v>
          </cell>
          <cell r="J553">
            <v>0</v>
          </cell>
          <cell r="K553">
            <v>0</v>
          </cell>
          <cell r="L553">
            <v>0</v>
          </cell>
          <cell r="M553">
            <v>0</v>
          </cell>
          <cell r="N553">
            <v>0</v>
          </cell>
        </row>
        <row r="554">
          <cell r="B554">
            <v>0</v>
          </cell>
          <cell r="C554">
            <v>0</v>
          </cell>
          <cell r="D554">
            <v>0</v>
          </cell>
          <cell r="E554">
            <v>0</v>
          </cell>
          <cell r="F554">
            <v>0</v>
          </cell>
          <cell r="G554">
            <v>0</v>
          </cell>
          <cell r="H554">
            <v>0</v>
          </cell>
          <cell r="I554">
            <v>0</v>
          </cell>
          <cell r="J554">
            <v>0</v>
          </cell>
          <cell r="K554">
            <v>0</v>
          </cell>
          <cell r="L554">
            <v>0</v>
          </cell>
          <cell r="M554">
            <v>0</v>
          </cell>
          <cell r="N554">
            <v>0</v>
          </cell>
        </row>
        <row r="555">
          <cell r="B555">
            <v>0</v>
          </cell>
          <cell r="C555">
            <v>0</v>
          </cell>
          <cell r="D555">
            <v>0</v>
          </cell>
          <cell r="E555">
            <v>0</v>
          </cell>
          <cell r="F555">
            <v>0</v>
          </cell>
          <cell r="G555">
            <v>0</v>
          </cell>
          <cell r="H555">
            <v>0</v>
          </cell>
          <cell r="I555">
            <v>0</v>
          </cell>
          <cell r="J555">
            <v>0</v>
          </cell>
          <cell r="K555">
            <v>0</v>
          </cell>
          <cell r="L555">
            <v>0</v>
          </cell>
          <cell r="M555">
            <v>0</v>
          </cell>
          <cell r="N555">
            <v>0</v>
          </cell>
        </row>
        <row r="556">
          <cell r="B556">
            <v>0</v>
          </cell>
          <cell r="C556">
            <v>0</v>
          </cell>
          <cell r="D556">
            <v>0</v>
          </cell>
          <cell r="E556">
            <v>0</v>
          </cell>
          <cell r="F556">
            <v>0</v>
          </cell>
          <cell r="G556">
            <v>0</v>
          </cell>
          <cell r="H556">
            <v>0</v>
          </cell>
          <cell r="I556">
            <v>0</v>
          </cell>
          <cell r="J556">
            <v>0</v>
          </cell>
          <cell r="K556">
            <v>0</v>
          </cell>
          <cell r="L556">
            <v>0</v>
          </cell>
          <cell r="M556">
            <v>0</v>
          </cell>
          <cell r="N556">
            <v>0</v>
          </cell>
        </row>
        <row r="557">
          <cell r="B557">
            <v>0</v>
          </cell>
          <cell r="C557">
            <v>0</v>
          </cell>
          <cell r="D557">
            <v>0</v>
          </cell>
          <cell r="E557">
            <v>0</v>
          </cell>
          <cell r="F557">
            <v>0</v>
          </cell>
          <cell r="G557">
            <v>0</v>
          </cell>
          <cell r="H557">
            <v>0</v>
          </cell>
          <cell r="I557">
            <v>0</v>
          </cell>
          <cell r="J557">
            <v>0</v>
          </cell>
          <cell r="K557">
            <v>0</v>
          </cell>
          <cell r="L557">
            <v>0</v>
          </cell>
          <cell r="M557">
            <v>0</v>
          </cell>
          <cell r="N557">
            <v>0</v>
          </cell>
        </row>
        <row r="558">
          <cell r="B558">
            <v>0</v>
          </cell>
          <cell r="C558">
            <v>0</v>
          </cell>
          <cell r="D558">
            <v>0</v>
          </cell>
          <cell r="E558">
            <v>0</v>
          </cell>
          <cell r="F558">
            <v>0</v>
          </cell>
          <cell r="G558">
            <v>0</v>
          </cell>
          <cell r="H558">
            <v>0</v>
          </cell>
          <cell r="I558">
            <v>0</v>
          </cell>
          <cell r="J558">
            <v>0</v>
          </cell>
          <cell r="K558">
            <v>0</v>
          </cell>
          <cell r="L558">
            <v>0</v>
          </cell>
          <cell r="M558">
            <v>0</v>
          </cell>
          <cell r="N558">
            <v>0</v>
          </cell>
        </row>
        <row r="559">
          <cell r="B559">
            <v>0</v>
          </cell>
          <cell r="C559">
            <v>0</v>
          </cell>
          <cell r="D559">
            <v>0</v>
          </cell>
          <cell r="E559">
            <v>0</v>
          </cell>
          <cell r="F559">
            <v>0</v>
          </cell>
          <cell r="G559">
            <v>0</v>
          </cell>
          <cell r="H559">
            <v>0</v>
          </cell>
          <cell r="I559">
            <v>0</v>
          </cell>
          <cell r="J559">
            <v>0</v>
          </cell>
          <cell r="K559">
            <v>0</v>
          </cell>
          <cell r="L559">
            <v>0</v>
          </cell>
          <cell r="M559">
            <v>0</v>
          </cell>
          <cell r="N559">
            <v>0</v>
          </cell>
        </row>
        <row r="560">
          <cell r="B560">
            <v>0</v>
          </cell>
          <cell r="C560">
            <v>0</v>
          </cell>
          <cell r="D560">
            <v>0</v>
          </cell>
          <cell r="E560">
            <v>0</v>
          </cell>
          <cell r="F560">
            <v>0</v>
          </cell>
          <cell r="G560">
            <v>0</v>
          </cell>
          <cell r="H560">
            <v>0</v>
          </cell>
          <cell r="I560">
            <v>0</v>
          </cell>
          <cell r="J560">
            <v>0</v>
          </cell>
          <cell r="K560">
            <v>0</v>
          </cell>
          <cell r="L560">
            <v>0</v>
          </cell>
          <cell r="M560">
            <v>0</v>
          </cell>
          <cell r="N560">
            <v>0</v>
          </cell>
        </row>
        <row r="561">
          <cell r="B561">
            <v>0</v>
          </cell>
          <cell r="C561">
            <v>0</v>
          </cell>
          <cell r="D561">
            <v>0</v>
          </cell>
          <cell r="E561">
            <v>0</v>
          </cell>
          <cell r="F561">
            <v>0</v>
          </cell>
          <cell r="G561">
            <v>0</v>
          </cell>
          <cell r="H561">
            <v>0</v>
          </cell>
          <cell r="I561">
            <v>0</v>
          </cell>
          <cell r="J561">
            <v>0</v>
          </cell>
          <cell r="K561">
            <v>0</v>
          </cell>
          <cell r="L561">
            <v>0</v>
          </cell>
          <cell r="M561">
            <v>0</v>
          </cell>
          <cell r="N561">
            <v>0</v>
          </cell>
        </row>
        <row r="562">
          <cell r="B562">
            <v>0</v>
          </cell>
          <cell r="C562">
            <v>0</v>
          </cell>
          <cell r="D562">
            <v>0</v>
          </cell>
          <cell r="E562">
            <v>0</v>
          </cell>
          <cell r="F562">
            <v>0</v>
          </cell>
          <cell r="G562">
            <v>0</v>
          </cell>
          <cell r="H562">
            <v>0</v>
          </cell>
          <cell r="I562">
            <v>0</v>
          </cell>
          <cell r="J562">
            <v>0</v>
          </cell>
          <cell r="K562">
            <v>0</v>
          </cell>
          <cell r="L562">
            <v>0</v>
          </cell>
          <cell r="N562">
            <v>0</v>
          </cell>
        </row>
        <row r="563">
          <cell r="B563">
            <v>0</v>
          </cell>
          <cell r="C563">
            <v>0</v>
          </cell>
          <cell r="D563">
            <v>0</v>
          </cell>
          <cell r="E563">
            <v>0</v>
          </cell>
          <cell r="F563">
            <v>0</v>
          </cell>
          <cell r="G563">
            <v>0</v>
          </cell>
          <cell r="H563">
            <v>0</v>
          </cell>
          <cell r="I563">
            <v>0</v>
          </cell>
          <cell r="J563">
            <v>0</v>
          </cell>
          <cell r="K563">
            <v>0</v>
          </cell>
          <cell r="L563">
            <v>0</v>
          </cell>
          <cell r="M563">
            <v>0</v>
          </cell>
          <cell r="N563">
            <v>0</v>
          </cell>
        </row>
        <row r="564">
          <cell r="B564">
            <v>0</v>
          </cell>
          <cell r="C564">
            <v>0</v>
          </cell>
          <cell r="D564">
            <v>0</v>
          </cell>
          <cell r="E564">
            <v>0</v>
          </cell>
          <cell r="F564">
            <v>0</v>
          </cell>
          <cell r="G564">
            <v>0</v>
          </cell>
          <cell r="H564">
            <v>0</v>
          </cell>
          <cell r="I564">
            <v>0</v>
          </cell>
          <cell r="J564">
            <v>0</v>
          </cell>
          <cell r="K564">
            <v>0</v>
          </cell>
          <cell r="L564">
            <v>0</v>
          </cell>
          <cell r="M564">
            <v>0</v>
          </cell>
          <cell r="N564">
            <v>0</v>
          </cell>
        </row>
        <row r="565">
          <cell r="B565">
            <v>0</v>
          </cell>
          <cell r="C565">
            <v>0</v>
          </cell>
          <cell r="D565">
            <v>0</v>
          </cell>
          <cell r="E565">
            <v>0</v>
          </cell>
          <cell r="F565">
            <v>0</v>
          </cell>
          <cell r="G565">
            <v>0</v>
          </cell>
          <cell r="H565">
            <v>0</v>
          </cell>
          <cell r="I565">
            <v>0</v>
          </cell>
          <cell r="J565">
            <v>0</v>
          </cell>
          <cell r="K565">
            <v>0</v>
          </cell>
          <cell r="L565">
            <v>0</v>
          </cell>
          <cell r="M565">
            <v>0</v>
          </cell>
          <cell r="N565">
            <v>0</v>
          </cell>
        </row>
        <row r="566">
          <cell r="B566">
            <v>0</v>
          </cell>
          <cell r="C566">
            <v>0</v>
          </cell>
          <cell r="D566">
            <v>0</v>
          </cell>
          <cell r="E566">
            <v>0</v>
          </cell>
          <cell r="F566">
            <v>0</v>
          </cell>
          <cell r="G566">
            <v>0</v>
          </cell>
          <cell r="H566">
            <v>0</v>
          </cell>
          <cell r="I566">
            <v>0</v>
          </cell>
          <cell r="J566">
            <v>0</v>
          </cell>
          <cell r="K566">
            <v>0</v>
          </cell>
          <cell r="L566">
            <v>0</v>
          </cell>
          <cell r="M566">
            <v>0</v>
          </cell>
          <cell r="N566">
            <v>0</v>
          </cell>
        </row>
        <row r="567">
          <cell r="B567">
            <v>0</v>
          </cell>
          <cell r="C567">
            <v>0</v>
          </cell>
          <cell r="D567">
            <v>0</v>
          </cell>
          <cell r="E567">
            <v>0</v>
          </cell>
          <cell r="F567">
            <v>0</v>
          </cell>
          <cell r="G567">
            <v>0</v>
          </cell>
          <cell r="H567">
            <v>0</v>
          </cell>
          <cell r="I567">
            <v>0</v>
          </cell>
          <cell r="J567">
            <v>0</v>
          </cell>
          <cell r="K567">
            <v>0</v>
          </cell>
          <cell r="L567">
            <v>0</v>
          </cell>
          <cell r="M567">
            <v>0</v>
          </cell>
          <cell r="N567">
            <v>0</v>
          </cell>
        </row>
        <row r="568">
          <cell r="B568">
            <v>0</v>
          </cell>
          <cell r="C568">
            <v>0</v>
          </cell>
          <cell r="D568">
            <v>0</v>
          </cell>
          <cell r="E568">
            <v>0</v>
          </cell>
          <cell r="F568">
            <v>0</v>
          </cell>
          <cell r="G568">
            <v>0</v>
          </cell>
          <cell r="H568">
            <v>0</v>
          </cell>
          <cell r="I568">
            <v>0</v>
          </cell>
          <cell r="J568">
            <v>0</v>
          </cell>
          <cell r="K568">
            <v>0</v>
          </cell>
          <cell r="L568">
            <v>0</v>
          </cell>
          <cell r="M568">
            <v>0</v>
          </cell>
          <cell r="N568">
            <v>0</v>
          </cell>
        </row>
        <row r="569">
          <cell r="B569">
            <v>0</v>
          </cell>
          <cell r="C569">
            <v>0</v>
          </cell>
          <cell r="D569">
            <v>0</v>
          </cell>
          <cell r="E569">
            <v>0</v>
          </cell>
          <cell r="F569">
            <v>0</v>
          </cell>
          <cell r="G569">
            <v>0</v>
          </cell>
          <cell r="H569">
            <v>0</v>
          </cell>
          <cell r="I569">
            <v>0</v>
          </cell>
          <cell r="J569">
            <v>0</v>
          </cell>
          <cell r="K569">
            <v>0</v>
          </cell>
          <cell r="L569">
            <v>0</v>
          </cell>
          <cell r="M569">
            <v>0</v>
          </cell>
          <cell r="N569">
            <v>0</v>
          </cell>
        </row>
        <row r="570">
          <cell r="B570">
            <v>0</v>
          </cell>
          <cell r="C570">
            <v>0</v>
          </cell>
          <cell r="D570">
            <v>0</v>
          </cell>
          <cell r="E570">
            <v>0</v>
          </cell>
          <cell r="F570">
            <v>0</v>
          </cell>
          <cell r="G570">
            <v>0</v>
          </cell>
          <cell r="H570">
            <v>0</v>
          </cell>
          <cell r="I570">
            <v>0</v>
          </cell>
          <cell r="J570">
            <v>0</v>
          </cell>
          <cell r="K570">
            <v>0</v>
          </cell>
          <cell r="L570">
            <v>0</v>
          </cell>
          <cell r="M570">
            <v>0</v>
          </cell>
          <cell r="N570">
            <v>0</v>
          </cell>
        </row>
        <row r="571">
          <cell r="B571">
            <v>0</v>
          </cell>
          <cell r="C571">
            <v>0</v>
          </cell>
          <cell r="D571">
            <v>0</v>
          </cell>
          <cell r="E571">
            <v>0</v>
          </cell>
          <cell r="F571">
            <v>0</v>
          </cell>
          <cell r="G571">
            <v>0</v>
          </cell>
          <cell r="H571">
            <v>0</v>
          </cell>
          <cell r="I571">
            <v>0</v>
          </cell>
          <cell r="J571">
            <v>0</v>
          </cell>
          <cell r="K571">
            <v>0</v>
          </cell>
          <cell r="L571">
            <v>0</v>
          </cell>
          <cell r="M571">
            <v>0</v>
          </cell>
          <cell r="N571">
            <v>0</v>
          </cell>
        </row>
        <row r="572">
          <cell r="B572">
            <v>0</v>
          </cell>
          <cell r="C572">
            <v>0</v>
          </cell>
          <cell r="D572">
            <v>0</v>
          </cell>
          <cell r="E572">
            <v>0</v>
          </cell>
          <cell r="F572">
            <v>0</v>
          </cell>
          <cell r="G572">
            <v>0</v>
          </cell>
          <cell r="H572">
            <v>0</v>
          </cell>
          <cell r="I572">
            <v>0</v>
          </cell>
          <cell r="J572">
            <v>0</v>
          </cell>
          <cell r="K572">
            <v>0</v>
          </cell>
          <cell r="L572">
            <v>0</v>
          </cell>
          <cell r="M572">
            <v>0</v>
          </cell>
          <cell r="N572">
            <v>0</v>
          </cell>
        </row>
        <row r="573">
          <cell r="B573">
            <v>0</v>
          </cell>
          <cell r="C573">
            <v>0</v>
          </cell>
          <cell r="D573">
            <v>0</v>
          </cell>
          <cell r="E573">
            <v>0</v>
          </cell>
          <cell r="F573">
            <v>0</v>
          </cell>
          <cell r="G573">
            <v>0</v>
          </cell>
          <cell r="H573">
            <v>0</v>
          </cell>
          <cell r="I573">
            <v>0</v>
          </cell>
          <cell r="J573">
            <v>0</v>
          </cell>
          <cell r="K573">
            <v>0</v>
          </cell>
          <cell r="L573">
            <v>0</v>
          </cell>
          <cell r="M573">
            <v>0</v>
          </cell>
          <cell r="N573">
            <v>0</v>
          </cell>
        </row>
        <row r="574">
          <cell r="B574">
            <v>0</v>
          </cell>
          <cell r="C574">
            <v>0</v>
          </cell>
          <cell r="D574">
            <v>0</v>
          </cell>
          <cell r="E574">
            <v>0</v>
          </cell>
          <cell r="F574">
            <v>0</v>
          </cell>
          <cell r="G574">
            <v>0</v>
          </cell>
          <cell r="H574">
            <v>0</v>
          </cell>
          <cell r="I574">
            <v>0</v>
          </cell>
          <cell r="J574">
            <v>0</v>
          </cell>
          <cell r="K574">
            <v>0</v>
          </cell>
          <cell r="L574">
            <v>0</v>
          </cell>
          <cell r="M574">
            <v>0</v>
          </cell>
          <cell r="N574">
            <v>0</v>
          </cell>
        </row>
        <row r="575">
          <cell r="B575">
            <v>0</v>
          </cell>
          <cell r="C575">
            <v>0</v>
          </cell>
          <cell r="D575">
            <v>0</v>
          </cell>
          <cell r="E575">
            <v>0</v>
          </cell>
          <cell r="F575">
            <v>0</v>
          </cell>
          <cell r="G575">
            <v>0</v>
          </cell>
          <cell r="H575">
            <v>0</v>
          </cell>
          <cell r="I575">
            <v>0</v>
          </cell>
          <cell r="J575">
            <v>0</v>
          </cell>
          <cell r="K575">
            <v>0</v>
          </cell>
          <cell r="L575">
            <v>0</v>
          </cell>
          <cell r="M575">
            <v>0</v>
          </cell>
          <cell r="N575">
            <v>0</v>
          </cell>
        </row>
        <row r="576">
          <cell r="B576">
            <v>0</v>
          </cell>
          <cell r="C576">
            <v>0</v>
          </cell>
          <cell r="D576">
            <v>0</v>
          </cell>
          <cell r="E576">
            <v>0</v>
          </cell>
          <cell r="F576">
            <v>0</v>
          </cell>
          <cell r="G576">
            <v>0</v>
          </cell>
          <cell r="H576">
            <v>0</v>
          </cell>
          <cell r="I576">
            <v>0</v>
          </cell>
          <cell r="J576">
            <v>0</v>
          </cell>
          <cell r="K576">
            <v>0</v>
          </cell>
          <cell r="L576">
            <v>0</v>
          </cell>
          <cell r="M576">
            <v>0</v>
          </cell>
          <cell r="N576">
            <v>0</v>
          </cell>
        </row>
        <row r="577">
          <cell r="B577">
            <v>0</v>
          </cell>
          <cell r="C577">
            <v>0</v>
          </cell>
          <cell r="D577">
            <v>0</v>
          </cell>
          <cell r="E577">
            <v>0</v>
          </cell>
          <cell r="F577">
            <v>0</v>
          </cell>
          <cell r="G577">
            <v>0</v>
          </cell>
          <cell r="H577">
            <v>0</v>
          </cell>
          <cell r="I577">
            <v>0</v>
          </cell>
          <cell r="J577">
            <v>0</v>
          </cell>
          <cell r="K577">
            <v>0</v>
          </cell>
          <cell r="L577">
            <v>0</v>
          </cell>
          <cell r="M577">
            <v>0</v>
          </cell>
          <cell r="N577">
            <v>0</v>
          </cell>
        </row>
        <row r="578">
          <cell r="B578">
            <v>0</v>
          </cell>
          <cell r="C578">
            <v>0</v>
          </cell>
          <cell r="D578">
            <v>0</v>
          </cell>
          <cell r="E578">
            <v>0</v>
          </cell>
          <cell r="F578">
            <v>0</v>
          </cell>
          <cell r="G578">
            <v>0</v>
          </cell>
          <cell r="H578">
            <v>0</v>
          </cell>
          <cell r="I578">
            <v>0</v>
          </cell>
          <cell r="J578">
            <v>0</v>
          </cell>
          <cell r="K578">
            <v>0</v>
          </cell>
          <cell r="L578">
            <v>0</v>
          </cell>
          <cell r="M578">
            <v>0</v>
          </cell>
          <cell r="N578">
            <v>0</v>
          </cell>
        </row>
        <row r="579">
          <cell r="B579">
            <v>0</v>
          </cell>
          <cell r="C579">
            <v>0</v>
          </cell>
          <cell r="D579">
            <v>0</v>
          </cell>
          <cell r="E579">
            <v>0</v>
          </cell>
          <cell r="F579">
            <v>0</v>
          </cell>
          <cell r="G579">
            <v>0</v>
          </cell>
          <cell r="H579">
            <v>0</v>
          </cell>
          <cell r="I579">
            <v>0</v>
          </cell>
          <cell r="J579">
            <v>0</v>
          </cell>
          <cell r="K579">
            <v>0</v>
          </cell>
          <cell r="L579">
            <v>0</v>
          </cell>
          <cell r="M579">
            <v>0</v>
          </cell>
          <cell r="N579">
            <v>0</v>
          </cell>
        </row>
        <row r="981">
          <cell r="Z981">
            <v>68</v>
          </cell>
        </row>
        <row r="1201">
          <cell r="C1201">
            <v>1</v>
          </cell>
          <cell r="N1201">
            <v>28.72</v>
          </cell>
        </row>
        <row r="1202">
          <cell r="C1202">
            <v>0</v>
          </cell>
          <cell r="N1202">
            <v>18.45</v>
          </cell>
        </row>
        <row r="1203">
          <cell r="C1203">
            <v>0</v>
          </cell>
          <cell r="N1203">
            <v>113.32</v>
          </cell>
        </row>
        <row r="1204">
          <cell r="C1204">
            <v>0</v>
          </cell>
          <cell r="N1204">
            <v>64.72</v>
          </cell>
        </row>
        <row r="1205">
          <cell r="C1205">
            <v>0</v>
          </cell>
          <cell r="N1205">
            <v>69.67</v>
          </cell>
        </row>
        <row r="1206">
          <cell r="C1206">
            <v>0</v>
          </cell>
          <cell r="N1206">
            <v>322.20999999999998</v>
          </cell>
        </row>
        <row r="1207">
          <cell r="C1207">
            <v>0</v>
          </cell>
          <cell r="N1207">
            <v>550.12</v>
          </cell>
        </row>
        <row r="1208">
          <cell r="C1208">
            <v>5</v>
          </cell>
          <cell r="N1208">
            <v>550.12</v>
          </cell>
        </row>
        <row r="1209">
          <cell r="C1209">
            <v>2</v>
          </cell>
          <cell r="N1209">
            <v>1485</v>
          </cell>
        </row>
        <row r="1210">
          <cell r="C1210">
            <v>0</v>
          </cell>
          <cell r="N1210">
            <v>178.41</v>
          </cell>
        </row>
        <row r="1211">
          <cell r="C1211">
            <v>0</v>
          </cell>
          <cell r="N1211">
            <v>37.43</v>
          </cell>
        </row>
        <row r="1212">
          <cell r="C1212">
            <v>0</v>
          </cell>
          <cell r="N1212">
            <v>18.45</v>
          </cell>
        </row>
        <row r="1213">
          <cell r="C1213">
            <v>0</v>
          </cell>
          <cell r="N1213">
            <v>20.25</v>
          </cell>
        </row>
        <row r="1214">
          <cell r="C1214">
            <v>0</v>
          </cell>
          <cell r="N1214">
            <v>65.290000000000006</v>
          </cell>
        </row>
        <row r="1215">
          <cell r="C1215">
            <v>0</v>
          </cell>
          <cell r="N1215">
            <v>2385.02</v>
          </cell>
        </row>
        <row r="1216">
          <cell r="C1216">
            <v>0</v>
          </cell>
          <cell r="N1216">
            <v>184.5</v>
          </cell>
        </row>
        <row r="1217">
          <cell r="C1217">
            <v>0</v>
          </cell>
          <cell r="N1217">
            <v>55.51</v>
          </cell>
        </row>
        <row r="1218">
          <cell r="C1218">
            <v>0</v>
          </cell>
          <cell r="N1218">
            <v>52.87</v>
          </cell>
        </row>
        <row r="1219">
          <cell r="C1219">
            <v>0</v>
          </cell>
          <cell r="N1219">
            <v>119.83</v>
          </cell>
        </row>
        <row r="4701">
          <cell r="A4701" t="str">
            <v>BENTONITE WYOMING</v>
          </cell>
          <cell r="B4701" t="str">
            <v>100. LB BG</v>
          </cell>
          <cell r="C4701">
            <v>1</v>
          </cell>
          <cell r="D4701">
            <v>58</v>
          </cell>
          <cell r="E4701">
            <v>0</v>
          </cell>
          <cell r="F4701">
            <v>0</v>
          </cell>
          <cell r="G4701">
            <v>57</v>
          </cell>
          <cell r="H4701">
            <v>443</v>
          </cell>
          <cell r="J4701">
            <v>28.72</v>
          </cell>
          <cell r="K4701">
            <v>500</v>
          </cell>
          <cell r="L4701">
            <v>0</v>
          </cell>
          <cell r="N4701">
            <v>28.72</v>
          </cell>
          <cell r="P4701">
            <v>0</v>
          </cell>
          <cell r="R4701">
            <v>0</v>
          </cell>
        </row>
        <row r="4702">
          <cell r="A4702" t="str">
            <v>CALCIUM CARBONATE #6</v>
          </cell>
          <cell r="B4702" t="str">
            <v>50. LB BG</v>
          </cell>
          <cell r="C4702">
            <v>0</v>
          </cell>
          <cell r="D4702">
            <v>112</v>
          </cell>
          <cell r="E4702">
            <v>0</v>
          </cell>
          <cell r="F4702">
            <v>0</v>
          </cell>
          <cell r="G4702">
            <v>112</v>
          </cell>
          <cell r="H4702">
            <v>0</v>
          </cell>
          <cell r="J4702">
            <v>18.45</v>
          </cell>
          <cell r="K4702">
            <v>112</v>
          </cell>
          <cell r="L4702">
            <v>0</v>
          </cell>
          <cell r="N4702">
            <v>18.45</v>
          </cell>
          <cell r="P4702">
            <v>0</v>
          </cell>
          <cell r="R4702">
            <v>0</v>
          </cell>
        </row>
        <row r="4703">
          <cell r="A4703" t="str">
            <v>CAUSTIC POTASH (POTASSIUM HYDROXIDE - KOH)</v>
          </cell>
          <cell r="B4703" t="str">
            <v>25. KG BG</v>
          </cell>
          <cell r="C4703">
            <v>0</v>
          </cell>
          <cell r="D4703">
            <v>14</v>
          </cell>
          <cell r="E4703">
            <v>0</v>
          </cell>
          <cell r="F4703">
            <v>0</v>
          </cell>
          <cell r="G4703">
            <v>14</v>
          </cell>
          <cell r="H4703">
            <v>0</v>
          </cell>
          <cell r="J4703">
            <v>113.32</v>
          </cell>
          <cell r="K4703">
            <v>14</v>
          </cell>
          <cell r="L4703">
            <v>0</v>
          </cell>
          <cell r="N4703">
            <v>113.32</v>
          </cell>
          <cell r="P4703">
            <v>0</v>
          </cell>
          <cell r="R4703">
            <v>0</v>
          </cell>
        </row>
        <row r="4704">
          <cell r="A4704" t="str">
            <v>CAUSTIC SODA</v>
          </cell>
          <cell r="B4704" t="str">
            <v>25. KG BG</v>
          </cell>
          <cell r="C4704">
            <v>0</v>
          </cell>
          <cell r="D4704">
            <v>21</v>
          </cell>
          <cell r="E4704">
            <v>0</v>
          </cell>
          <cell r="F4704">
            <v>0</v>
          </cell>
          <cell r="G4704">
            <v>21</v>
          </cell>
          <cell r="H4704">
            <v>9</v>
          </cell>
          <cell r="J4704">
            <v>64.72</v>
          </cell>
          <cell r="K4704">
            <v>30</v>
          </cell>
          <cell r="L4704">
            <v>0</v>
          </cell>
          <cell r="N4704">
            <v>64.72</v>
          </cell>
          <cell r="P4704">
            <v>0</v>
          </cell>
          <cell r="R4704">
            <v>0</v>
          </cell>
        </row>
        <row r="4705">
          <cell r="A4705" t="str">
            <v>CELL-U-SEAL FINE</v>
          </cell>
          <cell r="B4705" t="str">
            <v>30. LB BG</v>
          </cell>
          <cell r="C4705">
            <v>0</v>
          </cell>
          <cell r="D4705">
            <v>114</v>
          </cell>
          <cell r="E4705">
            <v>0</v>
          </cell>
          <cell r="F4705">
            <v>0</v>
          </cell>
          <cell r="G4705">
            <v>114</v>
          </cell>
          <cell r="H4705">
            <v>0</v>
          </cell>
          <cell r="J4705">
            <v>69.67</v>
          </cell>
          <cell r="K4705">
            <v>114</v>
          </cell>
          <cell r="L4705">
            <v>0</v>
          </cell>
          <cell r="N4705">
            <v>69.67</v>
          </cell>
          <cell r="P4705">
            <v>0</v>
          </cell>
          <cell r="R4705">
            <v>0</v>
          </cell>
        </row>
        <row r="4706">
          <cell r="A4706" t="str">
            <v>DRIL-KLEEN</v>
          </cell>
          <cell r="B4706" t="str">
            <v>5. GA CN</v>
          </cell>
          <cell r="C4706">
            <v>0</v>
          </cell>
          <cell r="D4706">
            <v>45</v>
          </cell>
          <cell r="E4706">
            <v>0</v>
          </cell>
          <cell r="F4706">
            <v>0</v>
          </cell>
          <cell r="G4706">
            <v>45</v>
          </cell>
          <cell r="H4706">
            <v>0</v>
          </cell>
          <cell r="J4706">
            <v>322.20999999999998</v>
          </cell>
          <cell r="K4706">
            <v>45</v>
          </cell>
          <cell r="L4706">
            <v>0</v>
          </cell>
          <cell r="N4706">
            <v>322.20999999999998</v>
          </cell>
          <cell r="P4706">
            <v>0</v>
          </cell>
          <cell r="R4706">
            <v>0</v>
          </cell>
        </row>
        <row r="4707">
          <cell r="A4707" t="str">
            <v>DUO-VIS</v>
          </cell>
          <cell r="B4707" t="str">
            <v>50. LB BG</v>
          </cell>
          <cell r="C4707">
            <v>0</v>
          </cell>
          <cell r="D4707">
            <v>0</v>
          </cell>
          <cell r="E4707">
            <v>0</v>
          </cell>
          <cell r="F4707">
            <v>0</v>
          </cell>
          <cell r="G4707">
            <v>0</v>
          </cell>
          <cell r="H4707">
            <v>0</v>
          </cell>
          <cell r="J4707">
            <v>550.12</v>
          </cell>
          <cell r="K4707">
            <v>0</v>
          </cell>
          <cell r="L4707">
            <v>0</v>
          </cell>
          <cell r="N4707">
            <v>550.12</v>
          </cell>
          <cell r="P4707">
            <v>0</v>
          </cell>
          <cell r="R4707">
            <v>0</v>
          </cell>
        </row>
        <row r="4708">
          <cell r="A4708" t="str">
            <v>DUO-VIS</v>
          </cell>
          <cell r="B4708" t="str">
            <v>25. KG BG</v>
          </cell>
          <cell r="C4708">
            <v>5</v>
          </cell>
          <cell r="D4708">
            <v>56</v>
          </cell>
          <cell r="E4708">
            <v>0</v>
          </cell>
          <cell r="F4708">
            <v>0</v>
          </cell>
          <cell r="G4708">
            <v>51</v>
          </cell>
          <cell r="H4708">
            <v>7</v>
          </cell>
          <cell r="J4708">
            <v>550.12</v>
          </cell>
          <cell r="K4708">
            <v>58</v>
          </cell>
          <cell r="L4708">
            <v>0</v>
          </cell>
          <cell r="N4708">
            <v>550.12</v>
          </cell>
          <cell r="P4708">
            <v>0</v>
          </cell>
          <cell r="R4708">
            <v>0</v>
          </cell>
        </row>
        <row r="4709">
          <cell r="A4709" t="str">
            <v>ENGINEERING SERVICE</v>
          </cell>
          <cell r="B4709" t="str">
            <v>1.  EA</v>
          </cell>
          <cell r="C4709">
            <v>2</v>
          </cell>
          <cell r="D4709">
            <v>0</v>
          </cell>
          <cell r="E4709">
            <v>0</v>
          </cell>
          <cell r="F4709">
            <v>0</v>
          </cell>
          <cell r="G4709">
            <v>2</v>
          </cell>
          <cell r="H4709">
            <v>13</v>
          </cell>
          <cell r="J4709">
            <v>1485</v>
          </cell>
          <cell r="K4709">
            <v>0</v>
          </cell>
          <cell r="L4709">
            <v>0</v>
          </cell>
          <cell r="N4709">
            <v>1485</v>
          </cell>
          <cell r="P4709">
            <v>0</v>
          </cell>
          <cell r="R4709">
            <v>0</v>
          </cell>
        </row>
        <row r="4710">
          <cell r="A4710" t="str">
            <v>G-SEAL PLUS</v>
          </cell>
          <cell r="B4710" t="str">
            <v>25. KG BG</v>
          </cell>
          <cell r="C4710">
            <v>0</v>
          </cell>
          <cell r="D4710">
            <v>35</v>
          </cell>
          <cell r="E4710">
            <v>0</v>
          </cell>
          <cell r="F4710">
            <v>0</v>
          </cell>
          <cell r="G4710">
            <v>35</v>
          </cell>
          <cell r="H4710">
            <v>0</v>
          </cell>
          <cell r="J4710">
            <v>178.41</v>
          </cell>
          <cell r="K4710">
            <v>35</v>
          </cell>
          <cell r="L4710">
            <v>0</v>
          </cell>
          <cell r="N4710">
            <v>178.41</v>
          </cell>
          <cell r="P4710">
            <v>0</v>
          </cell>
          <cell r="R4710">
            <v>0</v>
          </cell>
        </row>
        <row r="4711">
          <cell r="A4711" t="str">
            <v>LIME</v>
          </cell>
          <cell r="B4711" t="str">
            <v>20. KG BG</v>
          </cell>
          <cell r="C4711">
            <v>0</v>
          </cell>
          <cell r="D4711">
            <v>39</v>
          </cell>
          <cell r="E4711">
            <v>0</v>
          </cell>
          <cell r="F4711">
            <v>0</v>
          </cell>
          <cell r="G4711">
            <v>39</v>
          </cell>
          <cell r="H4711">
            <v>0</v>
          </cell>
          <cell r="J4711">
            <v>37.43</v>
          </cell>
          <cell r="K4711">
            <v>39</v>
          </cell>
          <cell r="L4711">
            <v>0</v>
          </cell>
          <cell r="N4711">
            <v>37.43</v>
          </cell>
          <cell r="P4711">
            <v>0</v>
          </cell>
          <cell r="R4711">
            <v>0</v>
          </cell>
        </row>
        <row r="4712">
          <cell r="A4712" t="str">
            <v>LOWA TECH 70/75</v>
          </cell>
          <cell r="B4712" t="str">
            <v>50. LB BG</v>
          </cell>
          <cell r="C4712">
            <v>0</v>
          </cell>
          <cell r="D4712">
            <v>112</v>
          </cell>
          <cell r="E4712">
            <v>0</v>
          </cell>
          <cell r="F4712">
            <v>0</v>
          </cell>
          <cell r="G4712">
            <v>112</v>
          </cell>
          <cell r="H4712">
            <v>0</v>
          </cell>
          <cell r="J4712">
            <v>18.45</v>
          </cell>
          <cell r="K4712">
            <v>224</v>
          </cell>
          <cell r="L4712">
            <v>112</v>
          </cell>
          <cell r="N4712">
            <v>18.45</v>
          </cell>
          <cell r="P4712">
            <v>0</v>
          </cell>
          <cell r="R4712">
            <v>0</v>
          </cell>
        </row>
        <row r="4713">
          <cell r="A4713" t="str">
            <v>M-I BAR BULK</v>
          </cell>
          <cell r="B4713" t="str">
            <v>100. LB BG</v>
          </cell>
          <cell r="C4713">
            <v>0</v>
          </cell>
          <cell r="D4713">
            <v>1153</v>
          </cell>
          <cell r="E4713">
            <v>0</v>
          </cell>
          <cell r="F4713">
            <v>0</v>
          </cell>
          <cell r="G4713">
            <v>1153</v>
          </cell>
          <cell r="H4713">
            <v>2206</v>
          </cell>
          <cell r="J4713">
            <v>20.25</v>
          </cell>
          <cell r="K4713">
            <v>3359</v>
          </cell>
          <cell r="L4713">
            <v>0</v>
          </cell>
          <cell r="N4713">
            <v>20.25</v>
          </cell>
          <cell r="P4713">
            <v>0</v>
          </cell>
          <cell r="R4713">
            <v>0</v>
          </cell>
        </row>
        <row r="4714">
          <cell r="A4714" t="str">
            <v>PECAN NUT PLUG CSE</v>
          </cell>
          <cell r="B4714" t="str">
            <v>50. LB BG</v>
          </cell>
          <cell r="C4714">
            <v>0</v>
          </cell>
          <cell r="D4714">
            <v>25</v>
          </cell>
          <cell r="E4714">
            <v>0</v>
          </cell>
          <cell r="F4714">
            <v>0</v>
          </cell>
          <cell r="G4714">
            <v>25</v>
          </cell>
          <cell r="H4714">
            <v>0</v>
          </cell>
          <cell r="J4714">
            <v>65.290000000000006</v>
          </cell>
          <cell r="K4714">
            <v>25</v>
          </cell>
          <cell r="L4714">
            <v>0</v>
          </cell>
          <cell r="N4714">
            <v>65.290000000000006</v>
          </cell>
          <cell r="P4714">
            <v>0</v>
          </cell>
          <cell r="R4714">
            <v>0</v>
          </cell>
        </row>
        <row r="4715">
          <cell r="A4715" t="str">
            <v>PIPE-LAX</v>
          </cell>
          <cell r="B4715" t="str">
            <v>55. GA DM</v>
          </cell>
          <cell r="C4715">
            <v>0</v>
          </cell>
          <cell r="D4715">
            <v>20</v>
          </cell>
          <cell r="E4715">
            <v>0</v>
          </cell>
          <cell r="F4715">
            <v>0</v>
          </cell>
          <cell r="G4715">
            <v>20</v>
          </cell>
          <cell r="H4715">
            <v>0</v>
          </cell>
          <cell r="J4715">
            <v>2385.02</v>
          </cell>
          <cell r="K4715">
            <v>20</v>
          </cell>
          <cell r="L4715">
            <v>0</v>
          </cell>
          <cell r="N4715">
            <v>2385.02</v>
          </cell>
          <cell r="P4715">
            <v>0</v>
          </cell>
          <cell r="R4715">
            <v>0</v>
          </cell>
        </row>
        <row r="4716">
          <cell r="A4716" t="str">
            <v>POLYPAC R</v>
          </cell>
          <cell r="B4716" t="str">
            <v>50. LB BG</v>
          </cell>
          <cell r="C4716">
            <v>0</v>
          </cell>
          <cell r="D4716">
            <v>52</v>
          </cell>
          <cell r="E4716">
            <v>0</v>
          </cell>
          <cell r="F4716">
            <v>0</v>
          </cell>
          <cell r="G4716">
            <v>52</v>
          </cell>
          <cell r="H4716">
            <v>18</v>
          </cell>
          <cell r="J4716">
            <v>184.5</v>
          </cell>
          <cell r="K4716">
            <v>70</v>
          </cell>
          <cell r="L4716">
            <v>0</v>
          </cell>
          <cell r="N4716">
            <v>184.5</v>
          </cell>
          <cell r="P4716">
            <v>0</v>
          </cell>
          <cell r="R4716">
            <v>0</v>
          </cell>
        </row>
        <row r="4717">
          <cell r="A4717" t="str">
            <v>SODA ASH</v>
          </cell>
          <cell r="B4717" t="str">
            <v>50. KG BG</v>
          </cell>
          <cell r="C4717">
            <v>0</v>
          </cell>
          <cell r="D4717">
            <v>10</v>
          </cell>
          <cell r="E4717">
            <v>0</v>
          </cell>
          <cell r="F4717">
            <v>0</v>
          </cell>
          <cell r="G4717">
            <v>10</v>
          </cell>
          <cell r="H4717">
            <v>6</v>
          </cell>
          <cell r="J4717">
            <v>55.51</v>
          </cell>
          <cell r="K4717">
            <v>16</v>
          </cell>
          <cell r="L4717">
            <v>0</v>
          </cell>
          <cell r="N4717">
            <v>55.51</v>
          </cell>
          <cell r="P4717">
            <v>0</v>
          </cell>
          <cell r="R4717">
            <v>0</v>
          </cell>
        </row>
        <row r="4718">
          <cell r="A4718" t="str">
            <v>SODIUM BICARBONATE</v>
          </cell>
          <cell r="B4718" t="str">
            <v>50. LB BG</v>
          </cell>
          <cell r="C4718">
            <v>0</v>
          </cell>
          <cell r="D4718">
            <v>27</v>
          </cell>
          <cell r="E4718">
            <v>0</v>
          </cell>
          <cell r="F4718">
            <v>0</v>
          </cell>
          <cell r="G4718">
            <v>27</v>
          </cell>
          <cell r="H4718">
            <v>0</v>
          </cell>
          <cell r="J4718">
            <v>52.87</v>
          </cell>
          <cell r="K4718">
            <v>27</v>
          </cell>
          <cell r="L4718">
            <v>0</v>
          </cell>
          <cell r="N4718">
            <v>52.87</v>
          </cell>
          <cell r="P4718">
            <v>0</v>
          </cell>
          <cell r="R4718">
            <v>0</v>
          </cell>
        </row>
        <row r="4719">
          <cell r="A4719" t="str">
            <v>THINSMART</v>
          </cell>
          <cell r="B4719" t="str">
            <v>25. LB BG</v>
          </cell>
          <cell r="C4719">
            <v>0</v>
          </cell>
          <cell r="D4719">
            <v>117</v>
          </cell>
          <cell r="E4719">
            <v>0</v>
          </cell>
          <cell r="F4719">
            <v>0</v>
          </cell>
          <cell r="G4719">
            <v>117</v>
          </cell>
          <cell r="H4719">
            <v>43</v>
          </cell>
          <cell r="J4719">
            <v>119.83</v>
          </cell>
          <cell r="K4719">
            <v>160</v>
          </cell>
          <cell r="L4719">
            <v>0</v>
          </cell>
          <cell r="N4719">
            <v>119.83</v>
          </cell>
          <cell r="P4719">
            <v>0</v>
          </cell>
          <cell r="R4719">
            <v>0</v>
          </cell>
        </row>
      </sheetData>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1"/>
  <dimension ref="A1:N58"/>
  <sheetViews>
    <sheetView showGridLines="0" zoomScale="75" workbookViewId="0">
      <selection activeCell="L49" sqref="L49"/>
    </sheetView>
  </sheetViews>
  <sheetFormatPr baseColWidth="10" defaultColWidth="9.109375" defaultRowHeight="13.2" x14ac:dyDescent="0.25"/>
  <cols>
    <col min="1" max="1" width="14.109375" customWidth="1"/>
  </cols>
  <sheetData>
    <row r="1" spans="1:14" ht="18" customHeight="1" thickBot="1" x14ac:dyDescent="0.3">
      <c r="A1" s="722" t="s">
        <v>163</v>
      </c>
      <c r="B1" s="722"/>
      <c r="C1" s="722"/>
      <c r="D1" s="722"/>
      <c r="E1" s="722"/>
      <c r="F1" s="722"/>
      <c r="G1" s="722"/>
      <c r="H1" s="722"/>
      <c r="I1" s="722"/>
      <c r="J1" s="722"/>
      <c r="K1" s="722"/>
      <c r="L1" s="722"/>
    </row>
    <row r="2" spans="1:14" ht="13.8" thickTop="1" x14ac:dyDescent="0.25">
      <c r="A2" s="723" t="s">
        <v>235</v>
      </c>
      <c r="B2" s="724"/>
      <c r="C2" s="724"/>
      <c r="D2" s="724"/>
      <c r="E2" s="724"/>
      <c r="F2" s="725"/>
      <c r="G2" s="707"/>
      <c r="H2" s="708"/>
      <c r="I2" s="708"/>
      <c r="J2" s="708"/>
      <c r="K2" s="708"/>
      <c r="L2" s="709"/>
    </row>
    <row r="3" spans="1:14" ht="15.6" customHeight="1" x14ac:dyDescent="0.25">
      <c r="A3" s="726"/>
      <c r="B3" s="727"/>
      <c r="C3" s="727"/>
      <c r="D3" s="727"/>
      <c r="E3" s="727"/>
      <c r="F3" s="728"/>
      <c r="G3" s="710"/>
      <c r="H3" s="711"/>
      <c r="I3" s="711"/>
      <c r="J3" s="711"/>
      <c r="K3" s="711"/>
      <c r="L3" s="712"/>
    </row>
    <row r="4" spans="1:14" ht="15" customHeight="1" x14ac:dyDescent="0.25">
      <c r="A4" s="726"/>
      <c r="B4" s="727"/>
      <c r="C4" s="727"/>
      <c r="D4" s="727"/>
      <c r="E4" s="727"/>
      <c r="F4" s="728"/>
      <c r="G4" s="710"/>
      <c r="H4" s="711"/>
      <c r="I4" s="711"/>
      <c r="J4" s="711"/>
      <c r="K4" s="711"/>
      <c r="L4" s="712"/>
    </row>
    <row r="5" spans="1:14" ht="14.4" customHeight="1" x14ac:dyDescent="0.25">
      <c r="A5" s="726"/>
      <c r="B5" s="727"/>
      <c r="C5" s="727"/>
      <c r="D5" s="727"/>
      <c r="E5" s="727"/>
      <c r="F5" s="728"/>
      <c r="G5" s="710"/>
      <c r="H5" s="711"/>
      <c r="I5" s="711"/>
      <c r="J5" s="711"/>
      <c r="K5" s="711"/>
      <c r="L5" s="712"/>
    </row>
    <row r="6" spans="1:14" ht="13.95" customHeight="1" x14ac:dyDescent="0.25">
      <c r="A6" s="726"/>
      <c r="B6" s="727"/>
      <c r="C6" s="727"/>
      <c r="D6" s="727"/>
      <c r="E6" s="727"/>
      <c r="F6" s="728"/>
      <c r="G6" s="710"/>
      <c r="H6" s="711"/>
      <c r="I6" s="711"/>
      <c r="J6" s="711"/>
      <c r="K6" s="711"/>
      <c r="L6" s="712"/>
    </row>
    <row r="7" spans="1:14" ht="14.4" customHeight="1" x14ac:dyDescent="0.25">
      <c r="A7" s="726"/>
      <c r="B7" s="727"/>
      <c r="C7" s="727"/>
      <c r="D7" s="727"/>
      <c r="E7" s="727"/>
      <c r="F7" s="728"/>
      <c r="G7" s="710"/>
      <c r="H7" s="711"/>
      <c r="I7" s="711"/>
      <c r="J7" s="711"/>
      <c r="K7" s="711"/>
      <c r="L7" s="712"/>
    </row>
    <row r="8" spans="1:14" ht="15" customHeight="1" x14ac:dyDescent="0.25">
      <c r="A8" s="726"/>
      <c r="B8" s="727"/>
      <c r="C8" s="727"/>
      <c r="D8" s="727"/>
      <c r="E8" s="727"/>
      <c r="F8" s="728"/>
      <c r="G8" s="710"/>
      <c r="H8" s="711"/>
      <c r="I8" s="711"/>
      <c r="J8" s="711"/>
      <c r="K8" s="711"/>
      <c r="L8" s="712"/>
    </row>
    <row r="9" spans="1:14" x14ac:dyDescent="0.25">
      <c r="A9" s="726"/>
      <c r="B9" s="727"/>
      <c r="C9" s="727"/>
      <c r="D9" s="727"/>
      <c r="E9" s="727"/>
      <c r="F9" s="728"/>
      <c r="G9" s="710"/>
      <c r="H9" s="711"/>
      <c r="I9" s="711"/>
      <c r="J9" s="711"/>
      <c r="K9" s="711"/>
      <c r="L9" s="712"/>
    </row>
    <row r="10" spans="1:14" x14ac:dyDescent="0.25">
      <c r="A10" s="726"/>
      <c r="B10" s="727"/>
      <c r="C10" s="727"/>
      <c r="D10" s="727"/>
      <c r="E10" s="727"/>
      <c r="F10" s="728"/>
      <c r="G10" s="710"/>
      <c r="H10" s="711"/>
      <c r="I10" s="711"/>
      <c r="J10" s="711"/>
      <c r="K10" s="711"/>
      <c r="L10" s="712"/>
    </row>
    <row r="11" spans="1:14" ht="15.6" x14ac:dyDescent="0.3">
      <c r="A11" s="726"/>
      <c r="B11" s="727"/>
      <c r="C11" s="727"/>
      <c r="D11" s="727"/>
      <c r="E11" s="727"/>
      <c r="F11" s="728"/>
      <c r="G11" s="710"/>
      <c r="H11" s="711"/>
      <c r="I11" s="711"/>
      <c r="J11" s="711"/>
      <c r="K11" s="711"/>
      <c r="L11" s="712"/>
      <c r="M11" s="271"/>
      <c r="N11" s="271"/>
    </row>
    <row r="12" spans="1:14" ht="16.2" thickBot="1" x14ac:dyDescent="0.35">
      <c r="A12" s="729"/>
      <c r="B12" s="730"/>
      <c r="C12" s="730"/>
      <c r="D12" s="730"/>
      <c r="E12" s="730"/>
      <c r="F12" s="731"/>
      <c r="G12" s="713"/>
      <c r="H12" s="714"/>
      <c r="I12" s="714"/>
      <c r="J12" s="714"/>
      <c r="K12" s="714"/>
      <c r="L12" s="715"/>
      <c r="M12" s="271"/>
      <c r="N12" s="271"/>
    </row>
    <row r="13" spans="1:14" ht="16.2" thickTop="1" x14ac:dyDescent="0.3">
      <c r="L13" s="271"/>
      <c r="M13" s="271"/>
      <c r="N13" s="271"/>
    </row>
    <row r="14" spans="1:14" hidden="1" x14ac:dyDescent="0.25"/>
    <row r="15" spans="1:14" hidden="1" x14ac:dyDescent="0.25"/>
    <row r="16" spans="1:14" ht="15.6" hidden="1" x14ac:dyDescent="0.25">
      <c r="E16" s="276"/>
      <c r="F16" s="277"/>
      <c r="G16" s="277"/>
      <c r="H16" s="277"/>
      <c r="I16" s="277"/>
      <c r="J16" s="277"/>
      <c r="K16" s="277"/>
    </row>
    <row r="17" spans="1:11" ht="8.25" hidden="1" customHeight="1" x14ac:dyDescent="0.4">
      <c r="A17" s="278"/>
      <c r="E17" s="279"/>
      <c r="F17" s="3"/>
      <c r="G17" s="3"/>
      <c r="H17" s="3"/>
      <c r="I17" s="3"/>
      <c r="J17" s="3"/>
      <c r="K17" s="3"/>
    </row>
    <row r="18" spans="1:11" ht="15" hidden="1" customHeight="1" x14ac:dyDescent="0.4">
      <c r="A18" s="278"/>
      <c r="E18" s="3"/>
      <c r="F18" s="3"/>
      <c r="G18" s="3"/>
      <c r="H18" s="3"/>
      <c r="I18" s="3"/>
      <c r="J18" s="3"/>
      <c r="K18" s="3"/>
    </row>
    <row r="19" spans="1:11" hidden="1" x14ac:dyDescent="0.25">
      <c r="E19" s="3"/>
      <c r="F19" s="3"/>
      <c r="G19" s="3"/>
      <c r="H19" s="3"/>
      <c r="I19" s="3"/>
      <c r="J19" s="3"/>
      <c r="K19" s="3"/>
    </row>
    <row r="20" spans="1:11" hidden="1" x14ac:dyDescent="0.25"/>
    <row r="21" spans="1:11" hidden="1" x14ac:dyDescent="0.25"/>
    <row r="22" spans="1:11" hidden="1" x14ac:dyDescent="0.25"/>
    <row r="23" spans="1:11" hidden="1" x14ac:dyDescent="0.25"/>
    <row r="24" spans="1:11" hidden="1" x14ac:dyDescent="0.25"/>
    <row r="25" spans="1:11" hidden="1" x14ac:dyDescent="0.25"/>
    <row r="26" spans="1:11" hidden="1" x14ac:dyDescent="0.25"/>
    <row r="27" spans="1:11" hidden="1" x14ac:dyDescent="0.25"/>
    <row r="28" spans="1:11" hidden="1" x14ac:dyDescent="0.25"/>
    <row r="29" spans="1:11" hidden="1" x14ac:dyDescent="0.25"/>
    <row r="30" spans="1:11" hidden="1" x14ac:dyDescent="0.25"/>
    <row r="31" spans="1:11" hidden="1" x14ac:dyDescent="0.25"/>
    <row r="32" spans="1:11" ht="0.75" hidden="1" customHeight="1" x14ac:dyDescent="0.25"/>
    <row r="33" spans="1:7" hidden="1" x14ac:dyDescent="0.25"/>
    <row r="34" spans="1:7" hidden="1" x14ac:dyDescent="0.25"/>
    <row r="36" spans="1:7" ht="13.8" thickBot="1" x14ac:dyDescent="0.3"/>
    <row r="37" spans="1:7" ht="14.4" thickTop="1" thickBot="1" x14ac:dyDescent="0.3">
      <c r="A37" s="280" t="s">
        <v>164</v>
      </c>
      <c r="B37" s="732" t="s">
        <v>168</v>
      </c>
      <c r="C37" s="733"/>
      <c r="D37" s="734"/>
    </row>
    <row r="38" spans="1:7" ht="14.4" thickTop="1" thickBot="1" x14ac:dyDescent="0.3">
      <c r="A38" s="280" t="s">
        <v>165</v>
      </c>
      <c r="B38" s="732" t="s">
        <v>245</v>
      </c>
      <c r="C38" s="733"/>
      <c r="D38" s="734"/>
    </row>
    <row r="39" spans="1:7" ht="14.4" thickTop="1" thickBot="1" x14ac:dyDescent="0.3">
      <c r="A39" s="280" t="s">
        <v>166</v>
      </c>
      <c r="B39" s="701" t="s">
        <v>246</v>
      </c>
      <c r="C39" s="702"/>
      <c r="D39" s="703"/>
    </row>
    <row r="40" spans="1:7" ht="60" customHeight="1" thickTop="1" thickBot="1" x14ac:dyDescent="0.3">
      <c r="A40" s="704" t="s">
        <v>167</v>
      </c>
      <c r="B40" s="716" t="s">
        <v>247</v>
      </c>
      <c r="C40" s="717"/>
      <c r="D40" s="717"/>
      <c r="E40" s="717"/>
      <c r="F40" s="717"/>
      <c r="G40" s="718"/>
    </row>
    <row r="41" spans="1:7" ht="30" customHeight="1" thickTop="1" thickBot="1" x14ac:dyDescent="0.3">
      <c r="A41" s="705"/>
      <c r="B41" s="719" t="s">
        <v>248</v>
      </c>
      <c r="C41" s="720"/>
      <c r="D41" s="720"/>
      <c r="E41" s="720"/>
      <c r="F41" s="720"/>
      <c r="G41" s="721"/>
    </row>
    <row r="42" spans="1:7" ht="19.95" customHeight="1" thickTop="1" thickBot="1" x14ac:dyDescent="0.3">
      <c r="A42" s="705"/>
      <c r="B42" s="719" t="s">
        <v>249</v>
      </c>
      <c r="C42" s="720"/>
      <c r="D42" s="720"/>
      <c r="E42" s="720"/>
      <c r="F42" s="720"/>
      <c r="G42" s="721"/>
    </row>
    <row r="43" spans="1:7" ht="30" customHeight="1" thickTop="1" thickBot="1" x14ac:dyDescent="0.3">
      <c r="A43" s="705"/>
      <c r="B43" s="698" t="s">
        <v>253</v>
      </c>
      <c r="C43" s="699"/>
      <c r="D43" s="699"/>
      <c r="E43" s="699"/>
      <c r="F43" s="699"/>
      <c r="G43" s="700"/>
    </row>
    <row r="44" spans="1:7" ht="15" customHeight="1" thickTop="1" x14ac:dyDescent="0.25">
      <c r="A44" s="705"/>
      <c r="B44" s="3"/>
      <c r="C44" s="277"/>
      <c r="D44" s="277"/>
      <c r="E44" s="277"/>
      <c r="F44" s="277"/>
      <c r="G44" s="658"/>
    </row>
    <row r="45" spans="1:7" x14ac:dyDescent="0.25">
      <c r="A45" s="705"/>
      <c r="B45" s="3"/>
      <c r="C45" s="3"/>
      <c r="D45" s="3"/>
      <c r="E45" s="3"/>
      <c r="F45" s="3"/>
      <c r="G45" s="659"/>
    </row>
    <row r="46" spans="1:7" x14ac:dyDescent="0.25">
      <c r="A46" s="705"/>
      <c r="B46" s="660"/>
      <c r="C46" s="277"/>
      <c r="D46" s="277"/>
      <c r="E46" s="277"/>
      <c r="F46" s="277"/>
      <c r="G46" s="658"/>
    </row>
    <row r="47" spans="1:7" x14ac:dyDescent="0.25">
      <c r="A47" s="705"/>
      <c r="B47" s="660"/>
      <c r="C47" s="277"/>
      <c r="D47" s="277"/>
      <c r="E47" s="277"/>
      <c r="F47" s="277"/>
      <c r="G47" s="658"/>
    </row>
    <row r="48" spans="1:7" x14ac:dyDescent="0.25">
      <c r="A48" s="705"/>
      <c r="B48" s="660"/>
      <c r="C48" s="277"/>
      <c r="D48" s="277"/>
      <c r="E48" s="277"/>
      <c r="F48" s="277"/>
      <c r="G48" s="658"/>
    </row>
    <row r="49" spans="1:9" x14ac:dyDescent="0.25">
      <c r="A49" s="705"/>
      <c r="B49" s="660"/>
      <c r="C49" s="277"/>
      <c r="D49" s="277"/>
      <c r="E49" s="277"/>
      <c r="F49" s="277"/>
      <c r="G49" s="658"/>
    </row>
    <row r="50" spans="1:9" x14ac:dyDescent="0.25">
      <c r="A50" s="705"/>
      <c r="B50" s="660"/>
      <c r="C50" s="277"/>
      <c r="D50" s="277"/>
      <c r="E50" s="277"/>
      <c r="F50" s="277"/>
      <c r="G50" s="658"/>
      <c r="I50" t="s">
        <v>160</v>
      </c>
    </row>
    <row r="51" spans="1:9" x14ac:dyDescent="0.25">
      <c r="A51" s="705"/>
      <c r="B51" s="660"/>
      <c r="C51" s="277"/>
      <c r="D51" s="277"/>
      <c r="E51" s="277"/>
      <c r="F51" s="277"/>
      <c r="G51" s="658"/>
    </row>
    <row r="52" spans="1:9" x14ac:dyDescent="0.25">
      <c r="A52" s="705"/>
      <c r="B52" s="660"/>
      <c r="C52" s="277"/>
      <c r="D52" s="277"/>
      <c r="E52" s="277"/>
      <c r="F52" s="277"/>
      <c r="G52" s="658"/>
    </row>
    <row r="53" spans="1:9" x14ac:dyDescent="0.25">
      <c r="A53" s="705"/>
      <c r="B53" s="660"/>
      <c r="C53" s="277"/>
      <c r="D53" s="277"/>
      <c r="E53" s="277"/>
      <c r="F53" s="277"/>
      <c r="G53" s="658"/>
    </row>
    <row r="54" spans="1:9" x14ac:dyDescent="0.25">
      <c r="A54" s="705"/>
      <c r="B54" s="660"/>
      <c r="C54" s="277"/>
      <c r="D54" s="277"/>
      <c r="E54" s="277"/>
      <c r="F54" s="277"/>
      <c r="G54" s="658"/>
    </row>
    <row r="55" spans="1:9" x14ac:dyDescent="0.25">
      <c r="A55" s="705"/>
      <c r="B55" s="660"/>
      <c r="C55" s="277"/>
      <c r="D55" s="277"/>
      <c r="E55" s="277"/>
      <c r="F55" s="277"/>
      <c r="G55" s="658"/>
    </row>
    <row r="56" spans="1:9" x14ac:dyDescent="0.25">
      <c r="A56" s="705"/>
      <c r="B56" s="660"/>
      <c r="C56" s="277"/>
      <c r="D56" s="277"/>
      <c r="E56" s="277"/>
      <c r="F56" s="277"/>
      <c r="G56" s="658"/>
    </row>
    <row r="57" spans="1:9" ht="13.8" thickBot="1" x14ac:dyDescent="0.3">
      <c r="A57" s="706"/>
      <c r="B57" s="661"/>
      <c r="C57" s="662"/>
      <c r="D57" s="662"/>
      <c r="E57" s="662"/>
      <c r="F57" s="662"/>
      <c r="G57" s="663"/>
    </row>
    <row r="58" spans="1:9" ht="13.8" thickTop="1" x14ac:dyDescent="0.25"/>
  </sheetData>
  <mergeCells count="11">
    <mergeCell ref="A1:L1"/>
    <mergeCell ref="A2:F12"/>
    <mergeCell ref="B37:D37"/>
    <mergeCell ref="B38:D38"/>
    <mergeCell ref="B43:G43"/>
    <mergeCell ref="B39:D39"/>
    <mergeCell ref="A40:A57"/>
    <mergeCell ref="G2:L12"/>
    <mergeCell ref="B40:G40"/>
    <mergeCell ref="B41:G41"/>
    <mergeCell ref="B42:G42"/>
  </mergeCells>
  <phoneticPr fontId="0" type="noConversion"/>
  <pageMargins left="0.75" right="0.75" top="1" bottom="1" header="0.5" footer="0.5"/>
  <pageSetup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50177" r:id="rId4" name="Button 1">
              <controlPr defaultSize="0" print="0" autoFill="0" autoPict="0" macro="[0]!SortEquipment">
                <anchor moveWithCells="1" sizeWithCells="1">
                  <from>
                    <xdr:col>3</xdr:col>
                    <xdr:colOff>198120</xdr:colOff>
                    <xdr:row>2</xdr:row>
                    <xdr:rowOff>38100</xdr:rowOff>
                  </from>
                  <to>
                    <xdr:col>5</xdr:col>
                    <xdr:colOff>22860</xdr:colOff>
                    <xdr:row>4</xdr:row>
                    <xdr:rowOff>91440</xdr:rowOff>
                  </to>
                </anchor>
              </controlPr>
            </control>
          </mc:Choice>
        </mc:AlternateContent>
        <mc:AlternateContent xmlns:mc="http://schemas.openxmlformats.org/markup-compatibility/2006">
          <mc:Choice Requires="x14">
            <control shapeId="50180" r:id="rId5" name="Button 4">
              <controlPr defaultSize="0" print="0" autoFill="0" autoPict="0" macro="[0]!ViewAbout">
                <anchor moveWithCells="1" sizeWithCells="1">
                  <from>
                    <xdr:col>0</xdr:col>
                    <xdr:colOff>563880</xdr:colOff>
                    <xdr:row>2</xdr:row>
                    <xdr:rowOff>38100</xdr:rowOff>
                  </from>
                  <to>
                    <xdr:col>2</xdr:col>
                    <xdr:colOff>106680</xdr:colOff>
                    <xdr:row>4</xdr:row>
                    <xdr:rowOff>68580</xdr:rowOff>
                  </to>
                </anchor>
              </controlPr>
            </control>
          </mc:Choice>
        </mc:AlternateContent>
        <mc:AlternateContent xmlns:mc="http://schemas.openxmlformats.org/markup-compatibility/2006">
          <mc:Choice Requires="x14">
            <control shapeId="50181" r:id="rId6" name="Button 5">
              <controlPr defaultSize="0" print="0" autoFill="0" autoPict="0" macro="[0]!return_to_top">
                <anchor moveWithCells="1" sizeWithCells="1">
                  <from>
                    <xdr:col>4</xdr:col>
                    <xdr:colOff>289560</xdr:colOff>
                    <xdr:row>36</xdr:row>
                    <xdr:rowOff>45720</xdr:rowOff>
                  </from>
                  <to>
                    <xdr:col>6</xdr:col>
                    <xdr:colOff>99060</xdr:colOff>
                    <xdr:row>38</xdr:row>
                    <xdr:rowOff>83820</xdr:rowOff>
                  </to>
                </anchor>
              </controlPr>
            </control>
          </mc:Choice>
        </mc:AlternateContent>
        <mc:AlternateContent xmlns:mc="http://schemas.openxmlformats.org/markup-compatibility/2006">
          <mc:Choice Requires="x14">
            <control shapeId="50182" r:id="rId7" name="Button 6">
              <controlPr defaultSize="0" print="0" autoFill="0" autoPict="0" macro="[0]!Save_and_Break_Links">
                <anchor moveWithCells="1" sizeWithCells="1">
                  <from>
                    <xdr:col>1</xdr:col>
                    <xdr:colOff>403860</xdr:colOff>
                    <xdr:row>6</xdr:row>
                    <xdr:rowOff>15240</xdr:rowOff>
                  </from>
                  <to>
                    <xdr:col>3</xdr:col>
                    <xdr:colOff>373380</xdr:colOff>
                    <xdr:row>8</xdr:row>
                    <xdr:rowOff>83820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5">
    <pageSetUpPr autoPageBreaks="0" fitToPage="1"/>
  </sheetPr>
  <dimension ref="A1:L720"/>
  <sheetViews>
    <sheetView showGridLines="0" showZeros="0" tabSelected="1" topLeftCell="A12" zoomScaleNormal="100" workbookViewId="0"/>
  </sheetViews>
  <sheetFormatPr baseColWidth="10" defaultColWidth="8.88671875" defaultRowHeight="13.2" x14ac:dyDescent="0.25"/>
  <cols>
    <col min="1" max="1" width="12.88671875" customWidth="1"/>
    <col min="2" max="2" width="11.88671875" customWidth="1"/>
    <col min="3" max="3" width="13.6640625" customWidth="1"/>
    <col min="4" max="4" width="10.6640625" customWidth="1"/>
    <col min="5" max="5" width="10.44140625" customWidth="1"/>
    <col min="6" max="6" width="10.5546875" customWidth="1"/>
    <col min="7" max="7" width="10.6640625" customWidth="1"/>
    <col min="8" max="8" width="5.88671875" customWidth="1"/>
    <col min="9" max="9" width="9.44140625" customWidth="1"/>
    <col min="10" max="10" width="9.88671875" customWidth="1"/>
  </cols>
  <sheetData>
    <row r="1" spans="1:11" ht="6" customHeight="1" x14ac:dyDescent="0.25">
      <c r="A1" s="8"/>
      <c r="B1" s="9"/>
      <c r="C1" s="9"/>
      <c r="D1" s="9"/>
      <c r="E1" s="9"/>
      <c r="F1" s="9"/>
      <c r="G1" s="9"/>
      <c r="H1" s="9"/>
      <c r="I1" s="9"/>
      <c r="J1" s="10"/>
    </row>
    <row r="2" spans="1:11" ht="42" customHeight="1" thickBot="1" x14ac:dyDescent="0.35">
      <c r="A2" s="11"/>
      <c r="B2" s="48"/>
      <c r="C2" s="49"/>
      <c r="D2" s="50"/>
      <c r="E2" s="51"/>
      <c r="F2" s="52"/>
      <c r="G2" s="53"/>
      <c r="H2" s="53"/>
      <c r="I2" s="53"/>
      <c r="J2" s="54" t="s">
        <v>293</v>
      </c>
    </row>
    <row r="3" spans="1:11" ht="11.1" customHeight="1" x14ac:dyDescent="0.25">
      <c r="A3" s="55" t="s">
        <v>11</v>
      </c>
      <c r="B3" s="56" t="s">
        <v>259</v>
      </c>
      <c r="C3" s="57"/>
      <c r="D3" s="58" t="s">
        <v>13</v>
      </c>
      <c r="E3" s="59" t="s">
        <v>294</v>
      </c>
      <c r="F3" s="4"/>
      <c r="G3" s="4"/>
      <c r="H3" s="58" t="s">
        <v>37</v>
      </c>
      <c r="I3" s="152" t="s">
        <v>295</v>
      </c>
      <c r="J3" s="151" t="s">
        <v>296</v>
      </c>
      <c r="K3" s="60"/>
    </row>
    <row r="4" spans="1:11" ht="11.1" customHeight="1" x14ac:dyDescent="0.25">
      <c r="A4" s="61" t="s">
        <v>12</v>
      </c>
      <c r="B4" s="62" t="s">
        <v>297</v>
      </c>
      <c r="C4" s="63"/>
      <c r="D4" s="64" t="s">
        <v>38</v>
      </c>
      <c r="E4" s="62" t="s">
        <v>298</v>
      </c>
      <c r="H4" s="64" t="s">
        <v>5</v>
      </c>
      <c r="I4" s="153">
        <v>39996</v>
      </c>
      <c r="J4" s="154"/>
    </row>
    <row r="5" spans="1:11" ht="11.1" customHeight="1" x14ac:dyDescent="0.25">
      <c r="A5" s="61" t="s">
        <v>7</v>
      </c>
      <c r="B5" s="62" t="s">
        <v>260</v>
      </c>
      <c r="C5" s="63"/>
      <c r="D5" s="64" t="s">
        <v>16</v>
      </c>
      <c r="E5" s="62" t="s">
        <v>261</v>
      </c>
      <c r="H5" s="64" t="s">
        <v>14</v>
      </c>
      <c r="I5" s="153">
        <v>39981</v>
      </c>
      <c r="J5" s="154"/>
    </row>
    <row r="6" spans="1:11" ht="11.1" customHeight="1" x14ac:dyDescent="0.25">
      <c r="A6" s="61" t="s">
        <v>15</v>
      </c>
      <c r="B6" s="62" t="s">
        <v>299</v>
      </c>
      <c r="C6" s="63"/>
      <c r="D6" s="64" t="s">
        <v>107</v>
      </c>
      <c r="E6" s="65" t="s">
        <v>300</v>
      </c>
      <c r="G6" s="66"/>
      <c r="H6" s="67" t="s">
        <v>4</v>
      </c>
      <c r="I6" s="155" t="s">
        <v>301</v>
      </c>
      <c r="J6" s="154"/>
    </row>
    <row r="7" spans="1:11" ht="11.1" customHeight="1" thickBot="1" x14ac:dyDescent="0.3">
      <c r="A7" s="68" t="s">
        <v>12</v>
      </c>
      <c r="B7" s="69" t="s">
        <v>302</v>
      </c>
      <c r="C7" s="70"/>
      <c r="D7" s="71" t="s">
        <v>237</v>
      </c>
      <c r="E7" s="69">
        <v>68</v>
      </c>
      <c r="F7" s="1"/>
      <c r="G7" s="1"/>
      <c r="H7" s="71" t="s">
        <v>17</v>
      </c>
      <c r="I7" s="156" t="s">
        <v>303</v>
      </c>
      <c r="J7" s="157"/>
    </row>
    <row r="8" spans="1:11" ht="9.9" customHeight="1" x14ac:dyDescent="0.25">
      <c r="A8" s="188" t="s">
        <v>39</v>
      </c>
      <c r="B8" s="189"/>
      <c r="C8" s="190" t="s">
        <v>40</v>
      </c>
      <c r="D8" s="191"/>
      <c r="E8" s="190" t="s">
        <v>304</v>
      </c>
      <c r="F8" s="191"/>
      <c r="G8" s="190" t="s">
        <v>22</v>
      </c>
      <c r="H8" s="193"/>
      <c r="I8" s="193"/>
      <c r="J8" s="194"/>
    </row>
    <row r="9" spans="1:11" ht="9.9" customHeight="1" x14ac:dyDescent="0.25">
      <c r="A9" s="391" t="s">
        <v>305</v>
      </c>
      <c r="B9" s="73"/>
      <c r="C9" s="72" t="s">
        <v>306</v>
      </c>
      <c r="D9" s="73"/>
      <c r="E9" s="241" t="s">
        <v>18</v>
      </c>
      <c r="F9" s="241" t="s">
        <v>19</v>
      </c>
      <c r="G9" s="76"/>
      <c r="H9" s="77" t="s">
        <v>41</v>
      </c>
      <c r="I9" s="229" t="s">
        <v>307</v>
      </c>
      <c r="J9" s="230" t="s">
        <v>307</v>
      </c>
    </row>
    <row r="10" spans="1:11" ht="9.9" customHeight="1" x14ac:dyDescent="0.25">
      <c r="A10" s="78" t="s">
        <v>308</v>
      </c>
      <c r="B10" s="79"/>
      <c r="C10" s="78">
        <v>0</v>
      </c>
      <c r="D10" s="40"/>
      <c r="E10" s="242">
        <v>1867</v>
      </c>
      <c r="F10" s="243">
        <v>681</v>
      </c>
      <c r="G10" s="80"/>
      <c r="H10" s="81" t="s">
        <v>42</v>
      </c>
      <c r="I10" s="6" t="s">
        <v>309</v>
      </c>
      <c r="J10" s="82" t="s">
        <v>309</v>
      </c>
    </row>
    <row r="11" spans="1:11" ht="9.9" customHeight="1" x14ac:dyDescent="0.25">
      <c r="A11" s="78" t="s">
        <v>308</v>
      </c>
      <c r="B11" s="40"/>
      <c r="C11" s="78">
        <v>0</v>
      </c>
      <c r="D11" s="40"/>
      <c r="E11" s="74" t="s">
        <v>20</v>
      </c>
      <c r="F11" s="75"/>
      <c r="G11" s="76"/>
      <c r="H11" s="81" t="s">
        <v>310</v>
      </c>
      <c r="I11" s="83">
        <v>5.016</v>
      </c>
      <c r="J11" s="84">
        <v>5.016</v>
      </c>
    </row>
    <row r="12" spans="1:11" ht="9.9" customHeight="1" thickBot="1" x14ac:dyDescent="0.3">
      <c r="A12" s="78" t="s">
        <v>308</v>
      </c>
      <c r="B12" s="40"/>
      <c r="C12" s="78">
        <v>0</v>
      </c>
      <c r="D12" s="40"/>
      <c r="E12" s="78">
        <v>1866</v>
      </c>
      <c r="F12" s="238"/>
      <c r="G12" s="85"/>
      <c r="H12" s="86" t="s">
        <v>43</v>
      </c>
      <c r="I12" s="87" t="s">
        <v>311</v>
      </c>
      <c r="J12" s="88" t="s">
        <v>311</v>
      </c>
    </row>
    <row r="13" spans="1:11" ht="9.9" customHeight="1" x14ac:dyDescent="0.25">
      <c r="A13" s="78" t="s">
        <v>308</v>
      </c>
      <c r="B13" s="40"/>
      <c r="C13" s="78">
        <v>0</v>
      </c>
      <c r="D13" s="40"/>
      <c r="E13" s="239" t="s">
        <v>136</v>
      </c>
      <c r="F13" s="240"/>
      <c r="G13" s="80"/>
      <c r="H13" s="89" t="s">
        <v>29</v>
      </c>
      <c r="I13" s="90">
        <v>652</v>
      </c>
      <c r="J13" s="91" t="s">
        <v>312</v>
      </c>
    </row>
    <row r="14" spans="1:11" ht="9.9" customHeight="1" x14ac:dyDescent="0.25">
      <c r="A14" s="78" t="s">
        <v>308</v>
      </c>
      <c r="B14" s="40"/>
      <c r="C14" s="78">
        <v>0</v>
      </c>
      <c r="D14" s="40"/>
      <c r="E14" s="395">
        <v>0</v>
      </c>
      <c r="F14" s="396" t="s">
        <v>313</v>
      </c>
      <c r="G14" s="92"/>
      <c r="H14" s="93" t="s">
        <v>1</v>
      </c>
      <c r="I14" s="94">
        <v>650</v>
      </c>
      <c r="J14" s="91" t="s">
        <v>314</v>
      </c>
    </row>
    <row r="15" spans="1:11" ht="9.9" customHeight="1" x14ac:dyDescent="0.25">
      <c r="A15" s="78" t="s">
        <v>315</v>
      </c>
      <c r="B15" s="40"/>
      <c r="C15" s="78">
        <v>0</v>
      </c>
      <c r="D15" s="40"/>
      <c r="E15" s="236" t="s">
        <v>137</v>
      </c>
      <c r="F15" s="237"/>
      <c r="G15" s="95"/>
      <c r="H15" s="96" t="s">
        <v>44</v>
      </c>
      <c r="I15" s="97" t="s">
        <v>316</v>
      </c>
      <c r="J15" s="98"/>
    </row>
    <row r="16" spans="1:11" ht="9.9" customHeight="1" thickBot="1" x14ac:dyDescent="0.3">
      <c r="A16" s="99" t="s">
        <v>317</v>
      </c>
      <c r="B16" s="100"/>
      <c r="C16" s="99">
        <v>0</v>
      </c>
      <c r="D16" s="100"/>
      <c r="E16" s="397">
        <v>0</v>
      </c>
      <c r="F16" s="398" t="s">
        <v>318</v>
      </c>
      <c r="G16" s="101"/>
      <c r="H16" s="102" t="s">
        <v>45</v>
      </c>
      <c r="I16" s="103" t="s">
        <v>319</v>
      </c>
      <c r="J16" s="104"/>
    </row>
    <row r="17" spans="1:10" ht="9.9" customHeight="1" x14ac:dyDescent="0.25">
      <c r="A17" s="201" t="s">
        <v>21</v>
      </c>
      <c r="B17" s="202"/>
      <c r="C17" s="202"/>
      <c r="D17" s="202"/>
      <c r="E17" s="202"/>
      <c r="F17" s="203"/>
      <c r="G17" s="190" t="s">
        <v>46</v>
      </c>
      <c r="H17" s="193"/>
      <c r="I17" s="193"/>
      <c r="J17" s="191"/>
    </row>
    <row r="18" spans="1:10" ht="9.9" customHeight="1" x14ac:dyDescent="0.25">
      <c r="A18" s="80" t="s">
        <v>47</v>
      </c>
      <c r="B18" s="81"/>
      <c r="C18" s="6" t="s">
        <v>320</v>
      </c>
      <c r="D18" s="6" t="s">
        <v>321</v>
      </c>
      <c r="E18" s="6"/>
      <c r="F18" s="6"/>
      <c r="G18" s="105" t="s">
        <v>48</v>
      </c>
      <c r="H18" s="106"/>
      <c r="I18" s="107" t="s">
        <v>49</v>
      </c>
      <c r="J18" s="108" t="s">
        <v>50</v>
      </c>
    </row>
    <row r="19" spans="1:10" ht="9.9" customHeight="1" x14ac:dyDescent="0.25">
      <c r="A19" s="109" t="s">
        <v>51</v>
      </c>
      <c r="B19" s="110" t="s">
        <v>322</v>
      </c>
      <c r="C19" s="111">
        <v>0</v>
      </c>
      <c r="D19" s="111">
        <v>0</v>
      </c>
      <c r="E19" s="111"/>
      <c r="F19" s="112"/>
      <c r="G19" s="387" t="s">
        <v>286</v>
      </c>
      <c r="H19" s="388"/>
      <c r="I19" s="94" t="s">
        <v>265</v>
      </c>
      <c r="J19" s="114">
        <v>17</v>
      </c>
    </row>
    <row r="20" spans="1:10" ht="9.9" customHeight="1" x14ac:dyDescent="0.25">
      <c r="A20" s="109" t="s">
        <v>23</v>
      </c>
      <c r="B20" s="110" t="s">
        <v>313</v>
      </c>
      <c r="C20" s="6" t="s">
        <v>323</v>
      </c>
      <c r="D20" s="6" t="s">
        <v>323</v>
      </c>
      <c r="E20" s="6"/>
      <c r="F20" s="6"/>
      <c r="G20" s="387" t="s">
        <v>275</v>
      </c>
      <c r="H20" s="388"/>
      <c r="I20" s="94" t="s">
        <v>276</v>
      </c>
      <c r="J20" s="114">
        <v>2</v>
      </c>
    </row>
    <row r="21" spans="1:10" ht="9.9" customHeight="1" x14ac:dyDescent="0.25">
      <c r="A21" s="109" t="s">
        <v>106</v>
      </c>
      <c r="B21" s="110" t="s">
        <v>324</v>
      </c>
      <c r="C21" s="6" t="s">
        <v>325</v>
      </c>
      <c r="D21" s="6" t="s">
        <v>325</v>
      </c>
      <c r="E21" s="6"/>
      <c r="F21" s="6"/>
      <c r="G21" s="387" t="s">
        <v>268</v>
      </c>
      <c r="H21" s="388"/>
      <c r="I21" s="94" t="s">
        <v>267</v>
      </c>
      <c r="J21" s="114">
        <v>7</v>
      </c>
    </row>
    <row r="22" spans="1:10" ht="9.9" customHeight="1" x14ac:dyDescent="0.25">
      <c r="A22" s="109" t="s">
        <v>52</v>
      </c>
      <c r="B22" s="110" t="s">
        <v>326</v>
      </c>
      <c r="C22" s="111">
        <v>40</v>
      </c>
      <c r="D22" s="111">
        <v>38</v>
      </c>
      <c r="E22" s="111"/>
      <c r="F22" s="112"/>
      <c r="G22" s="387" t="s">
        <v>274</v>
      </c>
      <c r="H22" s="388"/>
      <c r="I22" s="94" t="s">
        <v>267</v>
      </c>
      <c r="J22" s="114">
        <v>8</v>
      </c>
    </row>
    <row r="23" spans="1:10" ht="9.9" customHeight="1" x14ac:dyDescent="0.25">
      <c r="A23" s="109" t="s">
        <v>53</v>
      </c>
      <c r="B23" s="110" t="s">
        <v>322</v>
      </c>
      <c r="C23" s="111">
        <v>120</v>
      </c>
      <c r="D23" s="111">
        <v>120</v>
      </c>
      <c r="E23" s="111"/>
      <c r="F23" s="112"/>
      <c r="G23" s="387">
        <v>0</v>
      </c>
      <c r="H23" s="388"/>
      <c r="I23" s="94">
        <v>0</v>
      </c>
      <c r="J23" s="114">
        <v>0</v>
      </c>
    </row>
    <row r="24" spans="1:10" ht="9.9" customHeight="1" x14ac:dyDescent="0.25">
      <c r="A24" s="109" t="s">
        <v>54</v>
      </c>
      <c r="B24" s="110"/>
      <c r="C24" s="6" t="s">
        <v>327</v>
      </c>
      <c r="D24" s="6" t="s">
        <v>327</v>
      </c>
      <c r="E24" s="6"/>
      <c r="F24" s="6"/>
      <c r="G24" s="387">
        <v>0</v>
      </c>
      <c r="H24" s="388"/>
      <c r="I24" s="94">
        <v>0</v>
      </c>
      <c r="J24" s="114">
        <v>0</v>
      </c>
    </row>
    <row r="25" spans="1:10" ht="9.9" customHeight="1" x14ac:dyDescent="0.25">
      <c r="A25" s="109" t="s">
        <v>55</v>
      </c>
      <c r="B25" s="110"/>
      <c r="C25" s="6" t="s">
        <v>328</v>
      </c>
      <c r="D25" s="6" t="s">
        <v>329</v>
      </c>
      <c r="E25" s="6"/>
      <c r="F25" s="6"/>
      <c r="G25" s="387">
        <v>0</v>
      </c>
      <c r="H25" s="388"/>
      <c r="I25" s="94">
        <v>0</v>
      </c>
      <c r="J25" s="114">
        <v>0</v>
      </c>
    </row>
    <row r="26" spans="1:10" ht="9.9" customHeight="1" x14ac:dyDescent="0.25">
      <c r="A26" s="109" t="s">
        <v>26</v>
      </c>
      <c r="B26" s="110"/>
      <c r="C26" s="6" t="s">
        <v>330</v>
      </c>
      <c r="D26" s="6" t="s">
        <v>330</v>
      </c>
      <c r="E26" s="6"/>
      <c r="F26" s="6"/>
      <c r="G26" s="387">
        <v>0</v>
      </c>
      <c r="H26" s="388"/>
      <c r="I26" s="94">
        <v>0</v>
      </c>
      <c r="J26" s="114">
        <v>0</v>
      </c>
    </row>
    <row r="27" spans="1:10" ht="9.9" customHeight="1" x14ac:dyDescent="0.25">
      <c r="A27" s="109" t="s">
        <v>24</v>
      </c>
      <c r="B27" s="110" t="s">
        <v>331</v>
      </c>
      <c r="C27" s="111">
        <v>10</v>
      </c>
      <c r="D27" s="111">
        <v>10</v>
      </c>
      <c r="E27" s="111"/>
      <c r="F27" s="112"/>
      <c r="G27" s="387">
        <v>0</v>
      </c>
      <c r="H27" s="388"/>
      <c r="I27" s="94">
        <v>0</v>
      </c>
      <c r="J27" s="114">
        <v>0</v>
      </c>
    </row>
    <row r="28" spans="1:10" ht="9.9" customHeight="1" x14ac:dyDescent="0.25">
      <c r="A28" s="109" t="s">
        <v>25</v>
      </c>
      <c r="B28" s="110" t="s">
        <v>332</v>
      </c>
      <c r="C28" s="111">
        <v>14</v>
      </c>
      <c r="D28" s="111">
        <v>14</v>
      </c>
      <c r="E28" s="111"/>
      <c r="F28" s="112"/>
      <c r="G28" s="387">
        <v>0</v>
      </c>
      <c r="H28" s="388"/>
      <c r="I28" s="94">
        <v>0</v>
      </c>
      <c r="J28" s="114">
        <v>0</v>
      </c>
    </row>
    <row r="29" spans="1:10" ht="9.9" customHeight="1" x14ac:dyDescent="0.25">
      <c r="A29" s="109" t="s">
        <v>27</v>
      </c>
      <c r="B29" s="110" t="s">
        <v>332</v>
      </c>
      <c r="C29" s="6" t="s">
        <v>333</v>
      </c>
      <c r="D29" s="6" t="s">
        <v>334</v>
      </c>
      <c r="E29" s="6"/>
      <c r="F29" s="6"/>
      <c r="G29" s="387">
        <v>0</v>
      </c>
      <c r="H29" s="388"/>
      <c r="I29" s="94">
        <v>0</v>
      </c>
      <c r="J29" s="114">
        <v>0</v>
      </c>
    </row>
    <row r="30" spans="1:10" ht="9.9" customHeight="1" x14ac:dyDescent="0.25">
      <c r="A30" s="109" t="s">
        <v>35</v>
      </c>
      <c r="B30" s="110" t="s">
        <v>335</v>
      </c>
      <c r="C30" s="111">
        <v>18</v>
      </c>
      <c r="D30" s="111">
        <v>18</v>
      </c>
      <c r="E30" s="111"/>
      <c r="F30" s="112"/>
      <c r="G30" s="387">
        <v>0</v>
      </c>
      <c r="H30" s="388"/>
      <c r="I30" s="94">
        <v>0</v>
      </c>
      <c r="J30" s="114">
        <v>0</v>
      </c>
    </row>
    <row r="31" spans="1:10" ht="9.9" customHeight="1" x14ac:dyDescent="0.25">
      <c r="A31" s="109" t="s">
        <v>36</v>
      </c>
      <c r="B31" s="110" t="s">
        <v>335</v>
      </c>
      <c r="C31" s="6" t="s">
        <v>336</v>
      </c>
      <c r="D31" s="6" t="s">
        <v>336</v>
      </c>
      <c r="E31" s="6"/>
      <c r="F31" s="6"/>
      <c r="G31" s="387">
        <v>0</v>
      </c>
      <c r="H31" s="388"/>
      <c r="I31" s="94">
        <v>0</v>
      </c>
      <c r="J31" s="114">
        <v>0</v>
      </c>
    </row>
    <row r="32" spans="1:10" ht="9.9" customHeight="1" x14ac:dyDescent="0.25">
      <c r="A32" s="109" t="s">
        <v>56</v>
      </c>
      <c r="B32" s="110" t="s">
        <v>337</v>
      </c>
      <c r="C32" s="6" t="s">
        <v>338</v>
      </c>
      <c r="D32" s="6" t="s">
        <v>338</v>
      </c>
      <c r="E32" s="6"/>
      <c r="F32" s="6"/>
      <c r="G32" s="387">
        <v>0</v>
      </c>
      <c r="H32" s="388"/>
      <c r="I32" s="94">
        <v>0</v>
      </c>
      <c r="J32" s="114">
        <v>0</v>
      </c>
    </row>
    <row r="33" spans="1:10" ht="9.9" customHeight="1" thickBot="1" x14ac:dyDescent="0.3">
      <c r="A33" s="109" t="s">
        <v>31</v>
      </c>
      <c r="B33" s="110" t="s">
        <v>339</v>
      </c>
      <c r="C33" s="111">
        <v>8</v>
      </c>
      <c r="D33" s="111">
        <v>8</v>
      </c>
      <c r="E33" s="111"/>
      <c r="F33" s="112"/>
      <c r="G33" s="389">
        <v>0</v>
      </c>
      <c r="H33" s="390"/>
      <c r="I33" s="116">
        <v>0</v>
      </c>
      <c r="J33" s="117">
        <v>0</v>
      </c>
    </row>
    <row r="34" spans="1:10" ht="9.9" customHeight="1" x14ac:dyDescent="0.25">
      <c r="A34" s="109" t="s">
        <v>28</v>
      </c>
      <c r="B34" s="110" t="s">
        <v>339</v>
      </c>
      <c r="C34" s="6" t="s">
        <v>340</v>
      </c>
      <c r="D34" s="6" t="s">
        <v>340</v>
      </c>
      <c r="E34" s="6"/>
      <c r="F34" s="6"/>
      <c r="G34" s="201" t="s">
        <v>57</v>
      </c>
      <c r="H34" s="217"/>
      <c r="I34" s="217"/>
      <c r="J34" s="194"/>
    </row>
    <row r="35" spans="1:10" ht="9.9" customHeight="1" x14ac:dyDescent="0.25">
      <c r="A35" s="109" t="s">
        <v>58</v>
      </c>
      <c r="B35" s="110" t="s">
        <v>339</v>
      </c>
      <c r="C35" s="111">
        <v>0.25</v>
      </c>
      <c r="D35" s="111">
        <v>0.25</v>
      </c>
      <c r="E35" s="111"/>
      <c r="F35" s="112"/>
      <c r="G35" s="118" t="s">
        <v>59</v>
      </c>
      <c r="H35" s="119"/>
      <c r="I35" s="120" t="s">
        <v>60</v>
      </c>
      <c r="J35" s="121" t="s">
        <v>61</v>
      </c>
    </row>
    <row r="36" spans="1:10" ht="9.9" customHeight="1" x14ac:dyDescent="0.25">
      <c r="A36" s="109" t="s">
        <v>32</v>
      </c>
      <c r="B36" s="110" t="s">
        <v>341</v>
      </c>
      <c r="C36" s="111">
        <v>15</v>
      </c>
      <c r="D36" s="111">
        <v>15</v>
      </c>
      <c r="E36" s="111"/>
      <c r="F36" s="112"/>
      <c r="G36" s="400" t="s">
        <v>255</v>
      </c>
      <c r="H36" s="122"/>
      <c r="I36" s="620" t="s">
        <v>342</v>
      </c>
      <c r="J36" s="393">
        <v>7</v>
      </c>
    </row>
    <row r="37" spans="1:10" ht="9.9" customHeight="1" x14ac:dyDescent="0.25">
      <c r="A37" s="109" t="s">
        <v>105</v>
      </c>
      <c r="B37" s="110"/>
      <c r="C37" s="6" t="s">
        <v>343</v>
      </c>
      <c r="D37" s="6" t="s">
        <v>343</v>
      </c>
      <c r="E37" s="6"/>
      <c r="F37" s="6"/>
      <c r="G37" s="400" t="s">
        <v>256</v>
      </c>
      <c r="H37" s="124"/>
      <c r="I37" s="620" t="s">
        <v>344</v>
      </c>
      <c r="J37" s="393">
        <v>7</v>
      </c>
    </row>
    <row r="38" spans="1:10" ht="9.9" customHeight="1" x14ac:dyDescent="0.25">
      <c r="A38" s="109" t="s">
        <v>62</v>
      </c>
      <c r="B38" s="110"/>
      <c r="C38" s="111">
        <v>0.8</v>
      </c>
      <c r="D38" s="111">
        <v>0.8</v>
      </c>
      <c r="E38" s="111"/>
      <c r="F38" s="112"/>
      <c r="G38" s="400" t="s">
        <v>257</v>
      </c>
      <c r="H38" s="124"/>
      <c r="I38" s="620" t="s">
        <v>345</v>
      </c>
      <c r="J38" s="393">
        <v>24</v>
      </c>
    </row>
    <row r="39" spans="1:10" ht="9.9" customHeight="1" x14ac:dyDescent="0.25">
      <c r="A39" s="109" t="s">
        <v>63</v>
      </c>
      <c r="B39" s="110">
        <v>0</v>
      </c>
      <c r="C39" s="6" t="s">
        <v>346</v>
      </c>
      <c r="D39" s="6" t="s">
        <v>346</v>
      </c>
      <c r="E39" s="6"/>
      <c r="F39" s="6"/>
      <c r="G39" s="400" t="s">
        <v>258</v>
      </c>
      <c r="H39" s="124"/>
      <c r="I39" s="620" t="s">
        <v>347</v>
      </c>
      <c r="J39" s="393">
        <v>24</v>
      </c>
    </row>
    <row r="40" spans="1:10" ht="9.9" customHeight="1" x14ac:dyDescent="0.25">
      <c r="A40" s="109" t="s">
        <v>30</v>
      </c>
      <c r="B40" s="110" t="s">
        <v>348</v>
      </c>
      <c r="C40" s="111">
        <v>18000</v>
      </c>
      <c r="D40" s="111">
        <v>18000</v>
      </c>
      <c r="E40" s="111"/>
      <c r="F40" s="112"/>
      <c r="G40" s="400">
        <v>0</v>
      </c>
      <c r="H40" s="124"/>
      <c r="I40" s="620">
        <v>0</v>
      </c>
      <c r="J40" s="393">
        <v>0</v>
      </c>
    </row>
    <row r="41" spans="1:10" ht="9.9" customHeight="1" x14ac:dyDescent="0.25">
      <c r="A41" s="109" t="s">
        <v>64</v>
      </c>
      <c r="B41" s="110"/>
      <c r="C41" s="111">
        <v>100</v>
      </c>
      <c r="D41" s="111">
        <v>100</v>
      </c>
      <c r="E41" s="111"/>
      <c r="F41" s="112"/>
      <c r="G41" s="400">
        <v>0</v>
      </c>
      <c r="H41" s="124"/>
      <c r="I41" s="620">
        <v>0</v>
      </c>
      <c r="J41" s="393">
        <v>0</v>
      </c>
    </row>
    <row r="42" spans="1:10" ht="9.9" customHeight="1" x14ac:dyDescent="0.25">
      <c r="A42" s="109">
        <v>0</v>
      </c>
      <c r="B42" s="125">
        <v>0</v>
      </c>
      <c r="C42" s="111">
        <v>0</v>
      </c>
      <c r="D42" s="111">
        <v>0</v>
      </c>
      <c r="E42" s="111"/>
      <c r="F42" s="112"/>
      <c r="G42" s="400">
        <v>0</v>
      </c>
      <c r="H42" s="124"/>
      <c r="I42" s="620">
        <v>0</v>
      </c>
      <c r="J42" s="393">
        <v>0</v>
      </c>
    </row>
    <row r="43" spans="1:10" ht="9.9" customHeight="1" x14ac:dyDescent="0.25">
      <c r="A43" s="109">
        <v>0</v>
      </c>
      <c r="B43" s="125">
        <v>0</v>
      </c>
      <c r="C43" s="111">
        <v>0</v>
      </c>
      <c r="D43" s="111">
        <v>0</v>
      </c>
      <c r="E43" s="111"/>
      <c r="F43" s="112"/>
      <c r="G43" s="400">
        <v>0</v>
      </c>
      <c r="H43" s="124"/>
      <c r="I43" s="620">
        <v>0</v>
      </c>
      <c r="J43" s="393">
        <v>0</v>
      </c>
    </row>
    <row r="44" spans="1:10" ht="11.1" customHeight="1" x14ac:dyDescent="0.25">
      <c r="A44" s="109">
        <v>0</v>
      </c>
      <c r="B44" s="125">
        <v>0</v>
      </c>
      <c r="C44" s="111">
        <v>0</v>
      </c>
      <c r="D44" s="111">
        <v>0</v>
      </c>
      <c r="E44" s="111">
        <v>0</v>
      </c>
      <c r="F44" s="112">
        <v>0</v>
      </c>
      <c r="G44" s="400">
        <v>0</v>
      </c>
      <c r="H44" s="124"/>
      <c r="I44" s="620">
        <v>0</v>
      </c>
      <c r="J44" s="393">
        <v>0</v>
      </c>
    </row>
    <row r="45" spans="1:10" ht="11.1" customHeight="1" x14ac:dyDescent="0.25">
      <c r="A45" s="109">
        <v>0</v>
      </c>
      <c r="B45" s="125">
        <v>0</v>
      </c>
      <c r="C45" s="111">
        <v>0</v>
      </c>
      <c r="D45" s="111">
        <v>0</v>
      </c>
      <c r="E45" s="111">
        <v>0</v>
      </c>
      <c r="F45" s="112">
        <v>0</v>
      </c>
      <c r="G45" s="400">
        <v>0</v>
      </c>
      <c r="H45" s="124"/>
      <c r="I45" s="620">
        <v>0</v>
      </c>
      <c r="J45" s="393">
        <v>0</v>
      </c>
    </row>
    <row r="46" spans="1:10" ht="11.1" customHeight="1" thickBot="1" x14ac:dyDescent="0.3">
      <c r="A46" s="80">
        <v>0</v>
      </c>
      <c r="B46" s="144">
        <v>0</v>
      </c>
      <c r="C46" s="619">
        <v>0</v>
      </c>
      <c r="D46" s="126">
        <v>0</v>
      </c>
      <c r="E46" s="126">
        <v>0</v>
      </c>
      <c r="F46" s="126">
        <v>0</v>
      </c>
      <c r="G46" s="401">
        <v>0</v>
      </c>
      <c r="H46" s="115"/>
      <c r="I46" s="621">
        <v>0</v>
      </c>
      <c r="J46" s="394">
        <v>0</v>
      </c>
    </row>
    <row r="47" spans="1:10" ht="11.1" customHeight="1" x14ac:dyDescent="0.25">
      <c r="A47" s="109">
        <v>0</v>
      </c>
      <c r="B47" s="206">
        <v>0</v>
      </c>
      <c r="C47" s="619">
        <v>0</v>
      </c>
      <c r="D47" s="126">
        <v>0</v>
      </c>
      <c r="E47" s="126">
        <v>0</v>
      </c>
      <c r="F47" s="126">
        <v>0</v>
      </c>
      <c r="G47" s="201" t="s">
        <v>65</v>
      </c>
      <c r="H47" s="202"/>
      <c r="I47" s="208"/>
      <c r="J47" s="218" t="s">
        <v>66</v>
      </c>
    </row>
    <row r="48" spans="1:10" ht="11.1" customHeight="1" x14ac:dyDescent="0.25">
      <c r="A48" s="109">
        <v>0</v>
      </c>
      <c r="B48" s="206">
        <v>0</v>
      </c>
      <c r="C48" s="619">
        <v>0</v>
      </c>
      <c r="D48" s="126">
        <v>0</v>
      </c>
      <c r="E48" s="126">
        <v>0</v>
      </c>
      <c r="F48" s="126">
        <v>0</v>
      </c>
      <c r="G48" s="95" t="s">
        <v>3</v>
      </c>
      <c r="H48" s="128">
        <v>10</v>
      </c>
      <c r="I48" s="129"/>
      <c r="J48" s="392">
        <v>10</v>
      </c>
    </row>
    <row r="49" spans="1:12" ht="11.1" customHeight="1" x14ac:dyDescent="0.25">
      <c r="A49" s="109">
        <v>0</v>
      </c>
      <c r="B49" s="206">
        <v>0</v>
      </c>
      <c r="C49" s="619">
        <v>0</v>
      </c>
      <c r="D49" s="126">
        <v>0</v>
      </c>
      <c r="E49" s="126">
        <v>0</v>
      </c>
      <c r="F49" s="126">
        <v>0</v>
      </c>
      <c r="G49" s="95" t="s">
        <v>67</v>
      </c>
      <c r="H49" s="131" t="s">
        <v>349</v>
      </c>
      <c r="I49" s="132"/>
      <c r="J49" s="130">
        <v>40</v>
      </c>
      <c r="L49" s="133"/>
    </row>
    <row r="50" spans="1:12" ht="11.1" customHeight="1" thickBot="1" x14ac:dyDescent="0.3">
      <c r="A50" s="134" t="s">
        <v>198</v>
      </c>
      <c r="B50" s="135" t="s">
        <v>318</v>
      </c>
      <c r="C50" s="243">
        <v>333</v>
      </c>
      <c r="D50" s="136"/>
      <c r="E50" s="136"/>
      <c r="F50" s="137"/>
      <c r="G50" s="138" t="s">
        <v>68</v>
      </c>
      <c r="H50" s="139" t="s">
        <v>350</v>
      </c>
      <c r="I50" s="140"/>
      <c r="J50" s="141">
        <v>18</v>
      </c>
    </row>
    <row r="51" spans="1:12" ht="9.6" customHeight="1" x14ac:dyDescent="0.25">
      <c r="A51" s="674" t="s">
        <v>69</v>
      </c>
      <c r="B51" s="672"/>
      <c r="C51" s="672"/>
      <c r="D51" s="675"/>
      <c r="E51" s="671" t="s">
        <v>70</v>
      </c>
      <c r="F51" s="672"/>
      <c r="G51" s="672"/>
      <c r="H51" s="672"/>
      <c r="I51" s="672"/>
      <c r="J51" s="673"/>
    </row>
    <row r="52" spans="1:12" ht="77.25" customHeight="1" thickBot="1" x14ac:dyDescent="0.3">
      <c r="A52" s="682" t="s">
        <v>351</v>
      </c>
      <c r="B52" s="683"/>
      <c r="C52" s="683"/>
      <c r="D52" s="684"/>
      <c r="E52" s="683" t="s">
        <v>352</v>
      </c>
      <c r="F52" s="683"/>
      <c r="G52" s="683"/>
      <c r="H52" s="683"/>
      <c r="I52" s="683"/>
      <c r="J52" s="684"/>
    </row>
    <row r="53" spans="1:12" ht="9.6" customHeight="1" x14ac:dyDescent="0.25">
      <c r="A53" s="190" t="s">
        <v>71</v>
      </c>
      <c r="B53" s="191"/>
      <c r="C53" s="190" t="s">
        <v>353</v>
      </c>
      <c r="D53" s="191"/>
      <c r="E53" s="190" t="s">
        <v>354</v>
      </c>
      <c r="F53" s="214"/>
      <c r="G53" s="215"/>
      <c r="H53" s="190" t="s">
        <v>72</v>
      </c>
      <c r="I53" s="193"/>
      <c r="J53" s="191"/>
    </row>
    <row r="54" spans="1:12" ht="9.6" customHeight="1" x14ac:dyDescent="0.25">
      <c r="A54" s="95" t="s">
        <v>355</v>
      </c>
      <c r="B54" s="82">
        <v>0</v>
      </c>
      <c r="C54" s="385" t="s">
        <v>73</v>
      </c>
      <c r="D54" s="82">
        <v>0</v>
      </c>
      <c r="E54" s="80" t="s">
        <v>74</v>
      </c>
      <c r="F54" s="113"/>
      <c r="G54" s="82" t="s">
        <v>356</v>
      </c>
      <c r="H54" s="142" t="s">
        <v>75</v>
      </c>
      <c r="I54" s="143"/>
      <c r="J54" s="82" t="s">
        <v>357</v>
      </c>
    </row>
    <row r="55" spans="1:12" ht="9.6" customHeight="1" x14ac:dyDescent="0.25">
      <c r="A55" s="95" t="s">
        <v>358</v>
      </c>
      <c r="B55" s="82">
        <v>0</v>
      </c>
      <c r="C55" s="385" t="s">
        <v>76</v>
      </c>
      <c r="D55" s="82">
        <v>37</v>
      </c>
      <c r="E55" s="80" t="s">
        <v>77</v>
      </c>
      <c r="F55" s="113"/>
      <c r="G55" s="82" t="s">
        <v>359</v>
      </c>
      <c r="H55" s="142" t="s">
        <v>78</v>
      </c>
      <c r="I55" s="144"/>
      <c r="J55" s="82" t="s">
        <v>360</v>
      </c>
    </row>
    <row r="56" spans="1:12" ht="9.6" customHeight="1" x14ac:dyDescent="0.25">
      <c r="A56" s="95" t="s">
        <v>361</v>
      </c>
      <c r="B56" s="82">
        <v>0</v>
      </c>
      <c r="C56" s="385" t="s">
        <v>79</v>
      </c>
      <c r="D56" s="82">
        <v>0</v>
      </c>
      <c r="E56" s="80" t="s">
        <v>33</v>
      </c>
      <c r="F56" s="113"/>
      <c r="G56" s="82" t="s">
        <v>362</v>
      </c>
      <c r="H56" s="142" t="s">
        <v>80</v>
      </c>
      <c r="I56" s="144"/>
      <c r="J56" s="82" t="s">
        <v>363</v>
      </c>
    </row>
    <row r="57" spans="1:12" ht="9.6" customHeight="1" x14ac:dyDescent="0.25">
      <c r="A57" s="95" t="s">
        <v>364</v>
      </c>
      <c r="B57" s="82">
        <v>0</v>
      </c>
      <c r="C57" s="385" t="s">
        <v>104</v>
      </c>
      <c r="D57" s="82">
        <v>0</v>
      </c>
      <c r="E57" s="80" t="s">
        <v>81</v>
      </c>
      <c r="F57" s="113"/>
      <c r="G57" s="82" t="s">
        <v>365</v>
      </c>
      <c r="H57" s="142" t="s">
        <v>82</v>
      </c>
      <c r="I57" s="144"/>
      <c r="J57" s="82" t="s">
        <v>363</v>
      </c>
    </row>
    <row r="58" spans="1:12" ht="9.6" customHeight="1" x14ac:dyDescent="0.25">
      <c r="A58" s="95" t="s">
        <v>366</v>
      </c>
      <c r="B58" s="82">
        <v>0</v>
      </c>
      <c r="C58" s="385" t="s">
        <v>367</v>
      </c>
      <c r="D58" s="82">
        <v>35</v>
      </c>
      <c r="E58" s="80" t="s">
        <v>34</v>
      </c>
      <c r="F58" s="113"/>
      <c r="G58" s="82" t="s">
        <v>368</v>
      </c>
      <c r="H58" s="142" t="s">
        <v>9</v>
      </c>
      <c r="I58" s="144"/>
      <c r="J58" s="82">
        <v>0</v>
      </c>
    </row>
    <row r="59" spans="1:12" ht="9.6" customHeight="1" x14ac:dyDescent="0.25">
      <c r="A59" s="95">
        <v>0</v>
      </c>
      <c r="B59" s="82">
        <v>0</v>
      </c>
      <c r="C59" s="385" t="s">
        <v>369</v>
      </c>
      <c r="D59" s="82">
        <v>19</v>
      </c>
      <c r="E59" s="80" t="s">
        <v>2</v>
      </c>
      <c r="F59" s="113"/>
      <c r="G59" s="82" t="s">
        <v>370</v>
      </c>
      <c r="H59" s="142" t="s">
        <v>83</v>
      </c>
      <c r="I59" s="144"/>
      <c r="J59" s="82">
        <v>41.6</v>
      </c>
    </row>
    <row r="60" spans="1:12" ht="9.6" customHeight="1" x14ac:dyDescent="0.25">
      <c r="A60" s="95">
        <v>0</v>
      </c>
      <c r="B60" s="82">
        <v>0</v>
      </c>
      <c r="C60" s="385" t="s">
        <v>371</v>
      </c>
      <c r="D60" s="82">
        <v>0</v>
      </c>
      <c r="E60" s="80" t="s">
        <v>84</v>
      </c>
      <c r="F60" s="113"/>
      <c r="G60" s="82" t="s">
        <v>372</v>
      </c>
      <c r="H60" s="142" t="s">
        <v>85</v>
      </c>
      <c r="I60" s="144"/>
      <c r="J60" s="82">
        <v>57.9</v>
      </c>
    </row>
    <row r="61" spans="1:12" ht="9.6" customHeight="1" x14ac:dyDescent="0.25">
      <c r="A61" s="95">
        <v>0</v>
      </c>
      <c r="B61" s="82">
        <v>0</v>
      </c>
      <c r="C61" s="385" t="s">
        <v>373</v>
      </c>
      <c r="D61" s="82">
        <v>0</v>
      </c>
      <c r="E61" s="80" t="s">
        <v>86</v>
      </c>
      <c r="F61" s="113"/>
      <c r="G61" s="82" t="s">
        <v>374</v>
      </c>
      <c r="H61" s="142" t="s">
        <v>87</v>
      </c>
      <c r="I61" s="144"/>
      <c r="J61" s="82">
        <v>244</v>
      </c>
    </row>
    <row r="62" spans="1:12" ht="9.6" customHeight="1" x14ac:dyDescent="0.25">
      <c r="A62" s="95">
        <v>0</v>
      </c>
      <c r="B62" s="82">
        <v>0</v>
      </c>
      <c r="C62" s="385" t="s">
        <v>375</v>
      </c>
      <c r="D62" s="82">
        <v>0</v>
      </c>
      <c r="E62" s="80" t="s">
        <v>88</v>
      </c>
      <c r="F62" s="113"/>
      <c r="G62" s="82" t="s">
        <v>376</v>
      </c>
      <c r="H62" s="142" t="s">
        <v>89</v>
      </c>
      <c r="I62" s="144"/>
      <c r="J62" s="82">
        <v>258</v>
      </c>
    </row>
    <row r="63" spans="1:12" ht="9.75" customHeight="1" x14ac:dyDescent="0.25">
      <c r="A63" s="223">
        <v>0</v>
      </c>
      <c r="B63" s="224">
        <v>0</v>
      </c>
      <c r="C63" s="385" t="s">
        <v>377</v>
      </c>
      <c r="D63" s="82">
        <v>75</v>
      </c>
      <c r="E63" s="225">
        <v>0</v>
      </c>
      <c r="F63" s="226"/>
      <c r="G63" s="224">
        <v>0</v>
      </c>
      <c r="H63" s="92" t="s">
        <v>10</v>
      </c>
      <c r="I63" s="227"/>
      <c r="J63" s="224">
        <v>10.08</v>
      </c>
    </row>
    <row r="64" spans="1:12" ht="9.75" customHeight="1" x14ac:dyDescent="0.25">
      <c r="A64" s="95"/>
      <c r="B64" s="82"/>
      <c r="C64" s="385" t="s">
        <v>378</v>
      </c>
      <c r="D64" s="82">
        <v>0</v>
      </c>
      <c r="E64" s="80"/>
      <c r="F64" s="113"/>
      <c r="G64" s="82"/>
      <c r="H64" s="228" t="s">
        <v>254</v>
      </c>
      <c r="I64" s="144"/>
      <c r="J64" s="224">
        <v>10.119999999999999</v>
      </c>
    </row>
    <row r="65" spans="1:10" ht="9.75" customHeight="1" thickBot="1" x14ac:dyDescent="0.3">
      <c r="A65" s="95"/>
      <c r="B65" s="82"/>
      <c r="C65" s="385">
        <v>0</v>
      </c>
      <c r="D65" s="82">
        <v>0</v>
      </c>
      <c r="E65" s="80"/>
      <c r="F65" s="113"/>
      <c r="G65" s="82"/>
      <c r="H65" s="228"/>
      <c r="I65" s="144"/>
      <c r="J65" s="82"/>
    </row>
    <row r="66" spans="1:10" ht="10.95" customHeight="1" x14ac:dyDescent="0.25">
      <c r="A66" s="95"/>
      <c r="B66" s="82"/>
      <c r="C66" s="385">
        <v>0</v>
      </c>
      <c r="D66" s="82">
        <v>0</v>
      </c>
      <c r="E66" s="80"/>
      <c r="F66" s="665"/>
      <c r="G66" s="666" t="s">
        <v>6</v>
      </c>
      <c r="H66" s="667"/>
      <c r="I66" s="666" t="s">
        <v>92</v>
      </c>
      <c r="J66" s="668"/>
    </row>
    <row r="67" spans="1:10" ht="10.95" customHeight="1" thickBot="1" x14ac:dyDescent="0.3">
      <c r="A67" s="138"/>
      <c r="B67" s="137"/>
      <c r="C67" s="386">
        <v>0</v>
      </c>
      <c r="D67" s="224">
        <v>0</v>
      </c>
      <c r="E67" s="145"/>
      <c r="F67" s="669" t="s">
        <v>250</v>
      </c>
      <c r="G67" s="680">
        <v>10960.5</v>
      </c>
      <c r="H67" s="680"/>
      <c r="I67" s="680">
        <v>160863.84</v>
      </c>
      <c r="J67" s="681"/>
    </row>
    <row r="68" spans="1:10" ht="10.95" customHeight="1" x14ac:dyDescent="0.25">
      <c r="A68" s="676" t="s">
        <v>90</v>
      </c>
      <c r="B68" s="677"/>
      <c r="C68" s="664" t="s">
        <v>129</v>
      </c>
      <c r="D68" s="678" t="s">
        <v>91</v>
      </c>
      <c r="E68" s="679"/>
      <c r="F68" s="669" t="s">
        <v>252</v>
      </c>
      <c r="G68" s="680">
        <v>0</v>
      </c>
      <c r="H68" s="680"/>
      <c r="I68" s="680">
        <v>0</v>
      </c>
      <c r="J68" s="681"/>
    </row>
    <row r="69" spans="1:10" ht="10.95" customHeight="1" x14ac:dyDescent="0.25">
      <c r="A69" s="687" t="s">
        <v>379</v>
      </c>
      <c r="B69" s="688"/>
      <c r="C69" s="695">
        <v>0</v>
      </c>
      <c r="D69" s="691">
        <v>0</v>
      </c>
      <c r="E69" s="692"/>
      <c r="F69" s="669" t="s">
        <v>251</v>
      </c>
      <c r="G69" s="680">
        <v>0</v>
      </c>
      <c r="H69" s="680"/>
      <c r="I69" s="680">
        <v>0</v>
      </c>
      <c r="J69" s="681"/>
    </row>
    <row r="70" spans="1:10" ht="15" customHeight="1" thickBot="1" x14ac:dyDescent="0.3">
      <c r="A70" s="689">
        <v>0</v>
      </c>
      <c r="B70" s="690"/>
      <c r="C70" s="696"/>
      <c r="D70" s="693"/>
      <c r="E70" s="694"/>
      <c r="F70" s="670" t="s">
        <v>102</v>
      </c>
      <c r="G70" s="685">
        <v>10960.5</v>
      </c>
      <c r="H70" s="697"/>
      <c r="I70" s="685">
        <v>160863.84</v>
      </c>
      <c r="J70" s="686"/>
    </row>
    <row r="71" spans="1:10" ht="9.6" customHeight="1" x14ac:dyDescent="0.25">
      <c r="A71" s="150"/>
      <c r="B71" s="150"/>
      <c r="C71" s="150"/>
      <c r="D71" s="150"/>
      <c r="E71" s="150"/>
      <c r="F71" s="150"/>
      <c r="G71" s="150"/>
      <c r="H71" s="150"/>
      <c r="I71" s="150"/>
      <c r="J71" s="150"/>
    </row>
    <row r="72" spans="1:10" ht="11.1" customHeight="1" x14ac:dyDescent="0.25">
      <c r="A72" s="150"/>
      <c r="B72" s="150"/>
      <c r="C72" s="150"/>
      <c r="D72" s="150"/>
      <c r="E72" s="150"/>
      <c r="F72" s="150"/>
      <c r="G72" s="150"/>
      <c r="H72" s="150"/>
      <c r="I72" s="150"/>
      <c r="J72" s="150"/>
    </row>
    <row r="73" spans="1:10" ht="11.1" customHeight="1" x14ac:dyDescent="0.25">
      <c r="A73" s="150"/>
      <c r="B73" s="150"/>
      <c r="C73" s="150"/>
      <c r="D73" s="150"/>
      <c r="E73" s="150"/>
      <c r="F73" s="150"/>
      <c r="G73" s="150"/>
      <c r="H73" s="150"/>
      <c r="I73" s="150"/>
      <c r="J73" s="150"/>
    </row>
    <row r="74" spans="1:10" x14ac:dyDescent="0.25">
      <c r="A74" s="150"/>
      <c r="B74" s="150"/>
      <c r="C74" s="150"/>
      <c r="D74" s="150"/>
      <c r="E74" s="150"/>
      <c r="F74" s="150"/>
      <c r="G74" s="150"/>
      <c r="H74" s="150"/>
      <c r="I74" s="150"/>
      <c r="J74" s="150"/>
    </row>
    <row r="75" spans="1:10" x14ac:dyDescent="0.25">
      <c r="A75" s="150"/>
      <c r="B75" s="150"/>
      <c r="C75" s="150"/>
      <c r="D75" s="150"/>
      <c r="E75" s="150"/>
      <c r="F75" s="150"/>
      <c r="G75" s="150"/>
      <c r="H75" s="150"/>
      <c r="I75" s="150"/>
      <c r="J75" s="150"/>
    </row>
    <row r="76" spans="1:10" x14ac:dyDescent="0.25">
      <c r="A76" s="150"/>
      <c r="B76" s="150"/>
      <c r="C76" s="150"/>
      <c r="D76" s="150"/>
      <c r="E76" s="150"/>
      <c r="F76" s="150"/>
      <c r="G76" s="150"/>
      <c r="H76" s="150"/>
      <c r="I76" s="150"/>
      <c r="J76" s="150"/>
    </row>
    <row r="77" spans="1:10" x14ac:dyDescent="0.25">
      <c r="A77" s="150"/>
      <c r="B77" s="150"/>
      <c r="C77" s="150"/>
      <c r="D77" s="150"/>
      <c r="E77" s="150"/>
      <c r="F77" s="150"/>
      <c r="G77" s="150"/>
      <c r="H77" s="150"/>
      <c r="I77" s="150"/>
      <c r="J77" s="150"/>
    </row>
    <row r="78" spans="1:10" x14ac:dyDescent="0.25">
      <c r="A78" s="150"/>
      <c r="B78" s="150"/>
      <c r="C78" s="150"/>
      <c r="D78" s="150"/>
      <c r="E78" s="150"/>
      <c r="F78" s="150"/>
      <c r="G78" s="150"/>
      <c r="H78" s="150"/>
      <c r="I78" s="150"/>
      <c r="J78" s="150"/>
    </row>
    <row r="79" spans="1:10" x14ac:dyDescent="0.25">
      <c r="A79" s="150"/>
      <c r="B79" s="150"/>
      <c r="C79" s="150"/>
      <c r="D79" s="150"/>
      <c r="E79" s="150"/>
      <c r="F79" s="150"/>
      <c r="G79" s="150"/>
      <c r="H79" s="150"/>
      <c r="I79" s="150"/>
      <c r="J79" s="150"/>
    </row>
    <row r="80" spans="1:10" x14ac:dyDescent="0.25">
      <c r="A80" s="150"/>
      <c r="B80" s="150"/>
      <c r="C80" s="150"/>
      <c r="D80" s="150"/>
      <c r="E80" s="150"/>
      <c r="F80" s="150"/>
      <c r="G80" s="150"/>
      <c r="H80" s="150"/>
      <c r="I80" s="150"/>
      <c r="J80" s="150"/>
    </row>
    <row r="81" spans="1:10" x14ac:dyDescent="0.25">
      <c r="A81" s="150"/>
      <c r="B81" s="150"/>
      <c r="C81" s="150"/>
      <c r="D81" s="150"/>
      <c r="E81" s="150"/>
      <c r="F81" s="150"/>
      <c r="G81" s="150"/>
      <c r="H81" s="150"/>
      <c r="I81" s="150"/>
      <c r="J81" s="150"/>
    </row>
    <row r="82" spans="1:10" x14ac:dyDescent="0.25">
      <c r="A82" s="150"/>
      <c r="B82" s="150"/>
      <c r="C82" s="150"/>
      <c r="D82" s="150"/>
      <c r="E82" s="150"/>
      <c r="F82" s="150"/>
      <c r="G82" s="150"/>
      <c r="H82" s="150"/>
      <c r="I82" s="150"/>
      <c r="J82" s="150"/>
    </row>
    <row r="83" spans="1:10" x14ac:dyDescent="0.25">
      <c r="A83" s="150"/>
      <c r="B83" s="150"/>
      <c r="C83" s="150"/>
      <c r="D83" s="150"/>
      <c r="E83" s="150"/>
      <c r="F83" s="150"/>
      <c r="G83" s="150"/>
      <c r="H83" s="150"/>
      <c r="I83" s="150"/>
      <c r="J83" s="150"/>
    </row>
    <row r="84" spans="1:10" x14ac:dyDescent="0.25">
      <c r="A84" s="150"/>
      <c r="B84" s="150"/>
      <c r="C84" s="150"/>
      <c r="D84" s="150"/>
      <c r="E84" s="150"/>
      <c r="F84" s="150"/>
      <c r="G84" s="150"/>
      <c r="H84" s="150"/>
      <c r="I84" s="150"/>
      <c r="J84" s="150"/>
    </row>
    <row r="85" spans="1:10" x14ac:dyDescent="0.25">
      <c r="A85" s="150"/>
      <c r="B85" s="150"/>
      <c r="C85" s="150"/>
      <c r="D85" s="150"/>
      <c r="E85" s="150"/>
      <c r="F85" s="150"/>
      <c r="G85" s="150"/>
      <c r="H85" s="150"/>
      <c r="I85" s="150"/>
      <c r="J85" s="150"/>
    </row>
    <row r="86" spans="1:10" x14ac:dyDescent="0.25">
      <c r="A86" s="150"/>
      <c r="B86" s="150"/>
      <c r="C86" s="150"/>
      <c r="D86" s="150"/>
      <c r="E86" s="150"/>
      <c r="F86" s="150"/>
      <c r="G86" s="150"/>
      <c r="H86" s="150"/>
      <c r="I86" s="150"/>
      <c r="J86" s="150"/>
    </row>
    <row r="87" spans="1:10" x14ac:dyDescent="0.25">
      <c r="A87" s="150"/>
      <c r="B87" s="150"/>
      <c r="C87" s="150"/>
      <c r="D87" s="150"/>
      <c r="E87" s="150"/>
      <c r="F87" s="150"/>
      <c r="G87" s="150"/>
      <c r="H87" s="150"/>
      <c r="I87" s="150"/>
      <c r="J87" s="150"/>
    </row>
    <row r="88" spans="1:10" x14ac:dyDescent="0.25">
      <c r="A88" s="150"/>
      <c r="B88" s="150"/>
      <c r="C88" s="150"/>
      <c r="D88" s="150"/>
      <c r="E88" s="150"/>
      <c r="F88" s="150"/>
      <c r="G88" s="150"/>
      <c r="H88" s="150"/>
      <c r="I88" s="150"/>
      <c r="J88" s="150"/>
    </row>
    <row r="89" spans="1:10" x14ac:dyDescent="0.25">
      <c r="A89" s="150"/>
      <c r="B89" s="150"/>
      <c r="C89" s="150"/>
      <c r="D89" s="150"/>
      <c r="E89" s="150"/>
      <c r="F89" s="150"/>
      <c r="G89" s="150"/>
      <c r="H89" s="150"/>
      <c r="I89" s="150"/>
      <c r="J89" s="150"/>
    </row>
    <row r="90" spans="1:10" x14ac:dyDescent="0.25">
      <c r="A90" s="150"/>
      <c r="B90" s="150"/>
      <c r="C90" s="150"/>
      <c r="D90" s="150"/>
      <c r="E90" s="150"/>
      <c r="F90" s="150"/>
      <c r="G90" s="150"/>
      <c r="H90" s="150"/>
      <c r="I90" s="150"/>
      <c r="J90" s="150"/>
    </row>
    <row r="91" spans="1:10" x14ac:dyDescent="0.25">
      <c r="A91" s="150"/>
      <c r="B91" s="150"/>
      <c r="C91" s="150"/>
      <c r="D91" s="150"/>
      <c r="E91" s="150"/>
      <c r="F91" s="150"/>
      <c r="G91" s="150"/>
      <c r="H91" s="150"/>
      <c r="I91" s="150"/>
      <c r="J91" s="150"/>
    </row>
    <row r="92" spans="1:10" x14ac:dyDescent="0.25">
      <c r="A92" s="150"/>
      <c r="B92" s="150"/>
      <c r="C92" s="150"/>
      <c r="D92" s="150"/>
      <c r="E92" s="150"/>
      <c r="F92" s="150"/>
      <c r="G92" s="150"/>
      <c r="H92" s="150"/>
      <c r="I92" s="150"/>
      <c r="J92" s="150"/>
    </row>
    <row r="93" spans="1:10" x14ac:dyDescent="0.25">
      <c r="A93" s="150"/>
      <c r="B93" s="150"/>
      <c r="C93" s="150"/>
      <c r="D93" s="150"/>
      <c r="E93" s="150"/>
      <c r="F93" s="150"/>
      <c r="G93" s="150"/>
      <c r="H93" s="150"/>
      <c r="I93" s="150"/>
      <c r="J93" s="150"/>
    </row>
    <row r="94" spans="1:10" x14ac:dyDescent="0.25">
      <c r="A94" s="150"/>
      <c r="B94" s="150"/>
      <c r="C94" s="150"/>
      <c r="D94" s="150"/>
      <c r="E94" s="150"/>
      <c r="F94" s="150"/>
      <c r="G94" s="150"/>
      <c r="H94" s="150"/>
      <c r="I94" s="150"/>
      <c r="J94" s="150"/>
    </row>
    <row r="95" spans="1:10" x14ac:dyDescent="0.25">
      <c r="A95" s="150"/>
      <c r="B95" s="150"/>
      <c r="C95" s="150"/>
      <c r="D95" s="150"/>
      <c r="E95" s="150"/>
      <c r="F95" s="150"/>
      <c r="G95" s="150"/>
      <c r="H95" s="150"/>
      <c r="I95" s="150"/>
      <c r="J95" s="150"/>
    </row>
    <row r="96" spans="1:10" x14ac:dyDescent="0.25">
      <c r="A96" s="150"/>
      <c r="B96" s="150"/>
      <c r="C96" s="150"/>
      <c r="D96" s="150"/>
      <c r="E96" s="150"/>
      <c r="F96" s="150"/>
      <c r="G96" s="150"/>
      <c r="H96" s="150"/>
      <c r="I96" s="150"/>
      <c r="J96" s="150"/>
    </row>
    <row r="97" spans="1:10" x14ac:dyDescent="0.25">
      <c r="A97" s="150"/>
      <c r="B97" s="150"/>
      <c r="C97" s="150"/>
      <c r="D97" s="150"/>
      <c r="E97" s="150"/>
      <c r="F97" s="150"/>
      <c r="G97" s="150"/>
      <c r="H97" s="150"/>
      <c r="I97" s="150"/>
      <c r="J97" s="150"/>
    </row>
    <row r="98" spans="1:10" x14ac:dyDescent="0.25">
      <c r="A98" s="3"/>
      <c r="B98" s="150"/>
      <c r="C98" s="150"/>
      <c r="D98" s="150"/>
      <c r="E98" s="150"/>
      <c r="F98" s="150"/>
      <c r="G98" s="150"/>
      <c r="H98" s="150"/>
      <c r="I98" s="150"/>
      <c r="J98" s="150"/>
    </row>
    <row r="99" spans="1:10" x14ac:dyDescent="0.25">
      <c r="A99" s="3"/>
      <c r="B99" s="150"/>
      <c r="C99" s="150"/>
      <c r="D99" s="150"/>
      <c r="E99" s="150"/>
      <c r="F99" s="150"/>
      <c r="G99" s="150"/>
      <c r="H99" s="150"/>
      <c r="I99" s="150"/>
      <c r="J99" s="150"/>
    </row>
    <row r="100" spans="1:10" x14ac:dyDescent="0.25">
      <c r="A100" s="3"/>
      <c r="B100" s="150"/>
      <c r="C100" s="150"/>
      <c r="D100" s="150"/>
      <c r="E100" s="150"/>
      <c r="F100" s="150"/>
      <c r="G100" s="150"/>
      <c r="H100" s="150"/>
      <c r="I100" s="150"/>
      <c r="J100" s="150"/>
    </row>
    <row r="101" spans="1:10" x14ac:dyDescent="0.25">
      <c r="A101" s="3"/>
      <c r="B101" s="150"/>
      <c r="C101" s="150"/>
      <c r="D101" s="150"/>
      <c r="E101" s="150"/>
      <c r="F101" s="3"/>
      <c r="G101" s="3"/>
      <c r="H101" s="3"/>
      <c r="I101" s="3"/>
    </row>
    <row r="102" spans="1:10" x14ac:dyDescent="0.25">
      <c r="A102" s="3"/>
      <c r="B102" s="150"/>
      <c r="C102" s="150"/>
      <c r="D102" s="150"/>
      <c r="E102" s="150"/>
      <c r="F102" s="3"/>
      <c r="G102" s="3"/>
      <c r="H102" s="3"/>
      <c r="I102" s="3"/>
    </row>
    <row r="103" spans="1:10" x14ac:dyDescent="0.25">
      <c r="A103" s="3"/>
      <c r="B103" s="3"/>
      <c r="C103" s="3"/>
      <c r="D103" s="3"/>
      <c r="E103" s="3"/>
      <c r="F103" s="3"/>
      <c r="G103" s="3"/>
      <c r="H103" s="3"/>
      <c r="I103" s="3"/>
    </row>
    <row r="104" spans="1:10" x14ac:dyDescent="0.25">
      <c r="A104" s="3"/>
      <c r="B104" s="3"/>
      <c r="C104" s="3"/>
      <c r="D104" s="3"/>
      <c r="E104" s="3"/>
      <c r="F104" s="3"/>
      <c r="G104" s="3"/>
      <c r="H104" s="3"/>
      <c r="I104" s="3"/>
    </row>
    <row r="105" spans="1:10" x14ac:dyDescent="0.25">
      <c r="A105" s="3"/>
      <c r="B105" s="3"/>
      <c r="C105" s="3"/>
      <c r="D105" s="3"/>
      <c r="E105" s="3"/>
      <c r="F105" s="3"/>
      <c r="G105" s="3"/>
      <c r="H105" s="3"/>
      <c r="I105" s="3"/>
    </row>
    <row r="106" spans="1:10" x14ac:dyDescent="0.25">
      <c r="A106" s="3"/>
      <c r="B106" s="3"/>
      <c r="C106" s="3"/>
      <c r="D106" s="3"/>
      <c r="E106" s="3"/>
      <c r="F106" s="3"/>
      <c r="G106" s="3"/>
      <c r="H106" s="3"/>
      <c r="I106" s="3"/>
    </row>
    <row r="107" spans="1:10" x14ac:dyDescent="0.25">
      <c r="A107" s="3"/>
      <c r="B107" s="3"/>
      <c r="C107" s="3"/>
      <c r="D107" s="3"/>
      <c r="E107" s="3"/>
      <c r="F107" s="3"/>
      <c r="G107" s="3"/>
      <c r="H107" s="3"/>
      <c r="I107" s="3"/>
    </row>
    <row r="108" spans="1:10" x14ac:dyDescent="0.25">
      <c r="A108" s="3"/>
      <c r="B108" s="3"/>
      <c r="C108" s="3"/>
      <c r="D108" s="3"/>
      <c r="E108" s="3"/>
      <c r="F108" s="3"/>
      <c r="G108" s="3"/>
      <c r="H108" s="3"/>
      <c r="I108" s="3"/>
    </row>
    <row r="109" spans="1:10" x14ac:dyDescent="0.25">
      <c r="A109" s="3"/>
      <c r="B109" s="3"/>
      <c r="C109" s="3"/>
      <c r="D109" s="3"/>
      <c r="E109" s="3"/>
      <c r="F109" s="3"/>
      <c r="G109" s="3"/>
      <c r="H109" s="3"/>
      <c r="I109" s="3"/>
    </row>
    <row r="110" spans="1:10" x14ac:dyDescent="0.25">
      <c r="A110" s="3"/>
      <c r="B110" s="3"/>
      <c r="C110" s="3"/>
      <c r="D110" s="3"/>
      <c r="E110" s="3"/>
      <c r="F110" s="3"/>
      <c r="G110" s="3"/>
      <c r="H110" s="3"/>
      <c r="I110" s="3"/>
    </row>
    <row r="111" spans="1:10" x14ac:dyDescent="0.25">
      <c r="A111" s="3"/>
      <c r="B111" s="3"/>
      <c r="C111" s="3"/>
      <c r="D111" s="3"/>
      <c r="E111" s="3"/>
      <c r="F111" s="3"/>
      <c r="G111" s="3"/>
      <c r="H111" s="3"/>
      <c r="I111" s="3"/>
    </row>
    <row r="112" spans="1:10" x14ac:dyDescent="0.25">
      <c r="A112" s="3"/>
      <c r="B112" s="3"/>
      <c r="C112" s="3"/>
      <c r="D112" s="3"/>
      <c r="E112" s="3"/>
      <c r="F112" s="3"/>
      <c r="G112" s="3"/>
      <c r="H112" s="3"/>
      <c r="I112" s="3"/>
    </row>
    <row r="113" spans="1:9" x14ac:dyDescent="0.25">
      <c r="A113" s="3"/>
      <c r="B113" s="3"/>
      <c r="C113" s="3"/>
      <c r="D113" s="3"/>
      <c r="E113" s="3"/>
      <c r="F113" s="3"/>
      <c r="G113" s="3"/>
      <c r="H113" s="3"/>
      <c r="I113" s="3"/>
    </row>
    <row r="114" spans="1:9" x14ac:dyDescent="0.25">
      <c r="A114" s="3"/>
      <c r="B114" s="3"/>
      <c r="C114" s="3"/>
      <c r="D114" s="3"/>
      <c r="E114" s="3"/>
      <c r="F114" s="3"/>
      <c r="G114" s="3"/>
      <c r="H114" s="3"/>
      <c r="I114" s="3"/>
    </row>
    <row r="115" spans="1:9" x14ac:dyDescent="0.25">
      <c r="A115" s="3"/>
      <c r="B115" s="3"/>
      <c r="C115" s="3"/>
      <c r="D115" s="3"/>
      <c r="E115" s="3"/>
      <c r="F115" s="3"/>
      <c r="G115" s="3"/>
      <c r="H115" s="3"/>
      <c r="I115" s="3"/>
    </row>
    <row r="116" spans="1:9" x14ac:dyDescent="0.25">
      <c r="A116" s="3"/>
      <c r="B116" s="3"/>
      <c r="C116" s="3"/>
      <c r="D116" s="3"/>
      <c r="E116" s="3"/>
      <c r="F116" s="3"/>
      <c r="G116" s="3"/>
      <c r="H116" s="3"/>
      <c r="I116" s="3"/>
    </row>
    <row r="117" spans="1:9" x14ac:dyDescent="0.25">
      <c r="A117" s="3"/>
      <c r="B117" s="3"/>
      <c r="C117" s="3"/>
      <c r="D117" s="3"/>
      <c r="E117" s="3"/>
      <c r="F117" s="3"/>
      <c r="G117" s="3"/>
      <c r="H117" s="3"/>
      <c r="I117" s="3"/>
    </row>
    <row r="118" spans="1:9" x14ac:dyDescent="0.25">
      <c r="A118" s="3"/>
      <c r="B118" s="3"/>
      <c r="C118" s="3"/>
      <c r="D118" s="3"/>
      <c r="E118" s="3"/>
      <c r="F118" s="3"/>
      <c r="G118" s="3"/>
      <c r="H118" s="3"/>
      <c r="I118" s="3"/>
    </row>
    <row r="119" spans="1:9" x14ac:dyDescent="0.25">
      <c r="A119" s="3"/>
      <c r="B119" s="3"/>
      <c r="C119" s="3"/>
      <c r="D119" s="3"/>
      <c r="E119" s="3"/>
      <c r="F119" s="3"/>
      <c r="G119" s="3"/>
      <c r="H119" s="3"/>
      <c r="I119" s="3"/>
    </row>
    <row r="120" spans="1:9" x14ac:dyDescent="0.25">
      <c r="A120" s="3"/>
      <c r="B120" s="3"/>
      <c r="C120" s="3"/>
      <c r="D120" s="3"/>
      <c r="E120" s="3"/>
      <c r="F120" s="3"/>
      <c r="G120" s="3"/>
      <c r="H120" s="3"/>
      <c r="I120" s="3"/>
    </row>
    <row r="121" spans="1:9" x14ac:dyDescent="0.25">
      <c r="A121" s="3"/>
      <c r="B121" s="3"/>
      <c r="C121" s="3"/>
      <c r="D121" s="3"/>
      <c r="E121" s="3"/>
      <c r="F121" s="3"/>
      <c r="G121" s="3"/>
      <c r="H121" s="3"/>
      <c r="I121" s="3"/>
    </row>
    <row r="122" spans="1:9" x14ac:dyDescent="0.25">
      <c r="A122" s="3"/>
      <c r="B122" s="3"/>
      <c r="C122" s="3"/>
      <c r="D122" s="3"/>
      <c r="E122" s="3"/>
      <c r="F122" s="3"/>
      <c r="G122" s="3"/>
      <c r="H122" s="3"/>
      <c r="I122" s="3"/>
    </row>
    <row r="123" spans="1:9" x14ac:dyDescent="0.25">
      <c r="A123" s="3"/>
      <c r="B123" s="3"/>
      <c r="C123" s="3"/>
      <c r="D123" s="3"/>
      <c r="E123" s="3"/>
      <c r="F123" s="3"/>
      <c r="G123" s="3"/>
      <c r="H123" s="3"/>
      <c r="I123" s="3"/>
    </row>
    <row r="124" spans="1:9" x14ac:dyDescent="0.25">
      <c r="A124" s="3"/>
      <c r="B124" s="3"/>
      <c r="C124" s="3"/>
      <c r="D124" s="3"/>
      <c r="E124" s="3"/>
      <c r="F124" s="3"/>
      <c r="G124" s="3"/>
      <c r="H124" s="3"/>
      <c r="I124" s="3"/>
    </row>
    <row r="125" spans="1:9" x14ac:dyDescent="0.25">
      <c r="A125" s="3"/>
      <c r="B125" s="3"/>
      <c r="C125" s="3"/>
      <c r="D125" s="3"/>
      <c r="E125" s="3"/>
      <c r="F125" s="3"/>
      <c r="G125" s="3"/>
      <c r="H125" s="3"/>
      <c r="I125" s="3"/>
    </row>
    <row r="126" spans="1:9" x14ac:dyDescent="0.25">
      <c r="A126" s="3"/>
      <c r="B126" s="3"/>
      <c r="C126" s="3"/>
      <c r="D126" s="3"/>
      <c r="E126" s="3"/>
      <c r="F126" s="3"/>
      <c r="G126" s="3"/>
      <c r="H126" s="3"/>
      <c r="I126" s="3"/>
    </row>
    <row r="127" spans="1:9" x14ac:dyDescent="0.25">
      <c r="A127" s="3"/>
      <c r="B127" s="3"/>
      <c r="C127" s="3"/>
      <c r="D127" s="3"/>
      <c r="E127" s="3"/>
      <c r="F127" s="3"/>
      <c r="G127" s="3"/>
      <c r="H127" s="3"/>
      <c r="I127" s="3"/>
    </row>
    <row r="128" spans="1:9" x14ac:dyDescent="0.25">
      <c r="A128" s="3"/>
      <c r="B128" s="3"/>
      <c r="C128" s="3"/>
      <c r="D128" s="3"/>
      <c r="E128" s="3"/>
      <c r="F128" s="3"/>
      <c r="G128" s="3"/>
      <c r="H128" s="3"/>
      <c r="I128" s="3"/>
    </row>
    <row r="129" spans="1:9" x14ac:dyDescent="0.25">
      <c r="A129" s="3"/>
      <c r="B129" s="3"/>
      <c r="C129" s="3"/>
      <c r="D129" s="3"/>
      <c r="E129" s="3"/>
      <c r="F129" s="3"/>
      <c r="G129" s="3"/>
      <c r="H129" s="3"/>
      <c r="I129" s="3"/>
    </row>
    <row r="130" spans="1:9" x14ac:dyDescent="0.25">
      <c r="A130" s="3"/>
      <c r="B130" s="3"/>
      <c r="C130" s="3"/>
      <c r="D130" s="3"/>
      <c r="E130" s="3"/>
      <c r="F130" s="3"/>
      <c r="G130" s="3"/>
      <c r="H130" s="3"/>
      <c r="I130" s="3"/>
    </row>
    <row r="131" spans="1:9" x14ac:dyDescent="0.25">
      <c r="A131" s="3"/>
      <c r="B131" s="3"/>
      <c r="C131" s="3"/>
      <c r="D131" s="3"/>
      <c r="E131" s="3"/>
      <c r="F131" s="3"/>
      <c r="G131" s="3"/>
      <c r="H131" s="3"/>
      <c r="I131" s="3"/>
    </row>
    <row r="132" spans="1:9" x14ac:dyDescent="0.25">
      <c r="A132" s="3"/>
      <c r="B132" s="3"/>
      <c r="C132" s="3"/>
      <c r="D132" s="3"/>
      <c r="E132" s="3"/>
      <c r="F132" s="3"/>
      <c r="G132" s="3"/>
      <c r="H132" s="3"/>
      <c r="I132" s="3"/>
    </row>
    <row r="133" spans="1:9" x14ac:dyDescent="0.25">
      <c r="A133" s="3"/>
      <c r="B133" s="3"/>
      <c r="C133" s="3"/>
      <c r="D133" s="3"/>
      <c r="E133" s="3"/>
      <c r="F133" s="3"/>
      <c r="G133" s="3"/>
      <c r="H133" s="3"/>
      <c r="I133" s="3"/>
    </row>
    <row r="134" spans="1:9" x14ac:dyDescent="0.25">
      <c r="A134" s="3"/>
      <c r="B134" s="3"/>
      <c r="C134" s="3"/>
      <c r="D134" s="3"/>
      <c r="E134" s="3"/>
      <c r="F134" s="3"/>
      <c r="G134" s="3"/>
      <c r="H134" s="3"/>
      <c r="I134" s="3"/>
    </row>
    <row r="135" spans="1:9" x14ac:dyDescent="0.25">
      <c r="A135" s="3"/>
      <c r="B135" s="3"/>
      <c r="C135" s="3"/>
      <c r="D135" s="3"/>
      <c r="E135" s="3"/>
      <c r="F135" s="3"/>
      <c r="G135" s="3"/>
      <c r="H135" s="3"/>
      <c r="I135" s="3"/>
    </row>
    <row r="136" spans="1:9" x14ac:dyDescent="0.25">
      <c r="A136" s="3"/>
      <c r="B136" s="3"/>
      <c r="C136" s="3"/>
      <c r="D136" s="3"/>
      <c r="E136" s="3"/>
      <c r="F136" s="3"/>
      <c r="G136" s="3"/>
      <c r="H136" s="3"/>
      <c r="I136" s="3"/>
    </row>
    <row r="137" spans="1:9" x14ac:dyDescent="0.25">
      <c r="A137" s="3"/>
      <c r="B137" s="3"/>
      <c r="C137" s="3"/>
      <c r="D137" s="3"/>
      <c r="E137" s="3"/>
      <c r="F137" s="3"/>
      <c r="G137" s="3"/>
      <c r="H137" s="3"/>
      <c r="I137" s="3"/>
    </row>
    <row r="138" spans="1:9" x14ac:dyDescent="0.25">
      <c r="A138" s="3"/>
      <c r="B138" s="3"/>
      <c r="C138" s="3"/>
      <c r="D138" s="3"/>
      <c r="E138" s="3"/>
      <c r="F138" s="3"/>
      <c r="G138" s="3"/>
      <c r="H138" s="3"/>
      <c r="I138" s="3"/>
    </row>
    <row r="139" spans="1:9" x14ac:dyDescent="0.25">
      <c r="A139" s="3"/>
      <c r="B139" s="3"/>
      <c r="C139" s="3"/>
      <c r="D139" s="3"/>
      <c r="E139" s="3"/>
      <c r="F139" s="3"/>
      <c r="G139" s="3"/>
      <c r="H139" s="3"/>
      <c r="I139" s="3"/>
    </row>
    <row r="140" spans="1:9" x14ac:dyDescent="0.25">
      <c r="A140" s="3"/>
      <c r="B140" s="3"/>
      <c r="C140" s="3"/>
      <c r="D140" s="3"/>
      <c r="E140" s="3"/>
      <c r="F140" s="3"/>
      <c r="G140" s="3"/>
      <c r="H140" s="3"/>
      <c r="I140" s="3"/>
    </row>
    <row r="141" spans="1:9" x14ac:dyDescent="0.25">
      <c r="A141" s="3"/>
      <c r="B141" s="3"/>
      <c r="C141" s="3"/>
      <c r="D141" s="3"/>
      <c r="E141" s="3"/>
      <c r="F141" s="3"/>
      <c r="G141" s="3"/>
      <c r="H141" s="3"/>
      <c r="I141" s="3"/>
    </row>
    <row r="142" spans="1:9" x14ac:dyDescent="0.25">
      <c r="A142" s="3"/>
      <c r="B142" s="3"/>
      <c r="C142" s="3"/>
      <c r="D142" s="3"/>
      <c r="E142" s="3"/>
      <c r="F142" s="3"/>
      <c r="G142" s="3"/>
      <c r="H142" s="3"/>
      <c r="I142" s="3"/>
    </row>
    <row r="143" spans="1:9" x14ac:dyDescent="0.25">
      <c r="A143" s="3"/>
      <c r="B143" s="3"/>
      <c r="C143" s="3"/>
      <c r="D143" s="3"/>
      <c r="E143" s="3"/>
      <c r="F143" s="3"/>
      <c r="G143" s="3"/>
      <c r="H143" s="3"/>
      <c r="I143" s="3"/>
    </row>
    <row r="144" spans="1:9" x14ac:dyDescent="0.25">
      <c r="A144" s="3"/>
      <c r="B144" s="3"/>
      <c r="C144" s="3"/>
      <c r="D144" s="3"/>
      <c r="E144" s="3"/>
      <c r="F144" s="3"/>
      <c r="G144" s="3"/>
      <c r="H144" s="3"/>
      <c r="I144" s="3"/>
    </row>
    <row r="145" spans="1:9" x14ac:dyDescent="0.25">
      <c r="A145" s="3"/>
      <c r="B145" s="3"/>
      <c r="C145" s="3"/>
      <c r="D145" s="3"/>
      <c r="E145" s="3"/>
      <c r="F145" s="3"/>
      <c r="G145" s="3"/>
      <c r="H145" s="3"/>
      <c r="I145" s="3"/>
    </row>
    <row r="146" spans="1:9" x14ac:dyDescent="0.25">
      <c r="A146" s="3"/>
      <c r="B146" s="3"/>
      <c r="C146" s="3"/>
      <c r="D146" s="3"/>
      <c r="E146" s="3"/>
      <c r="F146" s="3"/>
      <c r="G146" s="3"/>
      <c r="H146" s="3"/>
      <c r="I146" s="3"/>
    </row>
    <row r="147" spans="1:9" x14ac:dyDescent="0.25">
      <c r="A147" s="3"/>
      <c r="B147" s="3"/>
      <c r="C147" s="3"/>
      <c r="D147" s="3"/>
      <c r="E147" s="3"/>
      <c r="F147" s="3"/>
      <c r="G147" s="3"/>
      <c r="H147" s="3"/>
      <c r="I147" s="3"/>
    </row>
    <row r="148" spans="1:9" x14ac:dyDescent="0.25">
      <c r="A148" s="3"/>
      <c r="B148" s="3"/>
      <c r="C148" s="3"/>
      <c r="D148" s="3"/>
      <c r="E148" s="3"/>
      <c r="F148" s="3"/>
      <c r="G148" s="3"/>
      <c r="H148" s="3"/>
      <c r="I148" s="3"/>
    </row>
    <row r="149" spans="1:9" x14ac:dyDescent="0.25">
      <c r="A149" s="3"/>
      <c r="B149" s="3"/>
      <c r="C149" s="3"/>
      <c r="D149" s="3"/>
      <c r="E149" s="3"/>
      <c r="F149" s="3"/>
      <c r="G149" s="3"/>
      <c r="H149" s="3"/>
      <c r="I149" s="3"/>
    </row>
    <row r="150" spans="1:9" x14ac:dyDescent="0.25">
      <c r="A150" s="3"/>
      <c r="B150" s="3"/>
      <c r="C150" s="3"/>
      <c r="D150" s="3"/>
      <c r="E150" s="3"/>
      <c r="F150" s="3"/>
      <c r="G150" s="3"/>
      <c r="H150" s="3"/>
      <c r="I150" s="3"/>
    </row>
    <row r="151" spans="1:9" x14ac:dyDescent="0.25">
      <c r="A151" s="3"/>
      <c r="B151" s="3"/>
      <c r="C151" s="3"/>
      <c r="D151" s="3"/>
      <c r="E151" s="3"/>
      <c r="F151" s="3"/>
      <c r="G151" s="3"/>
      <c r="H151" s="3"/>
      <c r="I151" s="3"/>
    </row>
    <row r="152" spans="1:9" x14ac:dyDescent="0.25">
      <c r="A152" s="3"/>
      <c r="B152" s="3"/>
      <c r="C152" s="3"/>
      <c r="D152" s="3"/>
      <c r="E152" s="3"/>
      <c r="F152" s="3"/>
      <c r="G152" s="3"/>
      <c r="H152" s="3"/>
      <c r="I152" s="3"/>
    </row>
    <row r="153" spans="1:9" x14ac:dyDescent="0.25">
      <c r="A153" s="3"/>
      <c r="B153" s="3"/>
      <c r="C153" s="3"/>
      <c r="D153" s="3"/>
      <c r="E153" s="3"/>
      <c r="F153" s="3"/>
      <c r="G153" s="3"/>
      <c r="H153" s="3"/>
      <c r="I153" s="3"/>
    </row>
    <row r="154" spans="1:9" x14ac:dyDescent="0.25">
      <c r="A154" s="3"/>
      <c r="B154" s="3"/>
      <c r="C154" s="3"/>
      <c r="D154" s="3"/>
      <c r="E154" s="3"/>
      <c r="F154" s="3"/>
      <c r="G154" s="3"/>
      <c r="H154" s="3"/>
      <c r="I154" s="3"/>
    </row>
    <row r="155" spans="1:9" x14ac:dyDescent="0.25">
      <c r="A155" s="3"/>
      <c r="B155" s="3"/>
      <c r="C155" s="3"/>
      <c r="D155" s="3"/>
      <c r="E155" s="3"/>
      <c r="F155" s="3"/>
      <c r="G155" s="3"/>
      <c r="H155" s="3"/>
      <c r="I155" s="3"/>
    </row>
    <row r="156" spans="1:9" x14ac:dyDescent="0.25">
      <c r="A156" s="3"/>
      <c r="B156" s="3"/>
      <c r="C156" s="3"/>
      <c r="D156" s="3"/>
      <c r="E156" s="3"/>
      <c r="F156" s="3"/>
      <c r="G156" s="3"/>
      <c r="H156" s="3"/>
      <c r="I156" s="3"/>
    </row>
    <row r="157" spans="1:9" x14ac:dyDescent="0.25">
      <c r="A157" s="3"/>
      <c r="B157" s="3"/>
      <c r="C157" s="3"/>
      <c r="D157" s="3"/>
      <c r="E157" s="3"/>
      <c r="F157" s="3"/>
      <c r="G157" s="3"/>
      <c r="H157" s="3"/>
      <c r="I157" s="3"/>
    </row>
    <row r="158" spans="1:9" x14ac:dyDescent="0.25">
      <c r="A158" s="3"/>
      <c r="B158" s="3"/>
      <c r="C158" s="3"/>
      <c r="D158" s="3"/>
      <c r="E158" s="3"/>
      <c r="F158" s="3"/>
      <c r="G158" s="3"/>
      <c r="H158" s="3"/>
      <c r="I158" s="3"/>
    </row>
    <row r="159" spans="1:9" x14ac:dyDescent="0.25">
      <c r="A159" s="3"/>
      <c r="B159" s="3"/>
      <c r="C159" s="3"/>
      <c r="D159" s="3"/>
      <c r="E159" s="3"/>
      <c r="F159" s="3"/>
      <c r="G159" s="3"/>
      <c r="H159" s="3"/>
      <c r="I159" s="3"/>
    </row>
    <row r="160" spans="1:9" x14ac:dyDescent="0.25">
      <c r="A160" s="3"/>
      <c r="B160" s="3"/>
      <c r="C160" s="3"/>
      <c r="D160" s="3"/>
      <c r="E160" s="3"/>
      <c r="F160" s="3"/>
      <c r="G160" s="3"/>
      <c r="H160" s="3"/>
      <c r="I160" s="3"/>
    </row>
    <row r="161" spans="1:9" x14ac:dyDescent="0.25">
      <c r="A161" s="3"/>
      <c r="B161" s="3"/>
      <c r="C161" s="3"/>
      <c r="D161" s="3"/>
      <c r="E161" s="3"/>
      <c r="F161" s="3"/>
      <c r="G161" s="3"/>
      <c r="H161" s="3"/>
      <c r="I161" s="3"/>
    </row>
    <row r="162" spans="1:9" x14ac:dyDescent="0.25">
      <c r="A162" s="3"/>
      <c r="B162" s="3"/>
      <c r="C162" s="3"/>
      <c r="D162" s="3"/>
      <c r="E162" s="3"/>
      <c r="F162" s="3"/>
      <c r="G162" s="3"/>
      <c r="H162" s="3"/>
      <c r="I162" s="3"/>
    </row>
    <row r="163" spans="1:9" x14ac:dyDescent="0.25">
      <c r="A163" s="3"/>
      <c r="B163" s="3"/>
      <c r="C163" s="3"/>
      <c r="D163" s="3"/>
      <c r="E163" s="3"/>
      <c r="F163" s="3"/>
      <c r="G163" s="3"/>
      <c r="H163" s="3"/>
      <c r="I163" s="3"/>
    </row>
    <row r="164" spans="1:9" x14ac:dyDescent="0.25">
      <c r="A164" s="3"/>
      <c r="B164" s="3"/>
      <c r="C164" s="3"/>
      <c r="D164" s="3"/>
      <c r="E164" s="3"/>
      <c r="F164" s="3"/>
      <c r="G164" s="3"/>
      <c r="H164" s="3"/>
      <c r="I164" s="3"/>
    </row>
    <row r="165" spans="1:9" x14ac:dyDescent="0.25">
      <c r="A165" s="3"/>
      <c r="B165" s="3"/>
      <c r="C165" s="3"/>
      <c r="D165" s="3"/>
      <c r="E165" s="3"/>
      <c r="F165" s="3"/>
      <c r="G165" s="3"/>
      <c r="H165" s="3"/>
      <c r="I165" s="3"/>
    </row>
    <row r="166" spans="1:9" x14ac:dyDescent="0.25">
      <c r="A166" s="3"/>
      <c r="B166" s="3"/>
      <c r="C166" s="3"/>
      <c r="D166" s="3"/>
      <c r="E166" s="3"/>
      <c r="F166" s="3"/>
      <c r="G166" s="3"/>
      <c r="H166" s="3"/>
      <c r="I166" s="3"/>
    </row>
    <row r="167" spans="1:9" x14ac:dyDescent="0.25">
      <c r="A167" s="3"/>
      <c r="B167" s="3"/>
      <c r="C167" s="3"/>
      <c r="D167" s="3"/>
      <c r="E167" s="3"/>
      <c r="F167" s="3"/>
      <c r="G167" s="3"/>
      <c r="H167" s="3"/>
      <c r="I167" s="3"/>
    </row>
    <row r="168" spans="1:9" x14ac:dyDescent="0.25">
      <c r="A168" s="3"/>
      <c r="B168" s="3"/>
      <c r="C168" s="3"/>
      <c r="D168" s="3"/>
      <c r="E168" s="3"/>
      <c r="F168" s="3"/>
      <c r="G168" s="3"/>
      <c r="H168" s="3"/>
      <c r="I168" s="3"/>
    </row>
    <row r="169" spans="1:9" x14ac:dyDescent="0.25">
      <c r="A169" s="3"/>
      <c r="B169" s="3"/>
      <c r="C169" s="3"/>
      <c r="D169" s="3"/>
      <c r="E169" s="3"/>
      <c r="F169" s="3"/>
      <c r="G169" s="3"/>
      <c r="H169" s="3"/>
      <c r="I169" s="3"/>
    </row>
    <row r="170" spans="1:9" x14ac:dyDescent="0.25">
      <c r="A170" s="3"/>
      <c r="B170" s="3"/>
      <c r="C170" s="3"/>
      <c r="D170" s="3"/>
      <c r="E170" s="3"/>
      <c r="F170" s="3"/>
      <c r="G170" s="3"/>
      <c r="H170" s="3"/>
      <c r="I170" s="3"/>
    </row>
    <row r="171" spans="1:9" x14ac:dyDescent="0.25">
      <c r="A171" s="3"/>
      <c r="B171" s="3"/>
      <c r="C171" s="3"/>
      <c r="D171" s="3"/>
      <c r="E171" s="3"/>
      <c r="F171" s="3"/>
      <c r="G171" s="3"/>
      <c r="H171" s="3"/>
      <c r="I171" s="3"/>
    </row>
    <row r="172" spans="1:9" x14ac:dyDescent="0.25">
      <c r="A172" s="3"/>
      <c r="B172" s="3"/>
      <c r="C172" s="3"/>
      <c r="D172" s="3"/>
      <c r="E172" s="3"/>
      <c r="F172" s="3"/>
      <c r="G172" s="3"/>
      <c r="H172" s="3"/>
      <c r="I172" s="3"/>
    </row>
    <row r="173" spans="1:9" x14ac:dyDescent="0.25">
      <c r="A173" s="3"/>
      <c r="B173" s="3"/>
      <c r="C173" s="3"/>
      <c r="D173" s="3"/>
      <c r="E173" s="3"/>
      <c r="F173" s="3"/>
      <c r="G173" s="3"/>
      <c r="H173" s="3"/>
      <c r="I173" s="3"/>
    </row>
    <row r="174" spans="1:9" x14ac:dyDescent="0.25">
      <c r="A174" s="3"/>
      <c r="B174" s="3"/>
      <c r="C174" s="3"/>
      <c r="D174" s="3"/>
      <c r="E174" s="3"/>
      <c r="F174" s="3"/>
      <c r="G174" s="3"/>
      <c r="H174" s="3"/>
      <c r="I174" s="3"/>
    </row>
    <row r="175" spans="1:9" x14ac:dyDescent="0.25">
      <c r="A175" s="3"/>
      <c r="B175" s="3"/>
      <c r="C175" s="3"/>
      <c r="D175" s="3"/>
      <c r="E175" s="3"/>
      <c r="F175" s="3"/>
      <c r="G175" s="3"/>
      <c r="H175" s="3"/>
      <c r="I175" s="3"/>
    </row>
    <row r="176" spans="1:9" x14ac:dyDescent="0.25">
      <c r="A176" s="3"/>
      <c r="B176" s="3"/>
      <c r="C176" s="3"/>
      <c r="D176" s="3"/>
      <c r="E176" s="3"/>
      <c r="F176" s="3"/>
      <c r="G176" s="3"/>
      <c r="H176" s="3"/>
      <c r="I176" s="3"/>
    </row>
    <row r="177" spans="1:9" x14ac:dyDescent="0.25">
      <c r="A177" s="3"/>
      <c r="B177" s="3"/>
      <c r="C177" s="3"/>
      <c r="D177" s="3"/>
      <c r="E177" s="3"/>
      <c r="F177" s="3"/>
      <c r="G177" s="3"/>
      <c r="H177" s="3"/>
      <c r="I177" s="3"/>
    </row>
    <row r="178" spans="1:9" x14ac:dyDescent="0.25">
      <c r="A178" s="3"/>
      <c r="B178" s="3"/>
      <c r="C178" s="3"/>
      <c r="D178" s="3"/>
      <c r="E178" s="3"/>
      <c r="F178" s="3"/>
      <c r="G178" s="3"/>
      <c r="H178" s="3"/>
      <c r="I178" s="3"/>
    </row>
    <row r="179" spans="1:9" x14ac:dyDescent="0.25">
      <c r="A179" s="3"/>
      <c r="B179" s="3"/>
      <c r="C179" s="3"/>
      <c r="D179" s="3"/>
      <c r="E179" s="3"/>
      <c r="F179" s="3"/>
      <c r="G179" s="3"/>
      <c r="H179" s="3"/>
      <c r="I179" s="3"/>
    </row>
    <row r="180" spans="1:9" x14ac:dyDescent="0.25">
      <c r="A180" s="3"/>
      <c r="B180" s="3"/>
      <c r="C180" s="3"/>
      <c r="D180" s="3"/>
      <c r="E180" s="3"/>
      <c r="F180" s="3"/>
      <c r="G180" s="3"/>
      <c r="H180" s="3"/>
      <c r="I180" s="3"/>
    </row>
    <row r="181" spans="1:9" x14ac:dyDescent="0.25">
      <c r="A181" s="3"/>
      <c r="B181" s="3"/>
      <c r="C181" s="3"/>
      <c r="D181" s="3"/>
      <c r="E181" s="3"/>
      <c r="F181" s="3"/>
      <c r="G181" s="3"/>
      <c r="H181" s="3"/>
      <c r="I181" s="3"/>
    </row>
    <row r="182" spans="1:9" x14ac:dyDescent="0.25">
      <c r="A182" s="3"/>
      <c r="B182" s="3"/>
      <c r="C182" s="3"/>
      <c r="D182" s="3"/>
      <c r="E182" s="3"/>
      <c r="F182" s="3"/>
      <c r="G182" s="3"/>
      <c r="H182" s="3"/>
      <c r="I182" s="3"/>
    </row>
    <row r="183" spans="1:9" x14ac:dyDescent="0.25">
      <c r="A183" s="3"/>
      <c r="B183" s="3"/>
      <c r="C183" s="3"/>
      <c r="D183" s="3"/>
      <c r="E183" s="3"/>
      <c r="F183" s="3"/>
      <c r="G183" s="3"/>
      <c r="H183" s="3"/>
      <c r="I183" s="3"/>
    </row>
    <row r="184" spans="1:9" x14ac:dyDescent="0.25">
      <c r="A184" s="3"/>
      <c r="B184" s="3"/>
      <c r="C184" s="3"/>
      <c r="D184" s="3"/>
      <c r="E184" s="3"/>
      <c r="F184" s="3"/>
      <c r="G184" s="3"/>
      <c r="H184" s="3"/>
      <c r="I184" s="3"/>
    </row>
    <row r="185" spans="1:9" x14ac:dyDescent="0.25">
      <c r="A185" s="3"/>
      <c r="B185" s="3"/>
      <c r="C185" s="3"/>
      <c r="D185" s="3"/>
      <c r="E185" s="3"/>
      <c r="F185" s="3"/>
      <c r="G185" s="3"/>
      <c r="H185" s="3"/>
      <c r="I185" s="3"/>
    </row>
    <row r="186" spans="1:9" x14ac:dyDescent="0.25">
      <c r="A186" s="3"/>
      <c r="B186" s="3"/>
      <c r="C186" s="3"/>
      <c r="D186" s="3"/>
      <c r="E186" s="3"/>
      <c r="F186" s="3"/>
      <c r="G186" s="3"/>
      <c r="H186" s="3"/>
      <c r="I186" s="3"/>
    </row>
    <row r="187" spans="1:9" x14ac:dyDescent="0.25">
      <c r="A187" s="3"/>
      <c r="B187" s="3"/>
      <c r="C187" s="3"/>
      <c r="D187" s="3"/>
      <c r="E187" s="3"/>
      <c r="F187" s="3"/>
      <c r="G187" s="3"/>
      <c r="H187" s="3"/>
      <c r="I187" s="3"/>
    </row>
    <row r="188" spans="1:9" x14ac:dyDescent="0.25">
      <c r="A188" s="3"/>
      <c r="B188" s="3"/>
      <c r="C188" s="3"/>
      <c r="D188" s="3"/>
      <c r="E188" s="3"/>
      <c r="F188" s="3"/>
      <c r="G188" s="3"/>
      <c r="H188" s="3"/>
      <c r="I188" s="3"/>
    </row>
    <row r="189" spans="1:9" x14ac:dyDescent="0.25">
      <c r="A189" s="3"/>
      <c r="B189" s="3"/>
      <c r="C189" s="3"/>
      <c r="D189" s="3"/>
      <c r="E189" s="3"/>
      <c r="F189" s="3"/>
      <c r="G189" s="3"/>
      <c r="H189" s="3"/>
      <c r="I189" s="3"/>
    </row>
    <row r="190" spans="1:9" x14ac:dyDescent="0.25">
      <c r="A190" s="3"/>
      <c r="B190" s="3"/>
      <c r="C190" s="3"/>
      <c r="D190" s="3"/>
      <c r="E190" s="3"/>
      <c r="F190" s="3"/>
      <c r="G190" s="3"/>
      <c r="H190" s="3"/>
      <c r="I190" s="3"/>
    </row>
    <row r="191" spans="1:9" x14ac:dyDescent="0.25">
      <c r="A191" s="3"/>
      <c r="B191" s="3"/>
      <c r="C191" s="3"/>
      <c r="D191" s="3"/>
      <c r="E191" s="3"/>
      <c r="F191" s="3"/>
      <c r="G191" s="3"/>
      <c r="H191" s="3"/>
      <c r="I191" s="3"/>
    </row>
    <row r="192" spans="1:9" x14ac:dyDescent="0.25">
      <c r="A192" s="3"/>
      <c r="B192" s="3"/>
      <c r="C192" s="3"/>
      <c r="D192" s="3"/>
      <c r="E192" s="3"/>
      <c r="F192" s="3"/>
      <c r="G192" s="3"/>
      <c r="H192" s="3"/>
      <c r="I192" s="3"/>
    </row>
    <row r="193" spans="1:9" x14ac:dyDescent="0.25">
      <c r="A193" s="3"/>
      <c r="B193" s="3"/>
      <c r="C193" s="3"/>
      <c r="D193" s="3"/>
      <c r="E193" s="3"/>
      <c r="F193" s="3"/>
      <c r="G193" s="3"/>
      <c r="H193" s="3"/>
      <c r="I193" s="3"/>
    </row>
    <row r="194" spans="1:9" x14ac:dyDescent="0.25">
      <c r="A194" s="3"/>
      <c r="B194" s="3"/>
      <c r="C194" s="3"/>
      <c r="D194" s="3"/>
      <c r="E194" s="3"/>
      <c r="F194" s="3"/>
      <c r="G194" s="3"/>
      <c r="H194" s="3"/>
      <c r="I194" s="3"/>
    </row>
    <row r="195" spans="1:9" x14ac:dyDescent="0.25">
      <c r="A195" s="3"/>
      <c r="B195" s="3"/>
      <c r="C195" s="3"/>
      <c r="D195" s="3"/>
      <c r="E195" s="3"/>
      <c r="F195" s="3"/>
      <c r="G195" s="3"/>
      <c r="H195" s="3"/>
      <c r="I195" s="3"/>
    </row>
    <row r="196" spans="1:9" x14ac:dyDescent="0.25">
      <c r="A196" s="3"/>
      <c r="B196" s="3"/>
      <c r="C196" s="3"/>
      <c r="D196" s="3"/>
      <c r="E196" s="3"/>
      <c r="F196" s="3"/>
      <c r="G196" s="3"/>
      <c r="H196" s="3"/>
      <c r="I196" s="3"/>
    </row>
    <row r="197" spans="1:9" x14ac:dyDescent="0.25">
      <c r="A197" s="3"/>
      <c r="B197" s="3"/>
      <c r="C197" s="3"/>
      <c r="D197" s="3"/>
      <c r="E197" s="3"/>
      <c r="F197" s="3"/>
      <c r="G197" s="3"/>
      <c r="H197" s="3"/>
      <c r="I197" s="3"/>
    </row>
    <row r="198" spans="1:9" x14ac:dyDescent="0.25">
      <c r="A198" s="3"/>
      <c r="B198" s="3"/>
      <c r="C198" s="3"/>
      <c r="D198" s="3"/>
      <c r="E198" s="3"/>
      <c r="F198" s="3"/>
      <c r="G198" s="3"/>
      <c r="H198" s="3"/>
      <c r="I198" s="3"/>
    </row>
    <row r="199" spans="1:9" x14ac:dyDescent="0.25">
      <c r="A199" s="3"/>
      <c r="B199" s="3"/>
      <c r="C199" s="3"/>
      <c r="D199" s="3"/>
      <c r="E199" s="3"/>
      <c r="F199" s="3"/>
      <c r="G199" s="3"/>
      <c r="H199" s="3"/>
      <c r="I199" s="3"/>
    </row>
    <row r="200" spans="1:9" x14ac:dyDescent="0.25">
      <c r="A200" s="3"/>
      <c r="B200" s="3"/>
      <c r="C200" s="3"/>
      <c r="D200" s="3"/>
      <c r="E200" s="3"/>
      <c r="F200" s="3"/>
      <c r="G200" s="3"/>
      <c r="H200" s="3"/>
      <c r="I200" s="3"/>
    </row>
    <row r="201" spans="1:9" x14ac:dyDescent="0.25">
      <c r="A201" s="3"/>
      <c r="B201" s="3"/>
      <c r="C201" s="3"/>
      <c r="D201" s="3"/>
      <c r="E201" s="3"/>
      <c r="F201" s="3"/>
      <c r="G201" s="3"/>
      <c r="H201" s="3"/>
      <c r="I201" s="3"/>
    </row>
    <row r="202" spans="1:9" x14ac:dyDescent="0.25">
      <c r="A202" s="3"/>
      <c r="B202" s="3"/>
      <c r="C202" s="3"/>
      <c r="D202" s="3"/>
      <c r="E202" s="3"/>
      <c r="F202" s="3"/>
      <c r="G202" s="3"/>
      <c r="H202" s="3"/>
      <c r="I202" s="3"/>
    </row>
    <row r="203" spans="1:9" x14ac:dyDescent="0.25">
      <c r="A203" s="3"/>
      <c r="B203" s="3"/>
      <c r="C203" s="3"/>
      <c r="D203" s="3"/>
      <c r="E203" s="3"/>
      <c r="F203" s="3"/>
      <c r="G203" s="3"/>
      <c r="H203" s="3"/>
      <c r="I203" s="3"/>
    </row>
    <row r="204" spans="1:9" x14ac:dyDescent="0.25">
      <c r="A204" s="3"/>
      <c r="B204" s="3"/>
      <c r="C204" s="3"/>
      <c r="D204" s="3"/>
      <c r="E204" s="3"/>
      <c r="F204" s="3"/>
      <c r="G204" s="3"/>
      <c r="H204" s="3"/>
      <c r="I204" s="3"/>
    </row>
    <row r="205" spans="1:9" x14ac:dyDescent="0.25">
      <c r="A205" s="3"/>
      <c r="B205" s="3"/>
      <c r="C205" s="3"/>
      <c r="D205" s="3"/>
      <c r="E205" s="3"/>
      <c r="F205" s="3"/>
      <c r="G205" s="3"/>
      <c r="H205" s="3"/>
      <c r="I205" s="3"/>
    </row>
    <row r="206" spans="1:9" x14ac:dyDescent="0.25">
      <c r="A206" s="3"/>
      <c r="B206" s="3"/>
      <c r="C206" s="3"/>
      <c r="D206" s="3"/>
      <c r="E206" s="3"/>
      <c r="F206" s="3"/>
      <c r="G206" s="3"/>
      <c r="H206" s="3"/>
      <c r="I206" s="3"/>
    </row>
    <row r="207" spans="1:9" x14ac:dyDescent="0.25">
      <c r="A207" s="3"/>
      <c r="B207" s="3"/>
      <c r="C207" s="3"/>
      <c r="D207" s="3"/>
      <c r="E207" s="3"/>
      <c r="F207" s="3"/>
      <c r="G207" s="3"/>
      <c r="H207" s="3"/>
      <c r="I207" s="3"/>
    </row>
    <row r="208" spans="1:9" x14ac:dyDescent="0.25">
      <c r="A208" s="3"/>
      <c r="B208" s="3"/>
      <c r="C208" s="3"/>
      <c r="D208" s="3"/>
      <c r="E208" s="3"/>
      <c r="F208" s="3"/>
      <c r="G208" s="3"/>
      <c r="H208" s="3"/>
      <c r="I208" s="3"/>
    </row>
    <row r="209" spans="1:9" x14ac:dyDescent="0.25">
      <c r="A209" s="3"/>
      <c r="B209" s="3"/>
      <c r="C209" s="3"/>
      <c r="D209" s="3"/>
      <c r="E209" s="3"/>
      <c r="F209" s="3"/>
      <c r="G209" s="3"/>
      <c r="H209" s="3"/>
      <c r="I209" s="3"/>
    </row>
    <row r="210" spans="1:9" x14ac:dyDescent="0.25">
      <c r="A210" s="3"/>
      <c r="B210" s="3"/>
      <c r="C210" s="3"/>
      <c r="D210" s="3"/>
      <c r="E210" s="3"/>
      <c r="F210" s="3"/>
      <c r="G210" s="3"/>
      <c r="H210" s="3"/>
      <c r="I210" s="3"/>
    </row>
    <row r="211" spans="1:9" x14ac:dyDescent="0.25">
      <c r="A211" s="3"/>
      <c r="B211" s="3"/>
      <c r="C211" s="3"/>
      <c r="D211" s="3"/>
      <c r="E211" s="3"/>
      <c r="F211" s="3"/>
      <c r="G211" s="3"/>
      <c r="H211" s="3"/>
      <c r="I211" s="3"/>
    </row>
    <row r="212" spans="1:9" x14ac:dyDescent="0.25">
      <c r="A212" s="3"/>
      <c r="B212" s="3"/>
      <c r="C212" s="3"/>
      <c r="D212" s="3"/>
      <c r="E212" s="3"/>
      <c r="F212" s="3"/>
      <c r="G212" s="3"/>
      <c r="H212" s="3"/>
      <c r="I212" s="3"/>
    </row>
    <row r="213" spans="1:9" x14ac:dyDescent="0.25">
      <c r="A213" s="3"/>
      <c r="B213" s="3"/>
      <c r="C213" s="3"/>
      <c r="D213" s="3"/>
      <c r="E213" s="3"/>
      <c r="F213" s="3"/>
      <c r="G213" s="3"/>
      <c r="H213" s="3"/>
      <c r="I213" s="3"/>
    </row>
    <row r="214" spans="1:9" x14ac:dyDescent="0.25">
      <c r="A214" s="3"/>
      <c r="B214" s="3"/>
      <c r="C214" s="3"/>
      <c r="D214" s="3"/>
      <c r="E214" s="3"/>
      <c r="F214" s="3"/>
      <c r="G214" s="3"/>
      <c r="H214" s="3"/>
      <c r="I214" s="3"/>
    </row>
    <row r="215" spans="1:9" x14ac:dyDescent="0.25">
      <c r="A215" s="3"/>
      <c r="B215" s="3"/>
      <c r="C215" s="3"/>
      <c r="D215" s="3"/>
      <c r="E215" s="3"/>
      <c r="F215" s="3"/>
      <c r="G215" s="3"/>
      <c r="H215" s="3"/>
      <c r="I215" s="3"/>
    </row>
    <row r="216" spans="1:9" x14ac:dyDescent="0.25">
      <c r="A216" s="3"/>
      <c r="B216" s="3"/>
      <c r="C216" s="3"/>
      <c r="D216" s="3"/>
      <c r="E216" s="3"/>
      <c r="F216" s="3"/>
      <c r="G216" s="3"/>
      <c r="H216" s="3"/>
      <c r="I216" s="3"/>
    </row>
    <row r="217" spans="1:9" x14ac:dyDescent="0.25">
      <c r="A217" s="3"/>
      <c r="B217" s="3"/>
      <c r="C217" s="3"/>
      <c r="D217" s="3"/>
      <c r="E217" s="3"/>
      <c r="F217" s="3"/>
      <c r="G217" s="3"/>
      <c r="H217" s="3"/>
      <c r="I217" s="3"/>
    </row>
    <row r="218" spans="1:9" x14ac:dyDescent="0.25">
      <c r="A218" s="3"/>
      <c r="B218" s="3"/>
      <c r="C218" s="3"/>
      <c r="D218" s="3"/>
      <c r="E218" s="3"/>
      <c r="F218" s="3"/>
      <c r="G218" s="3"/>
      <c r="H218" s="3"/>
      <c r="I218" s="3"/>
    </row>
    <row r="219" spans="1:9" x14ac:dyDescent="0.25">
      <c r="A219" s="3"/>
      <c r="B219" s="3"/>
      <c r="C219" s="3"/>
      <c r="D219" s="3"/>
      <c r="E219" s="3"/>
      <c r="F219" s="3"/>
      <c r="G219" s="3"/>
      <c r="H219" s="3"/>
      <c r="I219" s="3"/>
    </row>
    <row r="220" spans="1:9" x14ac:dyDescent="0.25">
      <c r="A220" s="3"/>
      <c r="B220" s="3"/>
      <c r="C220" s="3"/>
      <c r="D220" s="3"/>
      <c r="E220" s="3"/>
      <c r="F220" s="3"/>
      <c r="G220" s="3"/>
      <c r="H220" s="3"/>
      <c r="I220" s="3"/>
    </row>
    <row r="221" spans="1:9" x14ac:dyDescent="0.25">
      <c r="A221" s="3"/>
      <c r="B221" s="3"/>
      <c r="C221" s="3"/>
      <c r="D221" s="3"/>
      <c r="E221" s="3"/>
      <c r="F221" s="3"/>
      <c r="G221" s="3"/>
      <c r="H221" s="3"/>
      <c r="I221" s="3"/>
    </row>
    <row r="222" spans="1:9" x14ac:dyDescent="0.25">
      <c r="A222" s="3"/>
      <c r="B222" s="3"/>
      <c r="C222" s="3"/>
      <c r="D222" s="3"/>
      <c r="E222" s="3"/>
      <c r="F222" s="3"/>
      <c r="G222" s="3"/>
      <c r="H222" s="3"/>
      <c r="I222" s="3"/>
    </row>
    <row r="223" spans="1:9" x14ac:dyDescent="0.25">
      <c r="A223" s="3"/>
      <c r="B223" s="3"/>
      <c r="C223" s="3"/>
      <c r="D223" s="3"/>
      <c r="E223" s="3"/>
      <c r="F223" s="3"/>
      <c r="G223" s="3"/>
      <c r="H223" s="3"/>
      <c r="I223" s="3"/>
    </row>
    <row r="224" spans="1:9" x14ac:dyDescent="0.25">
      <c r="A224" s="3"/>
      <c r="B224" s="3"/>
      <c r="C224" s="3"/>
      <c r="D224" s="3"/>
      <c r="E224" s="3"/>
      <c r="F224" s="3"/>
      <c r="G224" s="3"/>
      <c r="H224" s="3"/>
      <c r="I224" s="3"/>
    </row>
    <row r="225" spans="1:9" x14ac:dyDescent="0.25">
      <c r="A225" s="3"/>
      <c r="B225" s="3"/>
      <c r="C225" s="3"/>
      <c r="D225" s="3"/>
      <c r="E225" s="3"/>
      <c r="F225" s="3"/>
      <c r="G225" s="3"/>
      <c r="H225" s="3"/>
      <c r="I225" s="3"/>
    </row>
    <row r="226" spans="1:9" x14ac:dyDescent="0.25">
      <c r="A226" s="3"/>
      <c r="B226" s="3"/>
      <c r="C226" s="3"/>
      <c r="D226" s="3"/>
      <c r="E226" s="3"/>
      <c r="F226" s="3"/>
      <c r="G226" s="3"/>
      <c r="H226" s="3"/>
      <c r="I226" s="3"/>
    </row>
    <row r="227" spans="1:9" x14ac:dyDescent="0.25">
      <c r="A227" s="3"/>
      <c r="B227" s="3"/>
      <c r="C227" s="3"/>
      <c r="D227" s="3"/>
      <c r="E227" s="3"/>
      <c r="F227" s="3"/>
      <c r="G227" s="3"/>
      <c r="H227" s="3"/>
      <c r="I227" s="3"/>
    </row>
    <row r="228" spans="1:9" x14ac:dyDescent="0.25">
      <c r="A228" s="3"/>
      <c r="B228" s="3"/>
      <c r="C228" s="3"/>
      <c r="D228" s="3"/>
      <c r="E228" s="3"/>
      <c r="F228" s="3"/>
      <c r="G228" s="3"/>
      <c r="H228" s="3"/>
      <c r="I228" s="3"/>
    </row>
    <row r="229" spans="1:9" x14ac:dyDescent="0.25">
      <c r="A229" s="3"/>
      <c r="B229" s="3"/>
      <c r="C229" s="3"/>
      <c r="D229" s="3"/>
      <c r="E229" s="3"/>
      <c r="F229" s="3"/>
      <c r="G229" s="3"/>
      <c r="H229" s="3"/>
      <c r="I229" s="3"/>
    </row>
    <row r="230" spans="1:9" x14ac:dyDescent="0.25">
      <c r="A230" s="3"/>
      <c r="B230" s="3"/>
      <c r="C230" s="3"/>
      <c r="D230" s="3"/>
      <c r="E230" s="3"/>
      <c r="F230" s="3"/>
      <c r="G230" s="3"/>
      <c r="H230" s="3"/>
      <c r="I230" s="3"/>
    </row>
    <row r="231" spans="1:9" x14ac:dyDescent="0.25">
      <c r="A231" s="3"/>
      <c r="B231" s="3"/>
      <c r="C231" s="3"/>
      <c r="D231" s="3"/>
      <c r="E231" s="3"/>
      <c r="F231" s="3"/>
      <c r="G231" s="3"/>
      <c r="H231" s="3"/>
      <c r="I231" s="3"/>
    </row>
    <row r="232" spans="1:9" x14ac:dyDescent="0.25">
      <c r="A232" s="3"/>
      <c r="B232" s="3"/>
      <c r="C232" s="3"/>
      <c r="D232" s="3"/>
      <c r="E232" s="3"/>
      <c r="F232" s="3"/>
      <c r="G232" s="3"/>
      <c r="H232" s="3"/>
      <c r="I232" s="3"/>
    </row>
    <row r="233" spans="1:9" x14ac:dyDescent="0.25">
      <c r="A233" s="3"/>
      <c r="B233" s="3"/>
      <c r="C233" s="3"/>
      <c r="D233" s="3"/>
      <c r="E233" s="3"/>
      <c r="F233" s="3"/>
      <c r="G233" s="3"/>
      <c r="H233" s="3"/>
      <c r="I233" s="3"/>
    </row>
    <row r="234" spans="1:9" x14ac:dyDescent="0.25">
      <c r="A234" s="3"/>
      <c r="B234" s="3"/>
      <c r="C234" s="3"/>
      <c r="D234" s="3"/>
      <c r="E234" s="3"/>
      <c r="F234" s="3"/>
      <c r="G234" s="3"/>
      <c r="H234" s="3"/>
      <c r="I234" s="3"/>
    </row>
    <row r="235" spans="1:9" x14ac:dyDescent="0.25">
      <c r="A235" s="3"/>
      <c r="B235" s="3"/>
      <c r="C235" s="3"/>
      <c r="D235" s="3"/>
      <c r="E235" s="3"/>
      <c r="F235" s="3"/>
      <c r="G235" s="3"/>
      <c r="H235" s="3"/>
      <c r="I235" s="3"/>
    </row>
    <row r="236" spans="1:9" x14ac:dyDescent="0.25">
      <c r="A236" s="3"/>
      <c r="B236" s="3"/>
      <c r="C236" s="3"/>
      <c r="D236" s="3"/>
      <c r="E236" s="3"/>
      <c r="F236" s="3"/>
      <c r="G236" s="3"/>
      <c r="H236" s="3"/>
      <c r="I236" s="3"/>
    </row>
    <row r="237" spans="1:9" x14ac:dyDescent="0.25">
      <c r="A237" s="3"/>
      <c r="B237" s="3"/>
      <c r="C237" s="3"/>
      <c r="D237" s="3"/>
      <c r="E237" s="3"/>
      <c r="F237" s="3"/>
      <c r="G237" s="3"/>
      <c r="H237" s="3"/>
      <c r="I237" s="3"/>
    </row>
    <row r="238" spans="1:9" x14ac:dyDescent="0.25">
      <c r="A238" s="3"/>
      <c r="B238" s="3"/>
      <c r="C238" s="3"/>
      <c r="D238" s="3"/>
      <c r="E238" s="3"/>
      <c r="F238" s="3"/>
      <c r="G238" s="3"/>
      <c r="H238" s="3"/>
      <c r="I238" s="3"/>
    </row>
    <row r="239" spans="1:9" x14ac:dyDescent="0.25">
      <c r="A239" s="3"/>
      <c r="B239" s="3"/>
      <c r="C239" s="3"/>
      <c r="D239" s="3"/>
      <c r="E239" s="3"/>
      <c r="F239" s="3"/>
      <c r="G239" s="3"/>
      <c r="H239" s="3"/>
      <c r="I239" s="3"/>
    </row>
    <row r="240" spans="1:9" x14ac:dyDescent="0.25">
      <c r="A240" s="3"/>
      <c r="B240" s="3"/>
      <c r="C240" s="3"/>
      <c r="D240" s="3"/>
      <c r="E240" s="3"/>
      <c r="F240" s="3"/>
      <c r="G240" s="3"/>
      <c r="H240" s="3"/>
      <c r="I240" s="3"/>
    </row>
    <row r="241" spans="1:9" x14ac:dyDescent="0.25">
      <c r="A241" s="3"/>
      <c r="B241" s="3"/>
      <c r="C241" s="3"/>
      <c r="D241" s="3"/>
      <c r="E241" s="3"/>
      <c r="F241" s="3"/>
      <c r="G241" s="3"/>
      <c r="H241" s="3"/>
      <c r="I241" s="3"/>
    </row>
    <row r="242" spans="1:9" x14ac:dyDescent="0.25">
      <c r="A242" s="3"/>
      <c r="B242" s="3"/>
      <c r="C242" s="3"/>
      <c r="D242" s="3"/>
      <c r="E242" s="3"/>
      <c r="F242" s="3"/>
      <c r="G242" s="3"/>
      <c r="H242" s="3"/>
      <c r="I242" s="3"/>
    </row>
    <row r="243" spans="1:9" x14ac:dyDescent="0.25">
      <c r="A243" s="3"/>
      <c r="B243" s="3"/>
      <c r="C243" s="3"/>
      <c r="D243" s="3"/>
      <c r="E243" s="3"/>
      <c r="F243" s="3"/>
      <c r="G243" s="3"/>
      <c r="H243" s="3"/>
      <c r="I243" s="3"/>
    </row>
    <row r="244" spans="1:9" x14ac:dyDescent="0.25">
      <c r="A244" s="3"/>
      <c r="B244" s="3"/>
      <c r="C244" s="3"/>
      <c r="D244" s="3"/>
      <c r="E244" s="3"/>
      <c r="F244" s="3"/>
      <c r="G244" s="3"/>
      <c r="H244" s="3"/>
      <c r="I244" s="3"/>
    </row>
    <row r="245" spans="1:9" x14ac:dyDescent="0.25">
      <c r="A245" s="3"/>
      <c r="B245" s="3"/>
      <c r="C245" s="3"/>
      <c r="D245" s="3"/>
      <c r="E245" s="3"/>
      <c r="F245" s="3"/>
      <c r="G245" s="3"/>
      <c r="H245" s="3"/>
      <c r="I245" s="3"/>
    </row>
    <row r="246" spans="1:9" x14ac:dyDescent="0.25">
      <c r="A246" s="3"/>
      <c r="B246" s="3"/>
      <c r="C246" s="3"/>
      <c r="D246" s="3"/>
      <c r="E246" s="3"/>
      <c r="F246" s="3"/>
      <c r="G246" s="3"/>
      <c r="H246" s="3"/>
      <c r="I246" s="3"/>
    </row>
    <row r="247" spans="1:9" x14ac:dyDescent="0.25">
      <c r="A247" s="3"/>
      <c r="B247" s="3"/>
      <c r="C247" s="3"/>
      <c r="D247" s="3"/>
      <c r="E247" s="3"/>
      <c r="F247" s="3"/>
      <c r="G247" s="3"/>
      <c r="H247" s="3"/>
      <c r="I247" s="3"/>
    </row>
    <row r="248" spans="1:9" x14ac:dyDescent="0.25">
      <c r="A248" s="3"/>
      <c r="B248" s="3"/>
      <c r="C248" s="3"/>
      <c r="D248" s="3"/>
      <c r="E248" s="3"/>
      <c r="F248" s="3"/>
      <c r="G248" s="3"/>
      <c r="H248" s="3"/>
      <c r="I248" s="3"/>
    </row>
    <row r="249" spans="1:9" x14ac:dyDescent="0.25">
      <c r="A249" s="3"/>
      <c r="B249" s="3"/>
      <c r="C249" s="3"/>
      <c r="D249" s="3"/>
      <c r="E249" s="3"/>
      <c r="F249" s="3"/>
      <c r="G249" s="3"/>
      <c r="H249" s="3"/>
      <c r="I249" s="3"/>
    </row>
    <row r="250" spans="1:9" x14ac:dyDescent="0.25">
      <c r="A250" s="3"/>
      <c r="B250" s="3"/>
      <c r="C250" s="3"/>
      <c r="D250" s="3"/>
      <c r="E250" s="3"/>
      <c r="F250" s="3"/>
      <c r="G250" s="3"/>
      <c r="H250" s="3"/>
      <c r="I250" s="3"/>
    </row>
    <row r="251" spans="1:9" x14ac:dyDescent="0.25">
      <c r="A251" s="3"/>
      <c r="B251" s="3"/>
      <c r="C251" s="3"/>
      <c r="D251" s="3"/>
      <c r="E251" s="3"/>
      <c r="F251" s="3"/>
      <c r="G251" s="3"/>
      <c r="H251" s="3"/>
      <c r="I251" s="3"/>
    </row>
    <row r="252" spans="1:9" x14ac:dyDescent="0.25">
      <c r="A252" s="3"/>
      <c r="B252" s="3"/>
      <c r="C252" s="3"/>
      <c r="D252" s="3"/>
      <c r="E252" s="3"/>
      <c r="F252" s="3"/>
      <c r="G252" s="3"/>
      <c r="H252" s="3"/>
      <c r="I252" s="3"/>
    </row>
    <row r="253" spans="1:9" x14ac:dyDescent="0.25">
      <c r="A253" s="3"/>
      <c r="B253" s="3"/>
      <c r="C253" s="3"/>
      <c r="D253" s="3"/>
      <c r="E253" s="3"/>
      <c r="F253" s="3"/>
      <c r="G253" s="3"/>
      <c r="H253" s="3"/>
      <c r="I253" s="3"/>
    </row>
    <row r="254" spans="1:9" x14ac:dyDescent="0.25">
      <c r="A254" s="3"/>
      <c r="B254" s="3"/>
      <c r="C254" s="3"/>
      <c r="D254" s="3"/>
      <c r="E254" s="3"/>
      <c r="F254" s="3"/>
      <c r="G254" s="3"/>
      <c r="H254" s="3"/>
      <c r="I254" s="3"/>
    </row>
    <row r="255" spans="1:9" x14ac:dyDescent="0.25">
      <c r="A255" s="3"/>
      <c r="B255" s="3"/>
      <c r="C255" s="3"/>
      <c r="D255" s="3"/>
      <c r="E255" s="3"/>
      <c r="F255" s="3"/>
      <c r="G255" s="3"/>
      <c r="H255" s="3"/>
      <c r="I255" s="3"/>
    </row>
    <row r="256" spans="1:9" x14ac:dyDescent="0.25">
      <c r="A256" s="3"/>
      <c r="B256" s="3"/>
      <c r="C256" s="3"/>
      <c r="D256" s="3"/>
      <c r="E256" s="3"/>
      <c r="F256" s="3"/>
      <c r="G256" s="3"/>
      <c r="H256" s="3"/>
      <c r="I256" s="3"/>
    </row>
    <row r="257" spans="1:9" x14ac:dyDescent="0.25">
      <c r="A257" s="3"/>
      <c r="B257" s="3"/>
      <c r="C257" s="3"/>
      <c r="D257" s="3"/>
      <c r="E257" s="3"/>
      <c r="F257" s="3"/>
      <c r="G257" s="3"/>
      <c r="H257" s="3"/>
      <c r="I257" s="3"/>
    </row>
    <row r="258" spans="1:9" x14ac:dyDescent="0.25">
      <c r="A258" s="3"/>
      <c r="B258" s="3"/>
      <c r="C258" s="3"/>
      <c r="D258" s="3"/>
      <c r="E258" s="3"/>
      <c r="F258" s="3"/>
      <c r="G258" s="3"/>
      <c r="H258" s="3"/>
      <c r="I258" s="3"/>
    </row>
    <row r="259" spans="1:9" x14ac:dyDescent="0.25">
      <c r="A259" s="3"/>
      <c r="B259" s="3"/>
      <c r="C259" s="3"/>
      <c r="D259" s="3"/>
      <c r="E259" s="3"/>
      <c r="F259" s="3"/>
      <c r="G259" s="3"/>
      <c r="H259" s="3"/>
      <c r="I259" s="3"/>
    </row>
    <row r="260" spans="1:9" x14ac:dyDescent="0.25">
      <c r="A260" s="3"/>
      <c r="B260" s="3"/>
      <c r="C260" s="3"/>
      <c r="D260" s="3"/>
      <c r="E260" s="3"/>
      <c r="F260" s="3"/>
      <c r="G260" s="3"/>
      <c r="H260" s="3"/>
      <c r="I260" s="3"/>
    </row>
    <row r="261" spans="1:9" x14ac:dyDescent="0.25">
      <c r="A261" s="3"/>
      <c r="B261" s="3"/>
      <c r="C261" s="3"/>
      <c r="D261" s="3"/>
      <c r="E261" s="3"/>
      <c r="F261" s="3"/>
      <c r="G261" s="3"/>
      <c r="H261" s="3"/>
      <c r="I261" s="3"/>
    </row>
    <row r="262" spans="1:9" x14ac:dyDescent="0.25">
      <c r="A262" s="3"/>
      <c r="B262" s="3"/>
      <c r="C262" s="3"/>
      <c r="D262" s="3"/>
      <c r="E262" s="3"/>
      <c r="F262" s="3"/>
      <c r="G262" s="3"/>
      <c r="H262" s="3"/>
      <c r="I262" s="3"/>
    </row>
    <row r="263" spans="1:9" x14ac:dyDescent="0.25">
      <c r="A263" s="3"/>
      <c r="B263" s="3"/>
      <c r="C263" s="3"/>
      <c r="D263" s="3"/>
      <c r="E263" s="3"/>
      <c r="F263" s="3"/>
      <c r="G263" s="3"/>
      <c r="H263" s="3"/>
      <c r="I263" s="3"/>
    </row>
    <row r="264" spans="1:9" x14ac:dyDescent="0.25">
      <c r="A264" s="3"/>
      <c r="B264" s="3"/>
      <c r="C264" s="3"/>
      <c r="D264" s="3"/>
      <c r="E264" s="3"/>
      <c r="F264" s="3"/>
      <c r="G264" s="3"/>
      <c r="H264" s="3"/>
      <c r="I264" s="3"/>
    </row>
    <row r="265" spans="1:9" x14ac:dyDescent="0.25">
      <c r="A265" s="3"/>
      <c r="B265" s="3"/>
      <c r="C265" s="3"/>
      <c r="D265" s="3"/>
      <c r="E265" s="3"/>
      <c r="F265" s="3"/>
      <c r="G265" s="3"/>
      <c r="H265" s="3"/>
      <c r="I265" s="3"/>
    </row>
    <row r="266" spans="1:9" x14ac:dyDescent="0.25">
      <c r="A266" s="3"/>
      <c r="B266" s="3"/>
      <c r="C266" s="3"/>
      <c r="D266" s="3"/>
      <c r="E266" s="3"/>
      <c r="F266" s="3"/>
      <c r="G266" s="3"/>
      <c r="H266" s="3"/>
      <c r="I266" s="3"/>
    </row>
    <row r="267" spans="1:9" x14ac:dyDescent="0.25">
      <c r="A267" s="3"/>
      <c r="B267" s="3"/>
      <c r="C267" s="3"/>
      <c r="D267" s="3"/>
      <c r="E267" s="3"/>
      <c r="F267" s="3"/>
      <c r="G267" s="3"/>
      <c r="H267" s="3"/>
      <c r="I267" s="3"/>
    </row>
    <row r="268" spans="1:9" x14ac:dyDescent="0.25">
      <c r="A268" s="3"/>
      <c r="B268" s="3"/>
      <c r="C268" s="3"/>
      <c r="D268" s="3"/>
      <c r="E268" s="3"/>
      <c r="F268" s="3"/>
      <c r="G268" s="3"/>
      <c r="H268" s="3"/>
      <c r="I268" s="3"/>
    </row>
    <row r="269" spans="1:9" x14ac:dyDescent="0.25">
      <c r="A269" s="3"/>
      <c r="B269" s="3"/>
      <c r="C269" s="3"/>
      <c r="D269" s="3"/>
      <c r="E269" s="3"/>
      <c r="F269" s="3"/>
      <c r="G269" s="3"/>
      <c r="H269" s="3"/>
      <c r="I269" s="3"/>
    </row>
    <row r="270" spans="1:9" x14ac:dyDescent="0.25">
      <c r="A270" s="3"/>
      <c r="B270" s="3"/>
      <c r="C270" s="3"/>
      <c r="D270" s="3"/>
      <c r="E270" s="3"/>
      <c r="F270" s="3"/>
      <c r="G270" s="3"/>
      <c r="H270" s="3"/>
      <c r="I270" s="3"/>
    </row>
    <row r="271" spans="1:9" x14ac:dyDescent="0.25">
      <c r="A271" s="3"/>
      <c r="B271" s="3"/>
      <c r="C271" s="3"/>
      <c r="D271" s="3"/>
      <c r="E271" s="3"/>
      <c r="F271" s="3"/>
      <c r="G271" s="3"/>
      <c r="H271" s="3"/>
      <c r="I271" s="3"/>
    </row>
    <row r="272" spans="1:9" x14ac:dyDescent="0.25">
      <c r="A272" s="3"/>
      <c r="B272" s="3"/>
      <c r="C272" s="3"/>
      <c r="D272" s="3"/>
      <c r="E272" s="3"/>
      <c r="F272" s="3"/>
      <c r="G272" s="3"/>
      <c r="H272" s="3"/>
      <c r="I272" s="3"/>
    </row>
    <row r="273" spans="1:9" x14ac:dyDescent="0.25">
      <c r="A273" s="3"/>
      <c r="B273" s="3"/>
      <c r="C273" s="3"/>
      <c r="D273" s="3"/>
      <c r="E273" s="3"/>
      <c r="F273" s="3"/>
      <c r="G273" s="3"/>
      <c r="H273" s="3"/>
      <c r="I273" s="3"/>
    </row>
    <row r="274" spans="1:9" x14ac:dyDescent="0.25">
      <c r="A274" s="3"/>
      <c r="B274" s="3"/>
      <c r="C274" s="3"/>
      <c r="D274" s="3"/>
      <c r="E274" s="3"/>
      <c r="F274" s="3"/>
      <c r="G274" s="3"/>
      <c r="H274" s="3"/>
      <c r="I274" s="3"/>
    </row>
    <row r="275" spans="1:9" x14ac:dyDescent="0.25">
      <c r="A275" s="3"/>
      <c r="B275" s="3"/>
      <c r="C275" s="3"/>
      <c r="D275" s="3"/>
      <c r="E275" s="3"/>
      <c r="F275" s="3"/>
      <c r="G275" s="3"/>
      <c r="H275" s="3"/>
      <c r="I275" s="3"/>
    </row>
    <row r="276" spans="1:9" x14ac:dyDescent="0.25">
      <c r="A276" s="3"/>
      <c r="B276" s="3"/>
      <c r="C276" s="3"/>
      <c r="D276" s="3"/>
      <c r="E276" s="3"/>
      <c r="F276" s="3"/>
      <c r="G276" s="3"/>
      <c r="H276" s="3"/>
      <c r="I276" s="3"/>
    </row>
    <row r="277" spans="1:9" x14ac:dyDescent="0.25">
      <c r="A277" s="3"/>
      <c r="B277" s="3"/>
      <c r="C277" s="3"/>
      <c r="D277" s="3"/>
      <c r="E277" s="3"/>
      <c r="F277" s="3"/>
      <c r="G277" s="3"/>
      <c r="H277" s="3"/>
      <c r="I277" s="3"/>
    </row>
    <row r="278" spans="1:9" x14ac:dyDescent="0.25">
      <c r="A278" s="3"/>
      <c r="B278" s="3"/>
      <c r="C278" s="3"/>
      <c r="D278" s="3"/>
      <c r="E278" s="3"/>
      <c r="F278" s="3"/>
      <c r="G278" s="3"/>
      <c r="H278" s="3"/>
      <c r="I278" s="3"/>
    </row>
    <row r="279" spans="1:9" x14ac:dyDescent="0.25">
      <c r="A279" s="3"/>
      <c r="B279" s="3"/>
      <c r="C279" s="3"/>
      <c r="D279" s="3"/>
      <c r="E279" s="3"/>
      <c r="F279" s="3"/>
      <c r="G279" s="3"/>
      <c r="H279" s="3"/>
      <c r="I279" s="3"/>
    </row>
    <row r="280" spans="1:9" x14ac:dyDescent="0.25">
      <c r="A280" s="3"/>
      <c r="B280" s="3"/>
      <c r="C280" s="3"/>
      <c r="D280" s="3"/>
      <c r="E280" s="3"/>
      <c r="F280" s="3"/>
      <c r="G280" s="3"/>
      <c r="H280" s="3"/>
      <c r="I280" s="3"/>
    </row>
    <row r="281" spans="1:9" x14ac:dyDescent="0.25">
      <c r="A281" s="3"/>
      <c r="B281" s="3"/>
      <c r="C281" s="3"/>
      <c r="D281" s="3"/>
      <c r="E281" s="3"/>
      <c r="F281" s="3"/>
      <c r="G281" s="3"/>
      <c r="H281" s="3"/>
      <c r="I281" s="3"/>
    </row>
    <row r="282" spans="1:9" x14ac:dyDescent="0.25">
      <c r="A282" s="3"/>
      <c r="B282" s="3"/>
      <c r="C282" s="3"/>
      <c r="D282" s="3"/>
      <c r="E282" s="3"/>
      <c r="F282" s="3"/>
      <c r="G282" s="3"/>
      <c r="H282" s="3"/>
      <c r="I282" s="3"/>
    </row>
    <row r="283" spans="1:9" x14ac:dyDescent="0.25">
      <c r="A283" s="3"/>
      <c r="B283" s="3"/>
      <c r="C283" s="3"/>
      <c r="D283" s="3"/>
      <c r="E283" s="3"/>
      <c r="F283" s="3"/>
      <c r="G283" s="3"/>
      <c r="H283" s="3"/>
      <c r="I283" s="3"/>
    </row>
    <row r="284" spans="1:9" x14ac:dyDescent="0.25">
      <c r="A284" s="3"/>
      <c r="B284" s="3"/>
      <c r="C284" s="3"/>
      <c r="D284" s="3"/>
      <c r="E284" s="3"/>
      <c r="F284" s="3"/>
      <c r="G284" s="3"/>
      <c r="H284" s="3"/>
      <c r="I284" s="3"/>
    </row>
    <row r="285" spans="1:9" x14ac:dyDescent="0.25">
      <c r="A285" s="3"/>
      <c r="B285" s="3"/>
      <c r="C285" s="3"/>
      <c r="D285" s="3"/>
      <c r="E285" s="3"/>
      <c r="F285" s="3"/>
      <c r="G285" s="3"/>
      <c r="H285" s="3"/>
      <c r="I285" s="3"/>
    </row>
    <row r="286" spans="1:9" x14ac:dyDescent="0.25">
      <c r="A286" s="3"/>
      <c r="B286" s="3"/>
      <c r="C286" s="3"/>
      <c r="D286" s="3"/>
      <c r="E286" s="3"/>
      <c r="F286" s="3"/>
      <c r="G286" s="3"/>
      <c r="H286" s="3"/>
      <c r="I286" s="3"/>
    </row>
    <row r="287" spans="1:9" x14ac:dyDescent="0.25">
      <c r="A287" s="3"/>
      <c r="B287" s="3"/>
      <c r="C287" s="3"/>
      <c r="D287" s="3"/>
      <c r="E287" s="3"/>
      <c r="F287" s="3"/>
      <c r="G287" s="3"/>
      <c r="H287" s="3"/>
      <c r="I287" s="3"/>
    </row>
    <row r="288" spans="1:9" x14ac:dyDescent="0.25">
      <c r="A288" s="3"/>
      <c r="B288" s="3"/>
      <c r="C288" s="3"/>
      <c r="D288" s="3"/>
      <c r="E288" s="3"/>
      <c r="F288" s="3"/>
      <c r="G288" s="3"/>
      <c r="H288" s="3"/>
      <c r="I288" s="3"/>
    </row>
    <row r="289" spans="1:9" x14ac:dyDescent="0.25">
      <c r="A289" s="3"/>
      <c r="B289" s="3"/>
      <c r="C289" s="3"/>
      <c r="D289" s="3"/>
      <c r="E289" s="3"/>
      <c r="F289" s="3"/>
      <c r="G289" s="3"/>
      <c r="H289" s="3"/>
      <c r="I289" s="3"/>
    </row>
    <row r="290" spans="1:9" x14ac:dyDescent="0.25">
      <c r="A290" s="3"/>
      <c r="B290" s="3"/>
      <c r="C290" s="3"/>
      <c r="D290" s="3"/>
      <c r="E290" s="3"/>
      <c r="F290" s="3"/>
      <c r="G290" s="3"/>
      <c r="H290" s="3"/>
      <c r="I290" s="3"/>
    </row>
    <row r="291" spans="1:9" x14ac:dyDescent="0.25">
      <c r="A291" s="3"/>
      <c r="B291" s="3"/>
      <c r="C291" s="3"/>
      <c r="D291" s="3"/>
      <c r="E291" s="3"/>
      <c r="F291" s="3"/>
      <c r="G291" s="3"/>
      <c r="H291" s="3"/>
      <c r="I291" s="3"/>
    </row>
    <row r="292" spans="1:9" x14ac:dyDescent="0.25">
      <c r="A292" s="3"/>
      <c r="B292" s="3"/>
      <c r="C292" s="3"/>
      <c r="D292" s="3"/>
      <c r="E292" s="3"/>
      <c r="F292" s="3"/>
      <c r="G292" s="3"/>
      <c r="H292" s="3"/>
      <c r="I292" s="3"/>
    </row>
    <row r="293" spans="1:9" x14ac:dyDescent="0.25">
      <c r="A293" s="3"/>
      <c r="B293" s="3"/>
      <c r="C293" s="3"/>
      <c r="D293" s="3"/>
      <c r="E293" s="3"/>
      <c r="F293" s="3"/>
      <c r="G293" s="3"/>
      <c r="H293" s="3"/>
      <c r="I293" s="3"/>
    </row>
    <row r="294" spans="1:9" x14ac:dyDescent="0.25">
      <c r="A294" s="3"/>
      <c r="B294" s="3"/>
      <c r="C294" s="3"/>
      <c r="D294" s="3"/>
      <c r="E294" s="3"/>
      <c r="F294" s="3"/>
      <c r="G294" s="3"/>
      <c r="H294" s="3"/>
      <c r="I294" s="3"/>
    </row>
    <row r="295" spans="1:9" x14ac:dyDescent="0.25">
      <c r="A295" s="3"/>
      <c r="B295" s="3"/>
      <c r="C295" s="3"/>
      <c r="D295" s="3"/>
      <c r="E295" s="3"/>
      <c r="F295" s="3"/>
      <c r="G295" s="3"/>
      <c r="H295" s="3"/>
      <c r="I295" s="3"/>
    </row>
    <row r="296" spans="1:9" x14ac:dyDescent="0.25">
      <c r="A296" s="3"/>
      <c r="B296" s="3"/>
      <c r="C296" s="3"/>
      <c r="D296" s="3"/>
      <c r="E296" s="3"/>
      <c r="F296" s="3"/>
      <c r="G296" s="3"/>
      <c r="H296" s="3"/>
      <c r="I296" s="3"/>
    </row>
    <row r="297" spans="1:9" x14ac:dyDescent="0.25">
      <c r="A297" s="3"/>
      <c r="B297" s="3"/>
      <c r="C297" s="3"/>
      <c r="D297" s="3"/>
      <c r="E297" s="3"/>
      <c r="F297" s="3"/>
      <c r="G297" s="3"/>
      <c r="H297" s="3"/>
      <c r="I297" s="3"/>
    </row>
    <row r="298" spans="1:9" x14ac:dyDescent="0.25">
      <c r="A298" s="3"/>
      <c r="B298" s="3"/>
      <c r="C298" s="3"/>
      <c r="D298" s="3"/>
      <c r="E298" s="3"/>
      <c r="F298" s="3"/>
      <c r="G298" s="3"/>
      <c r="H298" s="3"/>
      <c r="I298" s="3"/>
    </row>
    <row r="299" spans="1:9" x14ac:dyDescent="0.25">
      <c r="A299" s="3"/>
      <c r="B299" s="3"/>
      <c r="C299" s="3"/>
      <c r="D299" s="3"/>
      <c r="E299" s="3"/>
      <c r="F299" s="3"/>
      <c r="G299" s="3"/>
      <c r="H299" s="3"/>
      <c r="I299" s="3"/>
    </row>
    <row r="300" spans="1:9" x14ac:dyDescent="0.25">
      <c r="A300" s="3"/>
      <c r="B300" s="3"/>
      <c r="C300" s="3"/>
      <c r="D300" s="3"/>
      <c r="E300" s="3"/>
      <c r="F300" s="3"/>
      <c r="G300" s="3"/>
      <c r="H300" s="3"/>
      <c r="I300" s="3"/>
    </row>
    <row r="301" spans="1:9" x14ac:dyDescent="0.25">
      <c r="A301" s="3"/>
      <c r="B301" s="3"/>
      <c r="C301" s="3"/>
      <c r="D301" s="3"/>
      <c r="E301" s="3"/>
      <c r="F301" s="3"/>
      <c r="G301" s="3"/>
      <c r="H301" s="3"/>
      <c r="I301" s="3"/>
    </row>
    <row r="302" spans="1:9" x14ac:dyDescent="0.25">
      <c r="A302" s="3"/>
      <c r="B302" s="3"/>
      <c r="C302" s="3"/>
      <c r="D302" s="3"/>
      <c r="E302" s="3"/>
      <c r="F302" s="3"/>
      <c r="G302" s="3"/>
      <c r="H302" s="3"/>
      <c r="I302" s="3"/>
    </row>
    <row r="303" spans="1:9" x14ac:dyDescent="0.25">
      <c r="A303" s="3"/>
      <c r="B303" s="3"/>
      <c r="C303" s="3"/>
      <c r="D303" s="3"/>
      <c r="E303" s="3"/>
      <c r="F303" s="3"/>
      <c r="G303" s="3"/>
      <c r="H303" s="3"/>
      <c r="I303" s="3"/>
    </row>
    <row r="304" spans="1:9" x14ac:dyDescent="0.25">
      <c r="A304" s="3"/>
      <c r="B304" s="3"/>
      <c r="C304" s="3"/>
      <c r="D304" s="3"/>
      <c r="E304" s="3"/>
      <c r="F304" s="3"/>
      <c r="G304" s="3"/>
      <c r="H304" s="3"/>
      <c r="I304" s="3"/>
    </row>
    <row r="305" spans="1:9" x14ac:dyDescent="0.25">
      <c r="A305" s="3"/>
      <c r="B305" s="3"/>
      <c r="C305" s="3"/>
      <c r="D305" s="3"/>
      <c r="E305" s="3"/>
      <c r="F305" s="3"/>
      <c r="G305" s="3"/>
      <c r="H305" s="3"/>
      <c r="I305" s="3"/>
    </row>
    <row r="306" spans="1:9" x14ac:dyDescent="0.25">
      <c r="A306" s="3"/>
      <c r="B306" s="3"/>
      <c r="C306" s="3"/>
      <c r="D306" s="3"/>
      <c r="E306" s="3"/>
      <c r="F306" s="3"/>
      <c r="G306" s="3"/>
      <c r="H306" s="3"/>
      <c r="I306" s="3"/>
    </row>
    <row r="307" spans="1:9" x14ac:dyDescent="0.25">
      <c r="A307" s="3"/>
      <c r="B307" s="3"/>
      <c r="C307" s="3"/>
      <c r="D307" s="3"/>
      <c r="E307" s="3"/>
      <c r="F307" s="3"/>
      <c r="G307" s="3"/>
      <c r="H307" s="3"/>
      <c r="I307" s="3"/>
    </row>
    <row r="308" spans="1:9" x14ac:dyDescent="0.25">
      <c r="A308" s="3"/>
      <c r="B308" s="3"/>
      <c r="C308" s="3"/>
      <c r="D308" s="3"/>
      <c r="E308" s="3"/>
      <c r="F308" s="3"/>
      <c r="G308" s="3"/>
      <c r="H308" s="3"/>
      <c r="I308" s="3"/>
    </row>
    <row r="309" spans="1:9" x14ac:dyDescent="0.25">
      <c r="A309" s="3"/>
      <c r="B309" s="3"/>
      <c r="C309" s="3"/>
      <c r="D309" s="3"/>
      <c r="E309" s="3"/>
      <c r="F309" s="3"/>
      <c r="G309" s="3"/>
      <c r="H309" s="3"/>
      <c r="I309" s="3"/>
    </row>
    <row r="310" spans="1:9" x14ac:dyDescent="0.25">
      <c r="A310" s="3"/>
      <c r="B310" s="3"/>
      <c r="C310" s="3"/>
      <c r="D310" s="3"/>
      <c r="E310" s="3"/>
      <c r="F310" s="3"/>
      <c r="G310" s="3"/>
      <c r="H310" s="3"/>
      <c r="I310" s="3"/>
    </row>
    <row r="311" spans="1:9" x14ac:dyDescent="0.25">
      <c r="A311" s="3"/>
      <c r="B311" s="3"/>
      <c r="C311" s="3"/>
      <c r="D311" s="3"/>
      <c r="E311" s="3"/>
      <c r="F311" s="3"/>
      <c r="G311" s="3"/>
      <c r="H311" s="3"/>
      <c r="I311" s="3"/>
    </row>
    <row r="312" spans="1:9" x14ac:dyDescent="0.25">
      <c r="A312" s="3"/>
      <c r="B312" s="3"/>
      <c r="C312" s="3"/>
      <c r="D312" s="3"/>
      <c r="E312" s="3"/>
      <c r="F312" s="3"/>
      <c r="G312" s="3"/>
      <c r="H312" s="3"/>
      <c r="I312" s="3"/>
    </row>
    <row r="313" spans="1:9" x14ac:dyDescent="0.25">
      <c r="A313" s="3"/>
      <c r="B313" s="3"/>
      <c r="C313" s="3"/>
      <c r="D313" s="3"/>
      <c r="E313" s="3"/>
      <c r="F313" s="3"/>
      <c r="G313" s="3"/>
      <c r="H313" s="3"/>
      <c r="I313" s="3"/>
    </row>
    <row r="314" spans="1:9" x14ac:dyDescent="0.25">
      <c r="A314" s="3"/>
      <c r="B314" s="3"/>
      <c r="C314" s="3"/>
      <c r="D314" s="3"/>
      <c r="E314" s="3"/>
      <c r="F314" s="3"/>
      <c r="G314" s="3"/>
      <c r="H314" s="3"/>
      <c r="I314" s="3"/>
    </row>
    <row r="315" spans="1:9" x14ac:dyDescent="0.25">
      <c r="A315" s="3"/>
      <c r="B315" s="3"/>
      <c r="C315" s="3"/>
      <c r="D315" s="3"/>
      <c r="E315" s="3"/>
      <c r="F315" s="3"/>
      <c r="G315" s="3"/>
      <c r="H315" s="3"/>
      <c r="I315" s="3"/>
    </row>
    <row r="316" spans="1:9" x14ac:dyDescent="0.25">
      <c r="A316" s="3"/>
      <c r="B316" s="3"/>
      <c r="C316" s="3"/>
      <c r="D316" s="3"/>
      <c r="E316" s="3"/>
      <c r="F316" s="3"/>
      <c r="G316" s="3"/>
      <c r="H316" s="3"/>
      <c r="I316" s="3"/>
    </row>
    <row r="317" spans="1:9" x14ac:dyDescent="0.25">
      <c r="A317" s="3"/>
      <c r="B317" s="3"/>
      <c r="C317" s="3"/>
      <c r="D317" s="3"/>
      <c r="E317" s="3"/>
      <c r="F317" s="3"/>
      <c r="G317" s="3"/>
      <c r="H317" s="3"/>
      <c r="I317" s="3"/>
    </row>
    <row r="318" spans="1:9" x14ac:dyDescent="0.25">
      <c r="A318" s="3"/>
      <c r="B318" s="3"/>
      <c r="C318" s="3"/>
      <c r="D318" s="3"/>
      <c r="E318" s="3"/>
      <c r="F318" s="3"/>
      <c r="G318" s="3"/>
      <c r="H318" s="3"/>
      <c r="I318" s="3"/>
    </row>
    <row r="319" spans="1:9" x14ac:dyDescent="0.25">
      <c r="A319" s="3"/>
      <c r="B319" s="3"/>
      <c r="C319" s="3"/>
      <c r="D319" s="3"/>
      <c r="E319" s="3"/>
      <c r="F319" s="3"/>
      <c r="G319" s="3"/>
      <c r="H319" s="3"/>
      <c r="I319" s="3"/>
    </row>
    <row r="320" spans="1:9" x14ac:dyDescent="0.25">
      <c r="A320" s="3"/>
      <c r="B320" s="3"/>
      <c r="C320" s="3"/>
      <c r="D320" s="3"/>
      <c r="E320" s="3"/>
      <c r="F320" s="3"/>
      <c r="G320" s="3"/>
      <c r="H320" s="3"/>
      <c r="I320" s="3"/>
    </row>
    <row r="321" spans="1:9" x14ac:dyDescent="0.25">
      <c r="A321" s="3"/>
      <c r="B321" s="3"/>
      <c r="C321" s="3"/>
      <c r="D321" s="3"/>
      <c r="E321" s="3"/>
      <c r="F321" s="3"/>
      <c r="G321" s="3"/>
      <c r="H321" s="3"/>
      <c r="I321" s="3"/>
    </row>
    <row r="322" spans="1:9" x14ac:dyDescent="0.25">
      <c r="A322" s="3"/>
      <c r="B322" s="3"/>
      <c r="C322" s="3"/>
      <c r="D322" s="3"/>
      <c r="E322" s="3"/>
      <c r="F322" s="3"/>
      <c r="G322" s="3"/>
      <c r="H322" s="3"/>
      <c r="I322" s="3"/>
    </row>
    <row r="323" spans="1:9" x14ac:dyDescent="0.25">
      <c r="A323" s="3"/>
      <c r="B323" s="3"/>
      <c r="C323" s="3"/>
      <c r="D323" s="3"/>
      <c r="E323" s="3"/>
      <c r="F323" s="3"/>
      <c r="G323" s="3"/>
      <c r="H323" s="3"/>
      <c r="I323" s="3"/>
    </row>
    <row r="324" spans="1:9" x14ac:dyDescent="0.25">
      <c r="A324" s="3"/>
      <c r="B324" s="3"/>
      <c r="C324" s="3"/>
      <c r="D324" s="3"/>
      <c r="E324" s="3"/>
      <c r="F324" s="3"/>
      <c r="G324" s="3"/>
      <c r="H324" s="3"/>
      <c r="I324" s="3"/>
    </row>
    <row r="325" spans="1:9" x14ac:dyDescent="0.25">
      <c r="A325" s="3"/>
      <c r="B325" s="3"/>
      <c r="C325" s="3"/>
      <c r="D325" s="3"/>
      <c r="E325" s="3"/>
      <c r="F325" s="3"/>
      <c r="G325" s="3"/>
      <c r="H325" s="3"/>
      <c r="I325" s="3"/>
    </row>
    <row r="326" spans="1:9" x14ac:dyDescent="0.25">
      <c r="A326" s="3"/>
      <c r="B326" s="3"/>
      <c r="C326" s="3"/>
      <c r="D326" s="3"/>
      <c r="E326" s="3"/>
      <c r="F326" s="3"/>
      <c r="G326" s="3"/>
      <c r="H326" s="3"/>
      <c r="I326" s="3"/>
    </row>
    <row r="327" spans="1:9" x14ac:dyDescent="0.25">
      <c r="A327" s="3"/>
      <c r="B327" s="3"/>
      <c r="C327" s="3"/>
      <c r="D327" s="3"/>
      <c r="E327" s="3"/>
      <c r="F327" s="3"/>
      <c r="G327" s="3"/>
      <c r="H327" s="3"/>
      <c r="I327" s="3"/>
    </row>
    <row r="328" spans="1:9" x14ac:dyDescent="0.25">
      <c r="A328" s="3"/>
      <c r="B328" s="3"/>
      <c r="C328" s="3"/>
      <c r="D328" s="3"/>
      <c r="E328" s="3"/>
      <c r="F328" s="3"/>
      <c r="G328" s="3"/>
      <c r="H328" s="3"/>
      <c r="I328" s="3"/>
    </row>
    <row r="329" spans="1:9" x14ac:dyDescent="0.25">
      <c r="A329" s="3"/>
      <c r="B329" s="3"/>
      <c r="C329" s="3"/>
      <c r="D329" s="3"/>
      <c r="E329" s="3"/>
      <c r="F329" s="3"/>
      <c r="G329" s="3"/>
      <c r="H329" s="3"/>
      <c r="I329" s="3"/>
    </row>
    <row r="330" spans="1:9" x14ac:dyDescent="0.25">
      <c r="A330" s="3"/>
      <c r="B330" s="3"/>
      <c r="C330" s="3"/>
      <c r="D330" s="3"/>
      <c r="E330" s="3"/>
      <c r="F330" s="3"/>
      <c r="G330" s="3"/>
      <c r="H330" s="3"/>
      <c r="I330" s="3"/>
    </row>
    <row r="331" spans="1:9" x14ac:dyDescent="0.25">
      <c r="A331" s="3"/>
      <c r="B331" s="3"/>
      <c r="C331" s="3"/>
      <c r="D331" s="3"/>
      <c r="E331" s="3"/>
      <c r="F331" s="3"/>
      <c r="G331" s="3"/>
      <c r="H331" s="3"/>
      <c r="I331" s="3"/>
    </row>
    <row r="332" spans="1:9" x14ac:dyDescent="0.25">
      <c r="A332" s="3"/>
      <c r="B332" s="3"/>
      <c r="C332" s="3"/>
      <c r="D332" s="3"/>
      <c r="E332" s="3"/>
      <c r="F332" s="3"/>
      <c r="G332" s="3"/>
      <c r="H332" s="3"/>
      <c r="I332" s="3"/>
    </row>
    <row r="333" spans="1:9" x14ac:dyDescent="0.25">
      <c r="A333" s="3"/>
      <c r="B333" s="3"/>
      <c r="C333" s="3"/>
      <c r="D333" s="3"/>
      <c r="E333" s="3"/>
      <c r="F333" s="3"/>
      <c r="G333" s="3"/>
      <c r="H333" s="3"/>
      <c r="I333" s="3"/>
    </row>
    <row r="334" spans="1:9" x14ac:dyDescent="0.25">
      <c r="A334" s="3"/>
      <c r="B334" s="3"/>
      <c r="C334" s="3"/>
      <c r="D334" s="3"/>
      <c r="E334" s="3"/>
      <c r="F334" s="3"/>
      <c r="G334" s="3"/>
      <c r="H334" s="3"/>
      <c r="I334" s="3"/>
    </row>
    <row r="335" spans="1:9" x14ac:dyDescent="0.25">
      <c r="A335" s="3"/>
      <c r="B335" s="3"/>
      <c r="C335" s="3"/>
      <c r="D335" s="3"/>
      <c r="E335" s="3"/>
      <c r="F335" s="3"/>
      <c r="G335" s="3"/>
      <c r="H335" s="3"/>
      <c r="I335" s="3"/>
    </row>
    <row r="336" spans="1:9" x14ac:dyDescent="0.25">
      <c r="A336" s="3"/>
      <c r="B336" s="3"/>
      <c r="C336" s="3"/>
      <c r="D336" s="3"/>
      <c r="E336" s="3"/>
      <c r="F336" s="3"/>
      <c r="G336" s="3"/>
      <c r="H336" s="3"/>
      <c r="I336" s="3"/>
    </row>
    <row r="337" spans="1:9" x14ac:dyDescent="0.25">
      <c r="A337" s="3"/>
      <c r="B337" s="3"/>
      <c r="C337" s="3"/>
      <c r="D337" s="3"/>
      <c r="E337" s="3"/>
      <c r="F337" s="3"/>
      <c r="G337" s="3"/>
      <c r="H337" s="3"/>
      <c r="I337" s="3"/>
    </row>
    <row r="338" spans="1:9" x14ac:dyDescent="0.25">
      <c r="A338" s="3"/>
      <c r="B338" s="3"/>
      <c r="C338" s="3"/>
      <c r="D338" s="3"/>
      <c r="E338" s="3"/>
      <c r="F338" s="3"/>
      <c r="G338" s="3"/>
      <c r="H338" s="3"/>
      <c r="I338" s="3"/>
    </row>
    <row r="339" spans="1:9" x14ac:dyDescent="0.25">
      <c r="A339" s="3"/>
      <c r="B339" s="3"/>
      <c r="C339" s="3"/>
      <c r="D339" s="3"/>
      <c r="E339" s="3"/>
      <c r="F339" s="3"/>
      <c r="G339" s="3"/>
      <c r="H339" s="3"/>
      <c r="I339" s="3"/>
    </row>
    <row r="340" spans="1:9" x14ac:dyDescent="0.25">
      <c r="A340" s="3"/>
      <c r="B340" s="3"/>
      <c r="C340" s="3"/>
      <c r="D340" s="3"/>
      <c r="E340" s="3"/>
      <c r="F340" s="3"/>
      <c r="G340" s="3"/>
      <c r="H340" s="3"/>
      <c r="I340" s="3"/>
    </row>
    <row r="341" spans="1:9" x14ac:dyDescent="0.25">
      <c r="A341" s="3"/>
      <c r="B341" s="3"/>
      <c r="C341" s="3"/>
      <c r="D341" s="3"/>
      <c r="E341" s="3"/>
      <c r="F341" s="3"/>
      <c r="G341" s="3"/>
      <c r="H341" s="3"/>
      <c r="I341" s="3"/>
    </row>
    <row r="342" spans="1:9" x14ac:dyDescent="0.25">
      <c r="A342" s="3"/>
      <c r="B342" s="3"/>
      <c r="C342" s="3"/>
      <c r="D342" s="3"/>
      <c r="E342" s="3"/>
      <c r="F342" s="3"/>
      <c r="G342" s="3"/>
      <c r="H342" s="3"/>
      <c r="I342" s="3"/>
    </row>
    <row r="343" spans="1:9" x14ac:dyDescent="0.25">
      <c r="A343" s="3"/>
      <c r="B343" s="3"/>
      <c r="C343" s="3"/>
      <c r="D343" s="3"/>
      <c r="E343" s="3"/>
      <c r="F343" s="3"/>
      <c r="G343" s="3"/>
      <c r="H343" s="3"/>
      <c r="I343" s="3"/>
    </row>
    <row r="344" spans="1:9" x14ac:dyDescent="0.25">
      <c r="A344" s="3"/>
      <c r="B344" s="3"/>
      <c r="C344" s="3"/>
      <c r="D344" s="3"/>
      <c r="E344" s="3"/>
      <c r="F344" s="3"/>
      <c r="G344" s="3"/>
      <c r="H344" s="3"/>
      <c r="I344" s="3"/>
    </row>
    <row r="345" spans="1:9" x14ac:dyDescent="0.25">
      <c r="A345" s="3"/>
      <c r="B345" s="3"/>
      <c r="C345" s="3"/>
      <c r="D345" s="3"/>
      <c r="E345" s="3"/>
      <c r="F345" s="3"/>
      <c r="G345" s="3"/>
      <c r="H345" s="3"/>
      <c r="I345" s="3"/>
    </row>
    <row r="346" spans="1:9" x14ac:dyDescent="0.25">
      <c r="A346" s="3"/>
      <c r="B346" s="3"/>
      <c r="C346" s="3"/>
      <c r="D346" s="3"/>
      <c r="E346" s="3"/>
      <c r="F346" s="3"/>
      <c r="G346" s="3"/>
      <c r="H346" s="3"/>
      <c r="I346" s="3"/>
    </row>
    <row r="347" spans="1:9" x14ac:dyDescent="0.25">
      <c r="A347" s="3"/>
      <c r="B347" s="3"/>
      <c r="C347" s="3"/>
      <c r="D347" s="3"/>
      <c r="E347" s="3"/>
      <c r="F347" s="3"/>
      <c r="G347" s="3"/>
      <c r="H347" s="3"/>
      <c r="I347" s="3"/>
    </row>
    <row r="348" spans="1:9" x14ac:dyDescent="0.25">
      <c r="A348" s="3"/>
      <c r="B348" s="3"/>
      <c r="C348" s="3"/>
      <c r="D348" s="3"/>
      <c r="E348" s="3"/>
      <c r="F348" s="3"/>
      <c r="G348" s="3"/>
      <c r="H348" s="3"/>
      <c r="I348" s="3"/>
    </row>
    <row r="349" spans="1:9" x14ac:dyDescent="0.25">
      <c r="A349" s="3"/>
      <c r="B349" s="3"/>
      <c r="C349" s="3"/>
      <c r="D349" s="3"/>
      <c r="E349" s="3"/>
      <c r="F349" s="3"/>
      <c r="G349" s="3"/>
      <c r="H349" s="3"/>
      <c r="I349" s="3"/>
    </row>
    <row r="350" spans="1:9" x14ac:dyDescent="0.25">
      <c r="A350" s="3"/>
      <c r="B350" s="3"/>
      <c r="C350" s="3"/>
      <c r="D350" s="3"/>
      <c r="E350" s="3"/>
      <c r="F350" s="3"/>
      <c r="G350" s="3"/>
      <c r="H350" s="3"/>
      <c r="I350" s="3"/>
    </row>
    <row r="351" spans="1:9" x14ac:dyDescent="0.25">
      <c r="A351" s="3"/>
      <c r="B351" s="3"/>
      <c r="C351" s="3"/>
      <c r="D351" s="3"/>
      <c r="E351" s="3"/>
      <c r="F351" s="3"/>
      <c r="G351" s="3"/>
      <c r="H351" s="3"/>
      <c r="I351" s="3"/>
    </row>
    <row r="352" spans="1:9" x14ac:dyDescent="0.25">
      <c r="A352" s="3"/>
      <c r="B352" s="3"/>
      <c r="C352" s="3"/>
      <c r="D352" s="3"/>
      <c r="E352" s="3"/>
      <c r="F352" s="3"/>
      <c r="G352" s="3"/>
      <c r="H352" s="3"/>
      <c r="I352" s="3"/>
    </row>
    <row r="353" spans="1:9" x14ac:dyDescent="0.25">
      <c r="A353" s="3"/>
      <c r="B353" s="3"/>
      <c r="C353" s="3"/>
      <c r="D353" s="3"/>
      <c r="E353" s="3"/>
      <c r="F353" s="3"/>
      <c r="G353" s="3"/>
      <c r="H353" s="3"/>
      <c r="I353" s="3"/>
    </row>
    <row r="354" spans="1:9" x14ac:dyDescent="0.25">
      <c r="A354" s="3"/>
      <c r="B354" s="3"/>
      <c r="C354" s="3"/>
      <c r="D354" s="3"/>
      <c r="E354" s="3"/>
      <c r="F354" s="3"/>
      <c r="G354" s="3"/>
      <c r="H354" s="3"/>
      <c r="I354" s="3"/>
    </row>
    <row r="355" spans="1:9" x14ac:dyDescent="0.25">
      <c r="A355" s="3"/>
      <c r="B355" s="3"/>
      <c r="C355" s="3"/>
      <c r="D355" s="3"/>
      <c r="E355" s="3"/>
      <c r="F355" s="3"/>
      <c r="G355" s="3"/>
      <c r="H355" s="3"/>
      <c r="I355" s="3"/>
    </row>
    <row r="356" spans="1:9" x14ac:dyDescent="0.25">
      <c r="A356" s="3"/>
      <c r="B356" s="3"/>
      <c r="C356" s="3"/>
      <c r="D356" s="3"/>
      <c r="E356" s="3"/>
      <c r="F356" s="3"/>
      <c r="G356" s="3"/>
      <c r="H356" s="3"/>
      <c r="I356" s="3"/>
    </row>
    <row r="357" spans="1:9" x14ac:dyDescent="0.25">
      <c r="A357" s="3"/>
      <c r="B357" s="3"/>
      <c r="C357" s="3"/>
      <c r="D357" s="3"/>
      <c r="E357" s="3"/>
      <c r="F357" s="3"/>
      <c r="G357" s="3"/>
      <c r="H357" s="3"/>
      <c r="I357" s="3"/>
    </row>
    <row r="358" spans="1:9" x14ac:dyDescent="0.25">
      <c r="A358" s="3"/>
      <c r="B358" s="3"/>
      <c r="C358" s="3"/>
      <c r="D358" s="3"/>
      <c r="E358" s="3"/>
      <c r="F358" s="3"/>
      <c r="G358" s="3"/>
      <c r="H358" s="3"/>
      <c r="I358" s="3"/>
    </row>
    <row r="359" spans="1:9" x14ac:dyDescent="0.25">
      <c r="A359" s="3"/>
      <c r="B359" s="3"/>
      <c r="C359" s="3"/>
      <c r="D359" s="3"/>
      <c r="E359" s="3"/>
      <c r="F359" s="3"/>
      <c r="G359" s="3"/>
      <c r="H359" s="3"/>
      <c r="I359" s="3"/>
    </row>
    <row r="360" spans="1:9" x14ac:dyDescent="0.25">
      <c r="A360" s="3"/>
      <c r="B360" s="3"/>
      <c r="C360" s="3"/>
      <c r="D360" s="3"/>
      <c r="E360" s="3"/>
      <c r="F360" s="3"/>
      <c r="G360" s="3"/>
      <c r="H360" s="3"/>
      <c r="I360" s="3"/>
    </row>
    <row r="361" spans="1:9" x14ac:dyDescent="0.25">
      <c r="A361" s="3"/>
      <c r="B361" s="3"/>
      <c r="C361" s="3"/>
      <c r="D361" s="3"/>
      <c r="E361" s="3"/>
      <c r="F361" s="3"/>
      <c r="G361" s="3"/>
      <c r="H361" s="3"/>
      <c r="I361" s="3"/>
    </row>
    <row r="362" spans="1:9" x14ac:dyDescent="0.25">
      <c r="A362" s="3"/>
      <c r="B362" s="3"/>
      <c r="C362" s="3"/>
      <c r="D362" s="3"/>
      <c r="E362" s="3"/>
      <c r="F362" s="3"/>
      <c r="G362" s="3"/>
      <c r="H362" s="3"/>
      <c r="I362" s="3"/>
    </row>
    <row r="363" spans="1:9" x14ac:dyDescent="0.25">
      <c r="A363" s="3"/>
      <c r="B363" s="3"/>
      <c r="C363" s="3"/>
      <c r="D363" s="3"/>
      <c r="E363" s="3"/>
      <c r="F363" s="3"/>
      <c r="G363" s="3"/>
      <c r="H363" s="3"/>
      <c r="I363" s="3"/>
    </row>
    <row r="364" spans="1:9" x14ac:dyDescent="0.25">
      <c r="A364" s="3"/>
      <c r="B364" s="3"/>
      <c r="C364" s="3"/>
      <c r="D364" s="3"/>
      <c r="E364" s="3"/>
      <c r="F364" s="3"/>
      <c r="G364" s="3"/>
      <c r="H364" s="3"/>
      <c r="I364" s="3"/>
    </row>
    <row r="365" spans="1:9" x14ac:dyDescent="0.25">
      <c r="A365" s="3"/>
      <c r="B365" s="3"/>
      <c r="C365" s="3"/>
      <c r="D365" s="3"/>
      <c r="E365" s="3"/>
      <c r="F365" s="3"/>
      <c r="G365" s="3"/>
      <c r="H365" s="3"/>
      <c r="I365" s="3"/>
    </row>
    <row r="366" spans="1:9" x14ac:dyDescent="0.25">
      <c r="A366" s="3"/>
      <c r="B366" s="3"/>
      <c r="C366" s="3"/>
      <c r="D366" s="3"/>
      <c r="E366" s="3"/>
      <c r="F366" s="3"/>
      <c r="G366" s="3"/>
      <c r="H366" s="3"/>
      <c r="I366" s="3"/>
    </row>
    <row r="367" spans="1:9" x14ac:dyDescent="0.25">
      <c r="A367" s="3"/>
      <c r="B367" s="3"/>
      <c r="C367" s="3"/>
      <c r="D367" s="3"/>
      <c r="E367" s="3"/>
      <c r="F367" s="3"/>
      <c r="G367" s="3"/>
      <c r="H367" s="3"/>
      <c r="I367" s="3"/>
    </row>
    <row r="368" spans="1:9" x14ac:dyDescent="0.25">
      <c r="A368" s="3"/>
      <c r="B368" s="3"/>
      <c r="C368" s="3"/>
      <c r="D368" s="3"/>
      <c r="E368" s="3"/>
      <c r="F368" s="3"/>
      <c r="G368" s="3"/>
      <c r="H368" s="3"/>
      <c r="I368" s="3"/>
    </row>
    <row r="369" spans="1:9" x14ac:dyDescent="0.25">
      <c r="A369" s="3"/>
      <c r="B369" s="3"/>
      <c r="C369" s="3"/>
      <c r="D369" s="3"/>
      <c r="E369" s="3"/>
      <c r="F369" s="3"/>
      <c r="G369" s="3"/>
      <c r="H369" s="3"/>
      <c r="I369" s="3"/>
    </row>
    <row r="370" spans="1:9" x14ac:dyDescent="0.25">
      <c r="A370" s="3"/>
      <c r="B370" s="3"/>
      <c r="C370" s="3"/>
      <c r="D370" s="3"/>
      <c r="E370" s="3"/>
      <c r="F370" s="3"/>
      <c r="G370" s="3"/>
      <c r="H370" s="3"/>
      <c r="I370" s="3"/>
    </row>
    <row r="371" spans="1:9" x14ac:dyDescent="0.25">
      <c r="A371" s="3"/>
      <c r="B371" s="3"/>
      <c r="C371" s="3"/>
      <c r="D371" s="3"/>
      <c r="E371" s="3"/>
      <c r="F371" s="3"/>
      <c r="G371" s="3"/>
      <c r="H371" s="3"/>
      <c r="I371" s="3"/>
    </row>
    <row r="372" spans="1:9" x14ac:dyDescent="0.25">
      <c r="A372" s="3"/>
      <c r="B372" s="3"/>
      <c r="C372" s="3"/>
      <c r="D372" s="3"/>
      <c r="E372" s="3"/>
      <c r="F372" s="3"/>
      <c r="G372" s="3"/>
      <c r="H372" s="3"/>
      <c r="I372" s="3"/>
    </row>
    <row r="373" spans="1:9" x14ac:dyDescent="0.25">
      <c r="A373" s="3"/>
      <c r="B373" s="3"/>
      <c r="C373" s="3"/>
      <c r="D373" s="3"/>
      <c r="E373" s="3"/>
      <c r="F373" s="3"/>
      <c r="G373" s="3"/>
      <c r="H373" s="3"/>
      <c r="I373" s="3"/>
    </row>
    <row r="374" spans="1:9" x14ac:dyDescent="0.25">
      <c r="A374" s="3"/>
      <c r="B374" s="3"/>
      <c r="C374" s="3"/>
      <c r="D374" s="3"/>
      <c r="E374" s="3"/>
      <c r="F374" s="3"/>
      <c r="G374" s="3"/>
      <c r="H374" s="3"/>
      <c r="I374" s="3"/>
    </row>
    <row r="375" spans="1:9" x14ac:dyDescent="0.25">
      <c r="A375" s="3"/>
      <c r="B375" s="3"/>
      <c r="C375" s="3"/>
      <c r="D375" s="3"/>
      <c r="E375" s="3"/>
      <c r="F375" s="3"/>
      <c r="G375" s="3"/>
      <c r="H375" s="3"/>
      <c r="I375" s="3"/>
    </row>
    <row r="376" spans="1:9" x14ac:dyDescent="0.25">
      <c r="A376" s="3"/>
      <c r="B376" s="3"/>
      <c r="C376" s="3"/>
      <c r="D376" s="3"/>
      <c r="E376" s="3"/>
      <c r="F376" s="3"/>
      <c r="G376" s="3"/>
      <c r="H376" s="3"/>
      <c r="I376" s="3"/>
    </row>
    <row r="377" spans="1:9" x14ac:dyDescent="0.25">
      <c r="A377" s="3"/>
      <c r="B377" s="3"/>
      <c r="C377" s="3"/>
      <c r="D377" s="3"/>
      <c r="E377" s="3"/>
      <c r="F377" s="3"/>
      <c r="G377" s="3"/>
      <c r="H377" s="3"/>
      <c r="I377" s="3"/>
    </row>
    <row r="378" spans="1:9" x14ac:dyDescent="0.25">
      <c r="A378" s="3"/>
      <c r="B378" s="3"/>
      <c r="C378" s="3"/>
      <c r="D378" s="3"/>
      <c r="E378" s="3"/>
      <c r="F378" s="3"/>
      <c r="G378" s="3"/>
      <c r="H378" s="3"/>
      <c r="I378" s="3"/>
    </row>
    <row r="379" spans="1:9" x14ac:dyDescent="0.25">
      <c r="A379" s="3"/>
      <c r="B379" s="3"/>
      <c r="C379" s="3"/>
      <c r="D379" s="3"/>
      <c r="E379" s="3"/>
      <c r="F379" s="3"/>
      <c r="G379" s="3"/>
      <c r="H379" s="3"/>
      <c r="I379" s="3"/>
    </row>
    <row r="380" spans="1:9" x14ac:dyDescent="0.25">
      <c r="A380" s="3"/>
      <c r="B380" s="3"/>
      <c r="C380" s="3"/>
      <c r="D380" s="3"/>
      <c r="E380" s="3"/>
      <c r="F380" s="3"/>
      <c r="G380" s="3"/>
      <c r="H380" s="3"/>
      <c r="I380" s="3"/>
    </row>
    <row r="381" spans="1:9" x14ac:dyDescent="0.25">
      <c r="A381" s="3"/>
      <c r="B381" s="3"/>
      <c r="C381" s="3"/>
      <c r="D381" s="3"/>
      <c r="E381" s="3"/>
      <c r="F381" s="3"/>
      <c r="G381" s="3"/>
      <c r="H381" s="3"/>
      <c r="I381" s="3"/>
    </row>
    <row r="382" spans="1:9" x14ac:dyDescent="0.25">
      <c r="A382" s="3"/>
      <c r="B382" s="3"/>
      <c r="C382" s="3"/>
      <c r="D382" s="3"/>
      <c r="E382" s="3"/>
      <c r="F382" s="3"/>
      <c r="G382" s="3"/>
      <c r="H382" s="3"/>
      <c r="I382" s="3"/>
    </row>
    <row r="383" spans="1:9" x14ac:dyDescent="0.25">
      <c r="A383" s="3"/>
      <c r="B383" s="3"/>
      <c r="C383" s="3"/>
      <c r="D383" s="3"/>
      <c r="E383" s="3"/>
      <c r="F383" s="3"/>
      <c r="G383" s="3"/>
      <c r="H383" s="3"/>
      <c r="I383" s="3"/>
    </row>
    <row r="384" spans="1:9" x14ac:dyDescent="0.25">
      <c r="A384" s="3"/>
      <c r="B384" s="3"/>
      <c r="C384" s="3"/>
      <c r="D384" s="3"/>
      <c r="E384" s="3"/>
      <c r="F384" s="3"/>
      <c r="G384" s="3"/>
      <c r="H384" s="3"/>
      <c r="I384" s="3"/>
    </row>
    <row r="385" spans="1:9" x14ac:dyDescent="0.25">
      <c r="A385" s="3"/>
      <c r="B385" s="3"/>
      <c r="C385" s="3"/>
      <c r="D385" s="3"/>
      <c r="E385" s="3"/>
      <c r="F385" s="3"/>
      <c r="G385" s="3"/>
      <c r="H385" s="3"/>
      <c r="I385" s="3"/>
    </row>
    <row r="386" spans="1:9" x14ac:dyDescent="0.25">
      <c r="A386" s="3"/>
      <c r="B386" s="3"/>
      <c r="C386" s="3"/>
      <c r="D386" s="3"/>
      <c r="E386" s="3"/>
      <c r="F386" s="3"/>
      <c r="G386" s="3"/>
      <c r="H386" s="3"/>
      <c r="I386" s="3"/>
    </row>
    <row r="387" spans="1:9" x14ac:dyDescent="0.25">
      <c r="A387" s="3"/>
      <c r="B387" s="3"/>
      <c r="C387" s="3"/>
      <c r="D387" s="3"/>
      <c r="E387" s="3"/>
      <c r="F387" s="3"/>
      <c r="G387" s="3"/>
      <c r="H387" s="3"/>
      <c r="I387" s="3"/>
    </row>
    <row r="388" spans="1:9" x14ac:dyDescent="0.25">
      <c r="A388" s="3"/>
      <c r="B388" s="3"/>
      <c r="C388" s="3"/>
      <c r="D388" s="3"/>
      <c r="E388" s="3"/>
      <c r="F388" s="3"/>
      <c r="G388" s="3"/>
      <c r="H388" s="3"/>
      <c r="I388" s="3"/>
    </row>
    <row r="389" spans="1:9" x14ac:dyDescent="0.25">
      <c r="A389" s="3"/>
      <c r="B389" s="3"/>
      <c r="C389" s="3"/>
      <c r="D389" s="3"/>
      <c r="E389" s="3"/>
      <c r="F389" s="3"/>
      <c r="G389" s="3"/>
      <c r="H389" s="3"/>
      <c r="I389" s="3"/>
    </row>
    <row r="390" spans="1:9" x14ac:dyDescent="0.25">
      <c r="A390" s="3"/>
      <c r="B390" s="3"/>
      <c r="C390" s="3"/>
      <c r="D390" s="3"/>
      <c r="E390" s="3"/>
      <c r="F390" s="3"/>
      <c r="G390" s="3"/>
      <c r="H390" s="3"/>
      <c r="I390" s="3"/>
    </row>
    <row r="391" spans="1:9" x14ac:dyDescent="0.25">
      <c r="A391" s="3"/>
      <c r="B391" s="3"/>
      <c r="C391" s="3"/>
      <c r="D391" s="3"/>
      <c r="E391" s="3"/>
      <c r="F391" s="3"/>
      <c r="G391" s="3"/>
      <c r="H391" s="3"/>
      <c r="I391" s="3"/>
    </row>
    <row r="392" spans="1:9" x14ac:dyDescent="0.25">
      <c r="A392" s="3"/>
      <c r="B392" s="3"/>
      <c r="C392" s="3"/>
      <c r="D392" s="3"/>
      <c r="E392" s="3"/>
      <c r="F392" s="3"/>
      <c r="G392" s="3"/>
      <c r="H392" s="3"/>
      <c r="I392" s="3"/>
    </row>
    <row r="393" spans="1:9" x14ac:dyDescent="0.25">
      <c r="A393" s="3"/>
      <c r="B393" s="3"/>
      <c r="C393" s="3"/>
      <c r="D393" s="3"/>
      <c r="E393" s="3"/>
      <c r="F393" s="3"/>
      <c r="G393" s="3"/>
      <c r="H393" s="3"/>
      <c r="I393" s="3"/>
    </row>
    <row r="394" spans="1:9" x14ac:dyDescent="0.25">
      <c r="A394" s="3"/>
      <c r="B394" s="3"/>
      <c r="C394" s="3"/>
      <c r="D394" s="3"/>
      <c r="E394" s="3"/>
      <c r="F394" s="3"/>
      <c r="G394" s="3"/>
      <c r="H394" s="3"/>
      <c r="I394" s="3"/>
    </row>
    <row r="395" spans="1:9" x14ac:dyDescent="0.25">
      <c r="A395" s="3"/>
      <c r="B395" s="3"/>
      <c r="C395" s="3"/>
      <c r="D395" s="3"/>
      <c r="E395" s="3"/>
      <c r="F395" s="3"/>
      <c r="G395" s="3"/>
      <c r="H395" s="3"/>
      <c r="I395" s="3"/>
    </row>
    <row r="396" spans="1:9" x14ac:dyDescent="0.25">
      <c r="A396" s="3"/>
      <c r="B396" s="3"/>
      <c r="C396" s="3"/>
      <c r="D396" s="3"/>
      <c r="E396" s="3"/>
      <c r="F396" s="3"/>
      <c r="G396" s="3"/>
      <c r="H396" s="3"/>
      <c r="I396" s="3"/>
    </row>
    <row r="397" spans="1:9" x14ac:dyDescent="0.25">
      <c r="A397" s="3"/>
      <c r="B397" s="3"/>
      <c r="C397" s="3"/>
      <c r="D397" s="3"/>
      <c r="E397" s="3"/>
      <c r="F397" s="3"/>
      <c r="G397" s="3"/>
      <c r="H397" s="3"/>
      <c r="I397" s="3"/>
    </row>
    <row r="398" spans="1:9" x14ac:dyDescent="0.25">
      <c r="A398" s="3"/>
      <c r="B398" s="3"/>
      <c r="C398" s="3"/>
      <c r="D398" s="3"/>
      <c r="E398" s="3"/>
      <c r="F398" s="3"/>
      <c r="G398" s="3"/>
      <c r="H398" s="3"/>
      <c r="I398" s="3"/>
    </row>
    <row r="399" spans="1:9" x14ac:dyDescent="0.25">
      <c r="A399" s="3"/>
      <c r="B399" s="3"/>
      <c r="C399" s="3"/>
      <c r="D399" s="3"/>
      <c r="E399" s="3"/>
      <c r="F399" s="3"/>
      <c r="G399" s="3"/>
      <c r="H399" s="3"/>
      <c r="I399" s="3"/>
    </row>
    <row r="400" spans="1:9" x14ac:dyDescent="0.25">
      <c r="A400" s="3"/>
      <c r="B400" s="3"/>
      <c r="C400" s="3"/>
      <c r="D400" s="3"/>
      <c r="E400" s="3"/>
      <c r="F400" s="3"/>
      <c r="G400" s="3"/>
      <c r="H400" s="3"/>
      <c r="I400" s="3"/>
    </row>
    <row r="401" spans="1:9" x14ac:dyDescent="0.25">
      <c r="A401" s="3"/>
      <c r="B401" s="3"/>
      <c r="C401" s="3"/>
      <c r="D401" s="3"/>
      <c r="E401" s="3"/>
      <c r="F401" s="3"/>
      <c r="G401" s="3"/>
      <c r="H401" s="3"/>
      <c r="I401" s="3"/>
    </row>
    <row r="402" spans="1:9" x14ac:dyDescent="0.25">
      <c r="A402" s="3"/>
      <c r="B402" s="3"/>
      <c r="C402" s="3"/>
      <c r="D402" s="3"/>
      <c r="E402" s="3"/>
      <c r="F402" s="3"/>
      <c r="G402" s="3"/>
      <c r="H402" s="3"/>
      <c r="I402" s="3"/>
    </row>
    <row r="403" spans="1:9" x14ac:dyDescent="0.25">
      <c r="A403" s="3"/>
      <c r="B403" s="3"/>
      <c r="C403" s="3"/>
      <c r="D403" s="3"/>
      <c r="E403" s="3"/>
      <c r="F403" s="3"/>
      <c r="G403" s="3"/>
      <c r="H403" s="3"/>
      <c r="I403" s="3"/>
    </row>
    <row r="404" spans="1:9" x14ac:dyDescent="0.25">
      <c r="A404" s="3"/>
      <c r="B404" s="3"/>
      <c r="C404" s="3"/>
      <c r="D404" s="3"/>
      <c r="E404" s="3"/>
      <c r="F404" s="3"/>
      <c r="G404" s="3"/>
      <c r="H404" s="3"/>
      <c r="I404" s="3"/>
    </row>
    <row r="405" spans="1:9" x14ac:dyDescent="0.25">
      <c r="A405" s="3"/>
      <c r="B405" s="3"/>
      <c r="C405" s="3"/>
      <c r="D405" s="3"/>
      <c r="E405" s="3"/>
      <c r="F405" s="3"/>
      <c r="G405" s="3"/>
      <c r="H405" s="3"/>
      <c r="I405" s="3"/>
    </row>
    <row r="406" spans="1:9" x14ac:dyDescent="0.25">
      <c r="A406" s="3"/>
      <c r="B406" s="3"/>
      <c r="C406" s="3"/>
      <c r="D406" s="3"/>
      <c r="E406" s="3"/>
      <c r="F406" s="3"/>
      <c r="G406" s="3"/>
      <c r="H406" s="3"/>
      <c r="I406" s="3"/>
    </row>
    <row r="407" spans="1:9" x14ac:dyDescent="0.25">
      <c r="A407" s="3"/>
      <c r="B407" s="3"/>
      <c r="C407" s="3"/>
      <c r="D407" s="3"/>
      <c r="E407" s="3"/>
      <c r="F407" s="3"/>
      <c r="G407" s="3"/>
      <c r="H407" s="3"/>
      <c r="I407" s="3"/>
    </row>
    <row r="408" spans="1:9" x14ac:dyDescent="0.25">
      <c r="A408" s="3"/>
      <c r="B408" s="3"/>
      <c r="C408" s="3"/>
      <c r="D408" s="3"/>
      <c r="E408" s="3"/>
      <c r="F408" s="3"/>
      <c r="G408" s="3"/>
      <c r="H408" s="3"/>
      <c r="I408" s="3"/>
    </row>
    <row r="409" spans="1:9" x14ac:dyDescent="0.25">
      <c r="A409" s="3"/>
      <c r="B409" s="3"/>
      <c r="C409" s="3"/>
      <c r="D409" s="3"/>
      <c r="E409" s="3"/>
      <c r="F409" s="3"/>
      <c r="G409" s="3"/>
      <c r="H409" s="3"/>
      <c r="I409" s="3"/>
    </row>
    <row r="410" spans="1:9" x14ac:dyDescent="0.25">
      <c r="A410" s="3"/>
      <c r="B410" s="3"/>
      <c r="C410" s="3"/>
      <c r="D410" s="3"/>
      <c r="E410" s="3"/>
      <c r="F410" s="3"/>
      <c r="G410" s="3"/>
      <c r="H410" s="3"/>
      <c r="I410" s="3"/>
    </row>
    <row r="411" spans="1:9" x14ac:dyDescent="0.25">
      <c r="A411" s="3"/>
      <c r="B411" s="3"/>
      <c r="C411" s="3"/>
      <c r="D411" s="3"/>
      <c r="E411" s="3"/>
      <c r="F411" s="3"/>
      <c r="G411" s="3"/>
      <c r="H411" s="3"/>
      <c r="I411" s="3"/>
    </row>
    <row r="412" spans="1:9" x14ac:dyDescent="0.25">
      <c r="A412" s="3"/>
      <c r="B412" s="3"/>
      <c r="C412" s="3"/>
      <c r="D412" s="3"/>
      <c r="E412" s="3"/>
      <c r="F412" s="3"/>
      <c r="G412" s="3"/>
      <c r="H412" s="3"/>
      <c r="I412" s="3"/>
    </row>
    <row r="413" spans="1:9" x14ac:dyDescent="0.25">
      <c r="A413" s="3"/>
      <c r="B413" s="3"/>
      <c r="C413" s="3"/>
      <c r="D413" s="3"/>
      <c r="E413" s="3"/>
      <c r="F413" s="3"/>
      <c r="G413" s="3"/>
      <c r="H413" s="3"/>
      <c r="I413" s="3"/>
    </row>
    <row r="414" spans="1:9" x14ac:dyDescent="0.25">
      <c r="A414" s="3"/>
      <c r="B414" s="3"/>
      <c r="C414" s="3"/>
      <c r="D414" s="3"/>
      <c r="E414" s="3"/>
      <c r="F414" s="3"/>
      <c r="G414" s="3"/>
      <c r="H414" s="3"/>
      <c r="I414" s="3"/>
    </row>
    <row r="415" spans="1:9" x14ac:dyDescent="0.25">
      <c r="A415" s="3"/>
      <c r="B415" s="3"/>
      <c r="C415" s="3"/>
      <c r="D415" s="3"/>
      <c r="E415" s="3"/>
      <c r="F415" s="3"/>
      <c r="G415" s="3"/>
      <c r="H415" s="3"/>
      <c r="I415" s="3"/>
    </row>
    <row r="416" spans="1:9" x14ac:dyDescent="0.25">
      <c r="A416" s="3"/>
      <c r="B416" s="3"/>
      <c r="C416" s="3"/>
      <c r="D416" s="3"/>
      <c r="E416" s="3"/>
      <c r="F416" s="3"/>
      <c r="G416" s="3"/>
      <c r="H416" s="3"/>
      <c r="I416" s="3"/>
    </row>
    <row r="417" spans="1:9" x14ac:dyDescent="0.25">
      <c r="A417" s="3"/>
      <c r="B417" s="3"/>
      <c r="C417" s="3"/>
      <c r="D417" s="3"/>
      <c r="E417" s="3"/>
      <c r="F417" s="3"/>
      <c r="G417" s="3"/>
      <c r="H417" s="3"/>
      <c r="I417" s="3"/>
    </row>
    <row r="418" spans="1:9" x14ac:dyDescent="0.25">
      <c r="A418" s="3"/>
      <c r="B418" s="3"/>
      <c r="C418" s="3"/>
      <c r="D418" s="3"/>
      <c r="E418" s="3"/>
      <c r="F418" s="3"/>
      <c r="G418" s="3"/>
      <c r="H418" s="3"/>
      <c r="I418" s="3"/>
    </row>
    <row r="419" spans="1:9" x14ac:dyDescent="0.25">
      <c r="A419" s="3"/>
      <c r="B419" s="3"/>
      <c r="C419" s="3"/>
      <c r="D419" s="3"/>
      <c r="E419" s="3"/>
      <c r="F419" s="3"/>
      <c r="G419" s="3"/>
      <c r="H419" s="3"/>
      <c r="I419" s="3"/>
    </row>
    <row r="420" spans="1:9" x14ac:dyDescent="0.25">
      <c r="A420" s="3"/>
      <c r="B420" s="3"/>
      <c r="C420" s="3"/>
      <c r="D420" s="3"/>
      <c r="E420" s="3"/>
      <c r="F420" s="3"/>
      <c r="G420" s="3"/>
      <c r="H420" s="3"/>
      <c r="I420" s="3"/>
    </row>
    <row r="421" spans="1:9" x14ac:dyDescent="0.25">
      <c r="A421" s="3"/>
      <c r="B421" s="3"/>
      <c r="C421" s="3"/>
      <c r="D421" s="3"/>
      <c r="E421" s="3"/>
      <c r="F421" s="3"/>
      <c r="G421" s="3"/>
      <c r="H421" s="3"/>
      <c r="I421" s="3"/>
    </row>
    <row r="422" spans="1:9" x14ac:dyDescent="0.25">
      <c r="A422" s="3"/>
      <c r="B422" s="3"/>
      <c r="C422" s="3"/>
      <c r="D422" s="3"/>
      <c r="E422" s="3"/>
      <c r="F422" s="3"/>
      <c r="G422" s="3"/>
      <c r="H422" s="3"/>
      <c r="I422" s="3"/>
    </row>
    <row r="423" spans="1:9" x14ac:dyDescent="0.25">
      <c r="A423" s="3"/>
      <c r="B423" s="3"/>
      <c r="C423" s="3"/>
      <c r="D423" s="3"/>
      <c r="E423" s="3"/>
      <c r="F423" s="3"/>
      <c r="G423" s="3"/>
      <c r="H423" s="3"/>
      <c r="I423" s="3"/>
    </row>
    <row r="424" spans="1:9" x14ac:dyDescent="0.25">
      <c r="A424" s="3"/>
      <c r="B424" s="3"/>
      <c r="C424" s="3"/>
      <c r="D424" s="3"/>
      <c r="E424" s="3"/>
      <c r="F424" s="3"/>
      <c r="G424" s="3"/>
      <c r="H424" s="3"/>
      <c r="I424" s="3"/>
    </row>
    <row r="425" spans="1:9" x14ac:dyDescent="0.25">
      <c r="A425" s="3"/>
      <c r="B425" s="3"/>
      <c r="C425" s="3"/>
      <c r="D425" s="3"/>
      <c r="E425" s="3"/>
      <c r="F425" s="3"/>
      <c r="G425" s="3"/>
      <c r="H425" s="3"/>
      <c r="I425" s="3"/>
    </row>
    <row r="426" spans="1:9" x14ac:dyDescent="0.25">
      <c r="A426" s="3"/>
      <c r="B426" s="3"/>
      <c r="C426" s="3"/>
      <c r="D426" s="3"/>
      <c r="E426" s="3"/>
      <c r="F426" s="3"/>
      <c r="G426" s="3"/>
      <c r="H426" s="3"/>
      <c r="I426" s="3"/>
    </row>
    <row r="427" spans="1:9" x14ac:dyDescent="0.25">
      <c r="A427" s="3"/>
      <c r="B427" s="3"/>
      <c r="C427" s="3"/>
      <c r="D427" s="3"/>
      <c r="E427" s="3"/>
      <c r="F427" s="3"/>
      <c r="G427" s="3"/>
      <c r="H427" s="3"/>
      <c r="I427" s="3"/>
    </row>
    <row r="428" spans="1:9" x14ac:dyDescent="0.25">
      <c r="A428" s="3"/>
      <c r="B428" s="3"/>
      <c r="C428" s="3"/>
      <c r="D428" s="3"/>
      <c r="E428" s="3"/>
      <c r="F428" s="3"/>
      <c r="G428" s="3"/>
      <c r="H428" s="3"/>
      <c r="I428" s="3"/>
    </row>
    <row r="429" spans="1:9" x14ac:dyDescent="0.25">
      <c r="A429" s="3"/>
      <c r="B429" s="3"/>
      <c r="C429" s="3"/>
      <c r="D429" s="3"/>
      <c r="E429" s="3"/>
      <c r="F429" s="3"/>
      <c r="G429" s="3"/>
      <c r="H429" s="3"/>
      <c r="I429" s="3"/>
    </row>
    <row r="430" spans="1:9" x14ac:dyDescent="0.25">
      <c r="A430" s="3"/>
      <c r="B430" s="3"/>
      <c r="C430" s="3"/>
      <c r="D430" s="3"/>
      <c r="E430" s="3"/>
      <c r="F430" s="3"/>
      <c r="G430" s="3"/>
      <c r="H430" s="3"/>
      <c r="I430" s="3"/>
    </row>
    <row r="431" spans="1:9" x14ac:dyDescent="0.25">
      <c r="A431" s="3"/>
      <c r="B431" s="3"/>
      <c r="C431" s="3"/>
      <c r="D431" s="3"/>
      <c r="E431" s="3"/>
      <c r="F431" s="3"/>
      <c r="G431" s="3"/>
      <c r="H431" s="3"/>
      <c r="I431" s="3"/>
    </row>
    <row r="432" spans="1:9" x14ac:dyDescent="0.25">
      <c r="A432" s="3"/>
      <c r="B432" s="3"/>
      <c r="C432" s="3"/>
      <c r="D432" s="3"/>
      <c r="E432" s="3"/>
      <c r="F432" s="3"/>
      <c r="G432" s="3"/>
      <c r="H432" s="3"/>
      <c r="I432" s="3"/>
    </row>
    <row r="433" spans="1:9" x14ac:dyDescent="0.25">
      <c r="A433" s="3"/>
      <c r="B433" s="3"/>
      <c r="C433" s="3"/>
      <c r="D433" s="3"/>
      <c r="E433" s="3"/>
      <c r="F433" s="3"/>
      <c r="G433" s="3"/>
      <c r="H433" s="3"/>
      <c r="I433" s="3"/>
    </row>
    <row r="434" spans="1:9" x14ac:dyDescent="0.25">
      <c r="A434" s="3"/>
      <c r="B434" s="3"/>
      <c r="C434" s="3"/>
      <c r="D434" s="3"/>
      <c r="E434" s="3"/>
      <c r="F434" s="3"/>
      <c r="G434" s="3"/>
      <c r="H434" s="3"/>
      <c r="I434" s="3"/>
    </row>
    <row r="435" spans="1:9" x14ac:dyDescent="0.25">
      <c r="A435" s="3"/>
      <c r="B435" s="3"/>
      <c r="C435" s="3"/>
      <c r="D435" s="3"/>
      <c r="E435" s="3"/>
      <c r="F435" s="3"/>
      <c r="G435" s="3"/>
      <c r="H435" s="3"/>
      <c r="I435" s="3"/>
    </row>
    <row r="436" spans="1:9" x14ac:dyDescent="0.25">
      <c r="A436" s="3"/>
      <c r="B436" s="3"/>
      <c r="C436" s="3"/>
      <c r="D436" s="3"/>
      <c r="E436" s="3"/>
      <c r="F436" s="3"/>
      <c r="G436" s="3"/>
      <c r="H436" s="3"/>
      <c r="I436" s="3"/>
    </row>
    <row r="437" spans="1:9" x14ac:dyDescent="0.25">
      <c r="A437" s="3"/>
      <c r="B437" s="3"/>
      <c r="C437" s="3"/>
      <c r="D437" s="3"/>
      <c r="E437" s="3"/>
      <c r="F437" s="3"/>
      <c r="G437" s="3"/>
      <c r="H437" s="3"/>
      <c r="I437" s="3"/>
    </row>
    <row r="438" spans="1:9" x14ac:dyDescent="0.25">
      <c r="A438" s="3"/>
      <c r="B438" s="3"/>
      <c r="C438" s="3"/>
      <c r="D438" s="3"/>
      <c r="E438" s="3"/>
      <c r="F438" s="3"/>
      <c r="G438" s="3"/>
      <c r="H438" s="3"/>
      <c r="I438" s="3"/>
    </row>
    <row r="439" spans="1:9" x14ac:dyDescent="0.25">
      <c r="A439" s="3"/>
      <c r="B439" s="3"/>
      <c r="C439" s="3"/>
      <c r="D439" s="3"/>
      <c r="E439" s="3"/>
      <c r="F439" s="3"/>
      <c r="G439" s="3"/>
      <c r="H439" s="3"/>
      <c r="I439" s="3"/>
    </row>
    <row r="440" spans="1:9" x14ac:dyDescent="0.25">
      <c r="A440" s="3"/>
      <c r="B440" s="3"/>
      <c r="C440" s="3"/>
      <c r="D440" s="3"/>
      <c r="E440" s="3"/>
      <c r="F440" s="3"/>
      <c r="G440" s="3"/>
      <c r="H440" s="3"/>
      <c r="I440" s="3"/>
    </row>
    <row r="441" spans="1:9" x14ac:dyDescent="0.25">
      <c r="A441" s="3"/>
      <c r="B441" s="3"/>
      <c r="C441" s="3"/>
      <c r="D441" s="3"/>
      <c r="E441" s="3"/>
      <c r="F441" s="3"/>
      <c r="G441" s="3"/>
      <c r="H441" s="3"/>
      <c r="I441" s="3"/>
    </row>
    <row r="442" spans="1:9" x14ac:dyDescent="0.25">
      <c r="A442" s="3"/>
      <c r="B442" s="3"/>
      <c r="C442" s="3"/>
      <c r="D442" s="3"/>
      <c r="E442" s="3"/>
      <c r="F442" s="3"/>
      <c r="G442" s="3"/>
      <c r="H442" s="3"/>
      <c r="I442" s="3"/>
    </row>
    <row r="443" spans="1:9" x14ac:dyDescent="0.25">
      <c r="A443" s="3"/>
      <c r="B443" s="3"/>
      <c r="C443" s="3"/>
      <c r="D443" s="3"/>
      <c r="E443" s="3"/>
      <c r="F443" s="3"/>
      <c r="G443" s="3"/>
      <c r="H443" s="3"/>
      <c r="I443" s="3"/>
    </row>
    <row r="444" spans="1:9" x14ac:dyDescent="0.25">
      <c r="A444" s="3"/>
      <c r="B444" s="3"/>
      <c r="C444" s="3"/>
      <c r="D444" s="3"/>
      <c r="E444" s="3"/>
      <c r="F444" s="3"/>
      <c r="G444" s="3"/>
      <c r="H444" s="3"/>
      <c r="I444" s="3"/>
    </row>
    <row r="445" spans="1:9" x14ac:dyDescent="0.25">
      <c r="A445" s="3"/>
      <c r="B445" s="3"/>
      <c r="C445" s="3"/>
      <c r="D445" s="3"/>
      <c r="E445" s="3"/>
      <c r="F445" s="3"/>
      <c r="G445" s="3"/>
      <c r="H445" s="3"/>
      <c r="I445" s="3"/>
    </row>
    <row r="446" spans="1:9" x14ac:dyDescent="0.25">
      <c r="A446" s="3"/>
      <c r="B446" s="3"/>
      <c r="C446" s="3"/>
      <c r="D446" s="3"/>
      <c r="E446" s="3"/>
      <c r="F446" s="3"/>
      <c r="G446" s="3"/>
      <c r="H446" s="3"/>
      <c r="I446" s="3"/>
    </row>
    <row r="447" spans="1:9" x14ac:dyDescent="0.25">
      <c r="A447" s="3"/>
      <c r="B447" s="3"/>
      <c r="C447" s="3"/>
      <c r="D447" s="3"/>
      <c r="E447" s="3"/>
      <c r="F447" s="3"/>
      <c r="G447" s="3"/>
      <c r="H447" s="3"/>
      <c r="I447" s="3"/>
    </row>
    <row r="448" spans="1:9" x14ac:dyDescent="0.25">
      <c r="A448" s="3"/>
      <c r="B448" s="3"/>
      <c r="C448" s="3"/>
      <c r="D448" s="3"/>
      <c r="E448" s="3"/>
      <c r="F448" s="3"/>
      <c r="G448" s="3"/>
      <c r="H448" s="3"/>
      <c r="I448" s="3"/>
    </row>
    <row r="449" spans="1:9" x14ac:dyDescent="0.25">
      <c r="A449" s="3"/>
      <c r="B449" s="3"/>
      <c r="C449" s="3"/>
      <c r="D449" s="3"/>
      <c r="E449" s="3"/>
      <c r="F449" s="3"/>
      <c r="G449" s="3"/>
      <c r="H449" s="3"/>
      <c r="I449" s="3"/>
    </row>
    <row r="450" spans="1:9" x14ac:dyDescent="0.25">
      <c r="A450" s="3"/>
      <c r="B450" s="3"/>
      <c r="C450" s="3"/>
      <c r="D450" s="3"/>
      <c r="E450" s="3"/>
      <c r="F450" s="3"/>
      <c r="G450" s="3"/>
      <c r="H450" s="3"/>
      <c r="I450" s="3"/>
    </row>
    <row r="451" spans="1:9" x14ac:dyDescent="0.25">
      <c r="A451" s="3"/>
      <c r="B451" s="3"/>
      <c r="C451" s="3"/>
      <c r="D451" s="3"/>
      <c r="E451" s="3"/>
      <c r="F451" s="3"/>
      <c r="G451" s="3"/>
      <c r="H451" s="3"/>
      <c r="I451" s="3"/>
    </row>
    <row r="452" spans="1:9" x14ac:dyDescent="0.25">
      <c r="A452" s="3"/>
      <c r="B452" s="3"/>
      <c r="C452" s="3"/>
      <c r="D452" s="3"/>
      <c r="E452" s="3"/>
      <c r="F452" s="3"/>
      <c r="G452" s="3"/>
      <c r="H452" s="3"/>
      <c r="I452" s="3"/>
    </row>
    <row r="453" spans="1:9" x14ac:dyDescent="0.25">
      <c r="A453" s="3"/>
      <c r="B453" s="3"/>
      <c r="C453" s="3"/>
      <c r="D453" s="3"/>
      <c r="E453" s="3"/>
      <c r="F453" s="3"/>
      <c r="G453" s="3"/>
      <c r="H453" s="3"/>
      <c r="I453" s="3"/>
    </row>
    <row r="454" spans="1:9" x14ac:dyDescent="0.25">
      <c r="A454" s="3"/>
      <c r="B454" s="3"/>
      <c r="C454" s="3"/>
      <c r="D454" s="3"/>
      <c r="E454" s="3"/>
      <c r="F454" s="3"/>
      <c r="G454" s="3"/>
      <c r="H454" s="3"/>
      <c r="I454" s="3"/>
    </row>
    <row r="455" spans="1:9" x14ac:dyDescent="0.25">
      <c r="A455" s="3"/>
      <c r="B455" s="3"/>
      <c r="C455" s="3"/>
      <c r="D455" s="3"/>
      <c r="E455" s="3"/>
      <c r="F455" s="3"/>
      <c r="G455" s="3"/>
      <c r="H455" s="3"/>
      <c r="I455" s="3"/>
    </row>
    <row r="456" spans="1:9" x14ac:dyDescent="0.25">
      <c r="A456" s="3"/>
      <c r="B456" s="3"/>
      <c r="C456" s="3"/>
      <c r="D456" s="3"/>
      <c r="E456" s="3"/>
      <c r="F456" s="3"/>
      <c r="G456" s="3"/>
      <c r="H456" s="3"/>
      <c r="I456" s="3"/>
    </row>
    <row r="457" spans="1:9" x14ac:dyDescent="0.25">
      <c r="A457" s="3"/>
      <c r="B457" s="3"/>
      <c r="C457" s="3"/>
      <c r="D457" s="3"/>
      <c r="E457" s="3"/>
      <c r="F457" s="3"/>
      <c r="G457" s="3"/>
      <c r="H457" s="3"/>
      <c r="I457" s="3"/>
    </row>
    <row r="458" spans="1:9" x14ac:dyDescent="0.25">
      <c r="A458" s="3"/>
      <c r="B458" s="3"/>
      <c r="C458" s="3"/>
      <c r="D458" s="3"/>
      <c r="E458" s="3"/>
      <c r="F458" s="3"/>
      <c r="G458" s="3"/>
      <c r="H458" s="3"/>
      <c r="I458" s="3"/>
    </row>
    <row r="459" spans="1:9" x14ac:dyDescent="0.25">
      <c r="A459" s="3"/>
      <c r="B459" s="3"/>
      <c r="C459" s="3"/>
      <c r="D459" s="3"/>
      <c r="E459" s="3"/>
      <c r="F459" s="3"/>
      <c r="G459" s="3"/>
      <c r="H459" s="3"/>
      <c r="I459" s="3"/>
    </row>
    <row r="460" spans="1:9" x14ac:dyDescent="0.25">
      <c r="A460" s="3"/>
      <c r="B460" s="3"/>
      <c r="C460" s="3"/>
      <c r="D460" s="3"/>
      <c r="E460" s="3"/>
      <c r="F460" s="3"/>
      <c r="G460" s="3"/>
      <c r="H460" s="3"/>
      <c r="I460" s="3"/>
    </row>
    <row r="461" spans="1:9" x14ac:dyDescent="0.25">
      <c r="A461" s="3"/>
      <c r="B461" s="3"/>
      <c r="C461" s="3"/>
      <c r="D461" s="3"/>
      <c r="E461" s="3"/>
      <c r="F461" s="3"/>
      <c r="G461" s="3"/>
      <c r="H461" s="3"/>
      <c r="I461" s="3"/>
    </row>
    <row r="462" spans="1:9" x14ac:dyDescent="0.25">
      <c r="A462" s="3"/>
      <c r="B462" s="3"/>
      <c r="C462" s="3"/>
      <c r="D462" s="3"/>
      <c r="E462" s="3"/>
      <c r="F462" s="3"/>
      <c r="G462" s="3"/>
      <c r="H462" s="3"/>
      <c r="I462" s="3"/>
    </row>
    <row r="463" spans="1:9" x14ac:dyDescent="0.25">
      <c r="A463" s="3"/>
      <c r="B463" s="3"/>
      <c r="C463" s="3"/>
      <c r="D463" s="3"/>
      <c r="E463" s="3"/>
      <c r="F463" s="3"/>
      <c r="G463" s="3"/>
      <c r="H463" s="3"/>
      <c r="I463" s="3"/>
    </row>
    <row r="464" spans="1:9" x14ac:dyDescent="0.25">
      <c r="A464" s="3"/>
      <c r="B464" s="3"/>
      <c r="C464" s="3"/>
      <c r="D464" s="3"/>
      <c r="E464" s="3"/>
      <c r="F464" s="3"/>
      <c r="G464" s="3"/>
      <c r="H464" s="3"/>
      <c r="I464" s="3"/>
    </row>
    <row r="465" spans="1:9" x14ac:dyDescent="0.25">
      <c r="A465" s="3"/>
      <c r="B465" s="3"/>
      <c r="C465" s="3"/>
      <c r="D465" s="3"/>
      <c r="E465" s="3"/>
      <c r="F465" s="3"/>
      <c r="G465" s="3"/>
      <c r="H465" s="3"/>
      <c r="I465" s="3"/>
    </row>
    <row r="466" spans="1:9" x14ac:dyDescent="0.25">
      <c r="A466" s="3"/>
      <c r="B466" s="3"/>
      <c r="C466" s="3"/>
      <c r="D466" s="3"/>
      <c r="E466" s="3"/>
      <c r="F466" s="3"/>
      <c r="G466" s="3"/>
      <c r="H466" s="3"/>
      <c r="I466" s="3"/>
    </row>
    <row r="467" spans="1:9" x14ac:dyDescent="0.25">
      <c r="A467" s="3"/>
      <c r="B467" s="3"/>
      <c r="C467" s="3"/>
      <c r="D467" s="3"/>
      <c r="E467" s="3"/>
      <c r="F467" s="3"/>
      <c r="G467" s="3"/>
      <c r="H467" s="3"/>
      <c r="I467" s="3"/>
    </row>
    <row r="468" spans="1:9" x14ac:dyDescent="0.25">
      <c r="A468" s="3"/>
      <c r="B468" s="3"/>
      <c r="C468" s="3"/>
      <c r="D468" s="3"/>
      <c r="E468" s="3"/>
      <c r="F468" s="3"/>
      <c r="G468" s="3"/>
      <c r="H468" s="3"/>
      <c r="I468" s="3"/>
    </row>
    <row r="469" spans="1:9" x14ac:dyDescent="0.25">
      <c r="A469" s="3"/>
      <c r="B469" s="3"/>
      <c r="C469" s="3"/>
      <c r="D469" s="3"/>
      <c r="E469" s="3"/>
      <c r="F469" s="3"/>
      <c r="G469" s="3"/>
      <c r="H469" s="3"/>
      <c r="I469" s="3"/>
    </row>
    <row r="470" spans="1:9" x14ac:dyDescent="0.25">
      <c r="A470" s="3"/>
      <c r="B470" s="3"/>
      <c r="C470" s="3"/>
      <c r="D470" s="3"/>
      <c r="E470" s="3"/>
      <c r="F470" s="3"/>
      <c r="G470" s="3"/>
      <c r="H470" s="3"/>
      <c r="I470" s="3"/>
    </row>
    <row r="471" spans="1:9" x14ac:dyDescent="0.25">
      <c r="A471" s="3"/>
      <c r="B471" s="3"/>
      <c r="C471" s="3"/>
      <c r="D471" s="3"/>
      <c r="E471" s="3"/>
      <c r="F471" s="3"/>
      <c r="G471" s="3"/>
      <c r="H471" s="3"/>
      <c r="I471" s="3"/>
    </row>
    <row r="472" spans="1:9" x14ac:dyDescent="0.25">
      <c r="A472" s="3"/>
      <c r="B472" s="3"/>
      <c r="C472" s="3"/>
      <c r="D472" s="3"/>
      <c r="E472" s="3"/>
      <c r="F472" s="3"/>
      <c r="G472" s="3"/>
      <c r="H472" s="3"/>
      <c r="I472" s="3"/>
    </row>
    <row r="473" spans="1:9" x14ac:dyDescent="0.25">
      <c r="A473" s="3"/>
      <c r="B473" s="3"/>
      <c r="C473" s="3"/>
      <c r="D473" s="3"/>
      <c r="E473" s="3"/>
      <c r="F473" s="3"/>
      <c r="G473" s="3"/>
      <c r="H473" s="3"/>
      <c r="I473" s="3"/>
    </row>
    <row r="474" spans="1:9" x14ac:dyDescent="0.25">
      <c r="A474" s="3"/>
      <c r="B474" s="3"/>
      <c r="C474" s="3"/>
      <c r="D474" s="3"/>
      <c r="E474" s="3"/>
      <c r="F474" s="3"/>
      <c r="G474" s="3"/>
      <c r="H474" s="3"/>
      <c r="I474" s="3"/>
    </row>
    <row r="475" spans="1:9" x14ac:dyDescent="0.25">
      <c r="A475" s="3"/>
      <c r="B475" s="3"/>
      <c r="C475" s="3"/>
      <c r="D475" s="3"/>
      <c r="E475" s="3"/>
      <c r="F475" s="3"/>
      <c r="G475" s="3"/>
      <c r="H475" s="3"/>
      <c r="I475" s="3"/>
    </row>
    <row r="476" spans="1:9" x14ac:dyDescent="0.25">
      <c r="A476" s="3"/>
      <c r="B476" s="3"/>
      <c r="C476" s="3"/>
      <c r="D476" s="3"/>
      <c r="E476" s="3"/>
      <c r="F476" s="3"/>
      <c r="G476" s="3"/>
      <c r="H476" s="3"/>
      <c r="I476" s="3"/>
    </row>
    <row r="477" spans="1:9" x14ac:dyDescent="0.25">
      <c r="A477" s="3"/>
      <c r="B477" s="3"/>
      <c r="C477" s="3"/>
      <c r="D477" s="3"/>
      <c r="E477" s="3"/>
      <c r="F477" s="3"/>
      <c r="G477" s="3"/>
      <c r="H477" s="3"/>
      <c r="I477" s="3"/>
    </row>
    <row r="478" spans="1:9" x14ac:dyDescent="0.25">
      <c r="A478" s="3"/>
      <c r="B478" s="3"/>
      <c r="C478" s="3"/>
      <c r="D478" s="3"/>
      <c r="E478" s="3"/>
      <c r="F478" s="3"/>
      <c r="G478" s="3"/>
      <c r="H478" s="3"/>
      <c r="I478" s="3"/>
    </row>
    <row r="479" spans="1:9" x14ac:dyDescent="0.25">
      <c r="A479" s="3"/>
      <c r="B479" s="3"/>
      <c r="C479" s="3"/>
      <c r="D479" s="3"/>
      <c r="E479" s="3"/>
      <c r="F479" s="3"/>
      <c r="G479" s="3"/>
      <c r="H479" s="3"/>
      <c r="I479" s="3"/>
    </row>
    <row r="480" spans="1:9" x14ac:dyDescent="0.25">
      <c r="A480" s="3"/>
      <c r="B480" s="3"/>
      <c r="C480" s="3"/>
      <c r="D480" s="3"/>
      <c r="E480" s="3"/>
      <c r="F480" s="3"/>
      <c r="G480" s="3"/>
      <c r="H480" s="3"/>
      <c r="I480" s="3"/>
    </row>
    <row r="481" spans="1:9" x14ac:dyDescent="0.25">
      <c r="A481" s="3"/>
      <c r="B481" s="3"/>
      <c r="C481" s="3"/>
      <c r="D481" s="3"/>
      <c r="E481" s="3"/>
      <c r="F481" s="3"/>
      <c r="G481" s="3"/>
      <c r="H481" s="3"/>
      <c r="I481" s="3"/>
    </row>
    <row r="482" spans="1:9" x14ac:dyDescent="0.25">
      <c r="A482" s="3"/>
      <c r="B482" s="3"/>
      <c r="C482" s="3"/>
      <c r="D482" s="3"/>
      <c r="E482" s="3"/>
      <c r="F482" s="3"/>
      <c r="G482" s="3"/>
      <c r="H482" s="3"/>
      <c r="I482" s="3"/>
    </row>
    <row r="483" spans="1:9" x14ac:dyDescent="0.25">
      <c r="A483" s="3"/>
      <c r="B483" s="3"/>
      <c r="C483" s="3"/>
      <c r="D483" s="3"/>
      <c r="E483" s="3"/>
      <c r="F483" s="3"/>
      <c r="G483" s="3"/>
      <c r="H483" s="3"/>
      <c r="I483" s="3"/>
    </row>
    <row r="484" spans="1:9" x14ac:dyDescent="0.25">
      <c r="A484" s="3"/>
      <c r="B484" s="3"/>
      <c r="C484" s="3"/>
      <c r="D484" s="3"/>
      <c r="E484" s="3"/>
      <c r="F484" s="3"/>
      <c r="G484" s="3"/>
      <c r="H484" s="3"/>
      <c r="I484" s="3"/>
    </row>
    <row r="485" spans="1:9" x14ac:dyDescent="0.25">
      <c r="A485" s="3"/>
      <c r="B485" s="3"/>
      <c r="C485" s="3"/>
      <c r="D485" s="3"/>
      <c r="E485" s="3"/>
      <c r="F485" s="3"/>
      <c r="G485" s="3"/>
      <c r="H485" s="3"/>
      <c r="I485" s="3"/>
    </row>
    <row r="486" spans="1:9" x14ac:dyDescent="0.25">
      <c r="A486" s="3"/>
      <c r="B486" s="3"/>
      <c r="C486" s="3"/>
      <c r="D486" s="3"/>
      <c r="E486" s="3"/>
      <c r="F486" s="3"/>
      <c r="G486" s="3"/>
      <c r="H486" s="3"/>
      <c r="I486" s="3"/>
    </row>
    <row r="487" spans="1:9" x14ac:dyDescent="0.25">
      <c r="A487" s="3"/>
      <c r="B487" s="3"/>
      <c r="C487" s="3"/>
      <c r="D487" s="3"/>
      <c r="E487" s="3"/>
      <c r="F487" s="3"/>
      <c r="G487" s="3"/>
      <c r="H487" s="3"/>
      <c r="I487" s="3"/>
    </row>
    <row r="488" spans="1:9" x14ac:dyDescent="0.25">
      <c r="A488" s="3"/>
      <c r="B488" s="3"/>
      <c r="C488" s="3"/>
      <c r="D488" s="3"/>
      <c r="E488" s="3"/>
      <c r="F488" s="3"/>
      <c r="G488" s="3"/>
      <c r="H488" s="3"/>
      <c r="I488" s="3"/>
    </row>
    <row r="489" spans="1:9" x14ac:dyDescent="0.25">
      <c r="A489" s="3"/>
      <c r="B489" s="3"/>
      <c r="C489" s="3"/>
      <c r="D489" s="3"/>
      <c r="E489" s="3"/>
      <c r="F489" s="3"/>
      <c r="G489" s="3"/>
      <c r="H489" s="3"/>
      <c r="I489" s="3"/>
    </row>
    <row r="490" spans="1:9" x14ac:dyDescent="0.25">
      <c r="A490" s="3"/>
      <c r="B490" s="3"/>
      <c r="C490" s="3"/>
      <c r="D490" s="3"/>
      <c r="E490" s="3"/>
      <c r="F490" s="3"/>
      <c r="G490" s="3"/>
      <c r="H490" s="3"/>
      <c r="I490" s="3"/>
    </row>
    <row r="491" spans="1:9" x14ac:dyDescent="0.25">
      <c r="A491" s="3"/>
      <c r="B491" s="3"/>
      <c r="C491" s="3"/>
      <c r="D491" s="3"/>
      <c r="E491" s="3"/>
      <c r="F491" s="3"/>
      <c r="G491" s="3"/>
      <c r="H491" s="3"/>
      <c r="I491" s="3"/>
    </row>
    <row r="492" spans="1:9" x14ac:dyDescent="0.25">
      <c r="A492" s="3"/>
      <c r="B492" s="3"/>
      <c r="C492" s="3"/>
      <c r="D492" s="3"/>
      <c r="E492" s="3"/>
      <c r="F492" s="3"/>
      <c r="G492" s="3"/>
      <c r="H492" s="3"/>
      <c r="I492" s="3"/>
    </row>
    <row r="493" spans="1:9" x14ac:dyDescent="0.25">
      <c r="A493" s="3"/>
      <c r="B493" s="3"/>
      <c r="C493" s="3"/>
      <c r="D493" s="3"/>
      <c r="E493" s="3"/>
      <c r="F493" s="3"/>
      <c r="G493" s="3"/>
      <c r="H493" s="3"/>
      <c r="I493" s="3"/>
    </row>
    <row r="494" spans="1:9" x14ac:dyDescent="0.25">
      <c r="A494" s="3"/>
      <c r="B494" s="3"/>
      <c r="C494" s="3"/>
      <c r="D494" s="3"/>
      <c r="E494" s="3"/>
      <c r="F494" s="3"/>
      <c r="G494" s="3"/>
      <c r="H494" s="3"/>
      <c r="I494" s="3"/>
    </row>
    <row r="495" spans="1:9" x14ac:dyDescent="0.25">
      <c r="A495" s="3"/>
      <c r="B495" s="3"/>
      <c r="C495" s="3"/>
      <c r="D495" s="3"/>
      <c r="E495" s="3"/>
      <c r="F495" s="3"/>
      <c r="G495" s="3"/>
      <c r="H495" s="3"/>
      <c r="I495" s="3"/>
    </row>
    <row r="496" spans="1:9" x14ac:dyDescent="0.25">
      <c r="A496" s="3"/>
      <c r="B496" s="3"/>
      <c r="C496" s="3"/>
      <c r="D496" s="3"/>
      <c r="E496" s="3"/>
      <c r="F496" s="3"/>
      <c r="G496" s="3"/>
      <c r="H496" s="3"/>
      <c r="I496" s="3"/>
    </row>
    <row r="497" spans="1:9" x14ac:dyDescent="0.25">
      <c r="A497" s="3"/>
      <c r="B497" s="3"/>
      <c r="C497" s="3"/>
      <c r="D497" s="3"/>
      <c r="E497" s="3"/>
      <c r="F497" s="3"/>
      <c r="G497" s="3"/>
      <c r="H497" s="3"/>
      <c r="I497" s="3"/>
    </row>
    <row r="498" spans="1:9" x14ac:dyDescent="0.25">
      <c r="A498" s="3"/>
      <c r="B498" s="3"/>
      <c r="C498" s="3"/>
      <c r="D498" s="3"/>
      <c r="E498" s="3"/>
      <c r="F498" s="3"/>
      <c r="G498" s="3"/>
      <c r="H498" s="3"/>
      <c r="I498" s="3"/>
    </row>
    <row r="499" spans="1:9" x14ac:dyDescent="0.25">
      <c r="A499" s="3"/>
      <c r="B499" s="3"/>
      <c r="C499" s="3"/>
      <c r="D499" s="3"/>
      <c r="E499" s="3"/>
      <c r="F499" s="3"/>
      <c r="G499" s="3"/>
      <c r="H499" s="3"/>
      <c r="I499" s="3"/>
    </row>
    <row r="500" spans="1:9" x14ac:dyDescent="0.25">
      <c r="A500" s="3"/>
      <c r="B500" s="3"/>
      <c r="C500" s="3"/>
      <c r="D500" s="3"/>
      <c r="E500" s="3"/>
      <c r="F500" s="3"/>
      <c r="G500" s="3"/>
      <c r="H500" s="3"/>
      <c r="I500" s="3"/>
    </row>
    <row r="501" spans="1:9" x14ac:dyDescent="0.25">
      <c r="A501" s="3"/>
      <c r="B501" s="3"/>
      <c r="C501" s="3"/>
      <c r="D501" s="3"/>
      <c r="E501" s="3"/>
      <c r="F501" s="3"/>
      <c r="G501" s="3"/>
      <c r="H501" s="3"/>
      <c r="I501" s="3"/>
    </row>
    <row r="502" spans="1:9" x14ac:dyDescent="0.25">
      <c r="A502" s="3"/>
      <c r="B502" s="3"/>
      <c r="C502" s="3"/>
      <c r="D502" s="3"/>
      <c r="E502" s="3"/>
      <c r="F502" s="3"/>
      <c r="G502" s="3"/>
      <c r="H502" s="3"/>
      <c r="I502" s="3"/>
    </row>
    <row r="503" spans="1:9" x14ac:dyDescent="0.25">
      <c r="A503" s="3"/>
      <c r="B503" s="3"/>
      <c r="C503" s="3"/>
      <c r="D503" s="3"/>
      <c r="E503" s="3"/>
      <c r="F503" s="3"/>
      <c r="G503" s="3"/>
      <c r="H503" s="3"/>
      <c r="I503" s="3"/>
    </row>
    <row r="504" spans="1:9" x14ac:dyDescent="0.25">
      <c r="A504" s="3"/>
      <c r="B504" s="3"/>
      <c r="C504" s="3"/>
      <c r="D504" s="3"/>
      <c r="E504" s="3"/>
      <c r="F504" s="3"/>
      <c r="G504" s="3"/>
      <c r="H504" s="3"/>
      <c r="I504" s="3"/>
    </row>
    <row r="505" spans="1:9" x14ac:dyDescent="0.25">
      <c r="A505" s="3"/>
      <c r="B505" s="3"/>
      <c r="C505" s="3"/>
      <c r="D505" s="3"/>
      <c r="E505" s="3"/>
      <c r="F505" s="3"/>
      <c r="G505" s="3"/>
      <c r="H505" s="3"/>
      <c r="I505" s="3"/>
    </row>
    <row r="506" spans="1:9" x14ac:dyDescent="0.25">
      <c r="A506" s="3"/>
      <c r="B506" s="3"/>
      <c r="C506" s="3"/>
      <c r="D506" s="3"/>
      <c r="E506" s="3"/>
      <c r="F506" s="3"/>
      <c r="G506" s="3"/>
      <c r="H506" s="3"/>
      <c r="I506" s="3"/>
    </row>
    <row r="507" spans="1:9" x14ac:dyDescent="0.25">
      <c r="A507" s="3"/>
      <c r="B507" s="3"/>
      <c r="C507" s="3"/>
      <c r="D507" s="3"/>
      <c r="E507" s="3"/>
      <c r="F507" s="3"/>
      <c r="G507" s="3"/>
      <c r="H507" s="3"/>
      <c r="I507" s="3"/>
    </row>
    <row r="508" spans="1:9" x14ac:dyDescent="0.25">
      <c r="A508" s="3"/>
      <c r="B508" s="3"/>
      <c r="C508" s="3"/>
      <c r="D508" s="3"/>
      <c r="E508" s="3"/>
      <c r="F508" s="3"/>
      <c r="G508" s="3"/>
      <c r="H508" s="3"/>
      <c r="I508" s="3"/>
    </row>
    <row r="509" spans="1:9" x14ac:dyDescent="0.25">
      <c r="A509" s="3"/>
      <c r="B509" s="3"/>
      <c r="C509" s="3"/>
      <c r="D509" s="3"/>
      <c r="E509" s="3"/>
      <c r="F509" s="3"/>
      <c r="G509" s="3"/>
      <c r="H509" s="3"/>
      <c r="I509" s="3"/>
    </row>
    <row r="510" spans="1:9" x14ac:dyDescent="0.25">
      <c r="A510" s="3"/>
      <c r="B510" s="3"/>
      <c r="C510" s="3"/>
      <c r="D510" s="3"/>
      <c r="E510" s="3"/>
      <c r="F510" s="3"/>
      <c r="G510" s="3"/>
      <c r="H510" s="3"/>
      <c r="I510" s="3"/>
    </row>
    <row r="511" spans="1:9" x14ac:dyDescent="0.25">
      <c r="A511" s="3"/>
      <c r="B511" s="3"/>
      <c r="C511" s="3"/>
      <c r="D511" s="3"/>
      <c r="E511" s="3"/>
      <c r="F511" s="3"/>
      <c r="G511" s="3"/>
      <c r="H511" s="3"/>
      <c r="I511" s="3"/>
    </row>
    <row r="512" spans="1:9" x14ac:dyDescent="0.25">
      <c r="A512" s="3"/>
      <c r="B512" s="3"/>
      <c r="C512" s="3"/>
      <c r="D512" s="3"/>
      <c r="E512" s="3"/>
      <c r="F512" s="3"/>
      <c r="G512" s="3"/>
      <c r="H512" s="3"/>
      <c r="I512" s="3"/>
    </row>
    <row r="513" spans="1:9" x14ac:dyDescent="0.25">
      <c r="A513" s="3"/>
      <c r="B513" s="3"/>
      <c r="C513" s="3"/>
      <c r="D513" s="3"/>
      <c r="E513" s="3"/>
      <c r="F513" s="3"/>
      <c r="G513" s="3"/>
      <c r="H513" s="3"/>
      <c r="I513" s="3"/>
    </row>
    <row r="514" spans="1:9" x14ac:dyDescent="0.25">
      <c r="A514" s="3"/>
      <c r="B514" s="3"/>
      <c r="C514" s="3"/>
      <c r="D514" s="3"/>
      <c r="E514" s="3"/>
      <c r="F514" s="3"/>
      <c r="G514" s="3"/>
      <c r="H514" s="3"/>
      <c r="I514" s="3"/>
    </row>
    <row r="515" spans="1:9" x14ac:dyDescent="0.25">
      <c r="A515" s="3"/>
      <c r="B515" s="3"/>
      <c r="C515" s="3"/>
      <c r="D515" s="3"/>
      <c r="E515" s="3"/>
      <c r="F515" s="3"/>
      <c r="G515" s="3"/>
      <c r="H515" s="3"/>
      <c r="I515" s="3"/>
    </row>
    <row r="516" spans="1:9" x14ac:dyDescent="0.25">
      <c r="A516" s="3"/>
      <c r="B516" s="3"/>
      <c r="C516" s="3"/>
      <c r="D516" s="3"/>
      <c r="E516" s="3"/>
      <c r="F516" s="3"/>
      <c r="G516" s="3"/>
      <c r="H516" s="3"/>
      <c r="I516" s="3"/>
    </row>
    <row r="517" spans="1:9" x14ac:dyDescent="0.25">
      <c r="A517" s="3"/>
      <c r="B517" s="3"/>
      <c r="C517" s="3"/>
      <c r="D517" s="3"/>
      <c r="E517" s="3"/>
      <c r="F517" s="3"/>
      <c r="G517" s="3"/>
      <c r="H517" s="3"/>
      <c r="I517" s="3"/>
    </row>
    <row r="518" spans="1:9" x14ac:dyDescent="0.25">
      <c r="A518" s="3"/>
      <c r="B518" s="3"/>
      <c r="C518" s="3"/>
      <c r="D518" s="3"/>
      <c r="E518" s="3"/>
      <c r="F518" s="3"/>
      <c r="G518" s="3"/>
      <c r="H518" s="3"/>
      <c r="I518" s="3"/>
    </row>
    <row r="519" spans="1:9" x14ac:dyDescent="0.25">
      <c r="A519" s="3"/>
      <c r="B519" s="3"/>
      <c r="C519" s="3"/>
      <c r="D519" s="3"/>
      <c r="E519" s="3"/>
      <c r="F519" s="3"/>
      <c r="G519" s="3"/>
      <c r="H519" s="3"/>
      <c r="I519" s="3"/>
    </row>
    <row r="520" spans="1:9" x14ac:dyDescent="0.25">
      <c r="A520" s="3"/>
      <c r="B520" s="3"/>
      <c r="C520" s="3"/>
      <c r="D520" s="3"/>
      <c r="E520" s="3"/>
      <c r="F520" s="3"/>
      <c r="G520" s="3"/>
      <c r="H520" s="3"/>
      <c r="I520" s="3"/>
    </row>
    <row r="521" spans="1:9" x14ac:dyDescent="0.25">
      <c r="A521" s="3"/>
      <c r="B521" s="3"/>
      <c r="C521" s="3"/>
      <c r="D521" s="3"/>
      <c r="E521" s="3"/>
      <c r="F521" s="3"/>
      <c r="G521" s="3"/>
      <c r="H521" s="3"/>
      <c r="I521" s="3"/>
    </row>
    <row r="522" spans="1:9" x14ac:dyDescent="0.25">
      <c r="A522" s="3"/>
      <c r="B522" s="3"/>
      <c r="C522" s="3"/>
      <c r="D522" s="3"/>
      <c r="E522" s="3"/>
      <c r="F522" s="3"/>
      <c r="G522" s="3"/>
      <c r="H522" s="3"/>
      <c r="I522" s="3"/>
    </row>
    <row r="523" spans="1:9" x14ac:dyDescent="0.25">
      <c r="A523" s="3"/>
      <c r="B523" s="3"/>
      <c r="C523" s="3"/>
      <c r="D523" s="3"/>
      <c r="E523" s="3"/>
      <c r="F523" s="3"/>
      <c r="G523" s="3"/>
      <c r="H523" s="3"/>
      <c r="I523" s="3"/>
    </row>
    <row r="524" spans="1:9" x14ac:dyDescent="0.25">
      <c r="A524" s="3"/>
      <c r="B524" s="3"/>
      <c r="C524" s="3"/>
      <c r="D524" s="3"/>
      <c r="E524" s="3"/>
      <c r="F524" s="3"/>
      <c r="G524" s="3"/>
      <c r="H524" s="3"/>
      <c r="I524" s="3"/>
    </row>
    <row r="525" spans="1:9" x14ac:dyDescent="0.25">
      <c r="A525" s="3"/>
      <c r="B525" s="3"/>
      <c r="C525" s="3"/>
      <c r="D525" s="3"/>
      <c r="E525" s="3"/>
      <c r="F525" s="3"/>
      <c r="G525" s="3"/>
      <c r="H525" s="3"/>
      <c r="I525" s="3"/>
    </row>
    <row r="526" spans="1:9" x14ac:dyDescent="0.25">
      <c r="A526" s="3"/>
      <c r="B526" s="3"/>
      <c r="C526" s="3"/>
      <c r="D526" s="3"/>
      <c r="E526" s="3"/>
      <c r="F526" s="3"/>
      <c r="G526" s="3"/>
      <c r="H526" s="3"/>
      <c r="I526" s="3"/>
    </row>
    <row r="527" spans="1:9" x14ac:dyDescent="0.25">
      <c r="A527" s="3"/>
      <c r="B527" s="3"/>
      <c r="C527" s="3"/>
      <c r="D527" s="3"/>
      <c r="E527" s="3"/>
      <c r="F527" s="3"/>
      <c r="G527" s="3"/>
      <c r="H527" s="3"/>
      <c r="I527" s="3"/>
    </row>
    <row r="528" spans="1:9" x14ac:dyDescent="0.25">
      <c r="A528" s="3"/>
      <c r="B528" s="3"/>
      <c r="C528" s="3"/>
      <c r="D528" s="3"/>
      <c r="E528" s="3"/>
      <c r="F528" s="3"/>
      <c r="G528" s="3"/>
      <c r="H528" s="3"/>
      <c r="I528" s="3"/>
    </row>
    <row r="529" spans="1:9" x14ac:dyDescent="0.25">
      <c r="A529" s="3"/>
      <c r="B529" s="3"/>
      <c r="C529" s="3"/>
      <c r="D529" s="3"/>
      <c r="E529" s="3"/>
      <c r="F529" s="3"/>
      <c r="G529" s="3"/>
      <c r="H529" s="3"/>
      <c r="I529" s="3"/>
    </row>
    <row r="530" spans="1:9" x14ac:dyDescent="0.25">
      <c r="A530" s="3"/>
      <c r="B530" s="3"/>
      <c r="C530" s="3"/>
      <c r="D530" s="3"/>
      <c r="E530" s="3"/>
      <c r="F530" s="3"/>
      <c r="G530" s="3"/>
      <c r="H530" s="3"/>
      <c r="I530" s="3"/>
    </row>
    <row r="531" spans="1:9" x14ac:dyDescent="0.25">
      <c r="A531" s="3"/>
      <c r="B531" s="3"/>
      <c r="C531" s="3"/>
      <c r="D531" s="3"/>
      <c r="E531" s="3"/>
      <c r="F531" s="3"/>
      <c r="G531" s="3"/>
      <c r="H531" s="3"/>
      <c r="I531" s="3"/>
    </row>
    <row r="532" spans="1:9" x14ac:dyDescent="0.25">
      <c r="A532" s="3"/>
      <c r="B532" s="3"/>
      <c r="C532" s="3"/>
      <c r="D532" s="3"/>
      <c r="E532" s="3"/>
      <c r="F532" s="3"/>
      <c r="G532" s="3"/>
      <c r="H532" s="3"/>
      <c r="I532" s="3"/>
    </row>
    <row r="533" spans="1:9" x14ac:dyDescent="0.25">
      <c r="A533" s="3"/>
      <c r="B533" s="3"/>
      <c r="C533" s="3"/>
      <c r="D533" s="3"/>
      <c r="E533" s="3"/>
      <c r="F533" s="3"/>
      <c r="G533" s="3"/>
      <c r="H533" s="3"/>
      <c r="I533" s="3"/>
    </row>
    <row r="534" spans="1:9" x14ac:dyDescent="0.25">
      <c r="A534" s="3"/>
      <c r="B534" s="3"/>
      <c r="C534" s="3"/>
      <c r="D534" s="3"/>
      <c r="E534" s="3"/>
      <c r="F534" s="3"/>
      <c r="G534" s="3"/>
      <c r="H534" s="3"/>
      <c r="I534" s="3"/>
    </row>
    <row r="535" spans="1:9" x14ac:dyDescent="0.25">
      <c r="A535" s="3"/>
      <c r="B535" s="3"/>
      <c r="C535" s="3"/>
      <c r="D535" s="3"/>
      <c r="E535" s="3"/>
      <c r="F535" s="3"/>
      <c r="G535" s="3"/>
      <c r="H535" s="3"/>
      <c r="I535" s="3"/>
    </row>
    <row r="536" spans="1:9" x14ac:dyDescent="0.25">
      <c r="A536" s="3"/>
      <c r="B536" s="3"/>
      <c r="C536" s="3"/>
      <c r="D536" s="3"/>
      <c r="E536" s="3"/>
      <c r="F536" s="3"/>
      <c r="G536" s="3"/>
      <c r="H536" s="3"/>
      <c r="I536" s="3"/>
    </row>
    <row r="537" spans="1:9" x14ac:dyDescent="0.25">
      <c r="A537" s="3"/>
      <c r="B537" s="3"/>
      <c r="C537" s="3"/>
      <c r="D537" s="3"/>
      <c r="E537" s="3"/>
      <c r="F537" s="3"/>
      <c r="G537" s="3"/>
      <c r="H537" s="3"/>
      <c r="I537" s="3"/>
    </row>
    <row r="538" spans="1:9" x14ac:dyDescent="0.25">
      <c r="A538" s="3"/>
      <c r="B538" s="3"/>
      <c r="C538" s="3"/>
      <c r="D538" s="3"/>
      <c r="E538" s="3"/>
      <c r="F538" s="3"/>
      <c r="G538" s="3"/>
      <c r="H538" s="3"/>
      <c r="I538" s="3"/>
    </row>
    <row r="539" spans="1:9" x14ac:dyDescent="0.25">
      <c r="A539" s="3"/>
      <c r="B539" s="3"/>
      <c r="C539" s="3"/>
      <c r="D539" s="3"/>
      <c r="E539" s="3"/>
      <c r="F539" s="3"/>
      <c r="G539" s="3"/>
      <c r="H539" s="3"/>
      <c r="I539" s="3"/>
    </row>
    <row r="540" spans="1:9" x14ac:dyDescent="0.25">
      <c r="A540" s="3"/>
      <c r="B540" s="3"/>
      <c r="C540" s="3"/>
      <c r="D540" s="3"/>
      <c r="E540" s="3"/>
      <c r="F540" s="3"/>
      <c r="G540" s="3"/>
      <c r="H540" s="3"/>
      <c r="I540" s="3"/>
    </row>
    <row r="541" spans="1:9" x14ac:dyDescent="0.25">
      <c r="A541" s="3"/>
      <c r="B541" s="3"/>
      <c r="C541" s="3"/>
      <c r="D541" s="3"/>
      <c r="E541" s="3"/>
      <c r="F541" s="3"/>
      <c r="G541" s="3"/>
      <c r="H541" s="3"/>
      <c r="I541" s="3"/>
    </row>
    <row r="542" spans="1:9" x14ac:dyDescent="0.25">
      <c r="A542" s="3"/>
      <c r="B542" s="3"/>
      <c r="C542" s="3"/>
      <c r="D542" s="3"/>
      <c r="E542" s="3"/>
      <c r="F542" s="3"/>
      <c r="G542" s="3"/>
      <c r="H542" s="3"/>
      <c r="I542" s="3"/>
    </row>
    <row r="543" spans="1:9" x14ac:dyDescent="0.25">
      <c r="A543" s="3"/>
      <c r="B543" s="3"/>
      <c r="C543" s="3"/>
      <c r="D543" s="3"/>
      <c r="E543" s="3"/>
      <c r="F543" s="3"/>
      <c r="G543" s="3"/>
      <c r="H543" s="3"/>
      <c r="I543" s="3"/>
    </row>
    <row r="544" spans="1:9" x14ac:dyDescent="0.25">
      <c r="A544" s="3"/>
      <c r="B544" s="3"/>
      <c r="C544" s="3"/>
      <c r="D544" s="3"/>
      <c r="E544" s="3"/>
      <c r="F544" s="3"/>
      <c r="G544" s="3"/>
      <c r="H544" s="3"/>
      <c r="I544" s="3"/>
    </row>
    <row r="545" spans="1:9" x14ac:dyDescent="0.25">
      <c r="A545" s="3"/>
      <c r="B545" s="3"/>
      <c r="C545" s="3"/>
      <c r="D545" s="3"/>
      <c r="E545" s="3"/>
      <c r="F545" s="3"/>
      <c r="G545" s="3"/>
      <c r="H545" s="3"/>
      <c r="I545" s="3"/>
    </row>
    <row r="546" spans="1:9" x14ac:dyDescent="0.25">
      <c r="A546" s="3"/>
      <c r="B546" s="3"/>
      <c r="C546" s="3"/>
      <c r="D546" s="3"/>
      <c r="E546" s="3"/>
      <c r="F546" s="3"/>
      <c r="G546" s="3"/>
      <c r="H546" s="3"/>
      <c r="I546" s="3"/>
    </row>
    <row r="547" spans="1:9" x14ac:dyDescent="0.25">
      <c r="A547" s="3"/>
      <c r="B547" s="3"/>
      <c r="C547" s="3"/>
      <c r="D547" s="3"/>
      <c r="E547" s="3"/>
      <c r="F547" s="3"/>
      <c r="G547" s="3"/>
      <c r="H547" s="3"/>
      <c r="I547" s="3"/>
    </row>
    <row r="548" spans="1:9" x14ac:dyDescent="0.25">
      <c r="A548" s="3"/>
      <c r="B548" s="3"/>
      <c r="C548" s="3"/>
      <c r="D548" s="3"/>
      <c r="E548" s="3"/>
      <c r="F548" s="3"/>
      <c r="G548" s="3"/>
      <c r="H548" s="3"/>
      <c r="I548" s="3"/>
    </row>
    <row r="549" spans="1:9" x14ac:dyDescent="0.25">
      <c r="A549" s="3"/>
      <c r="B549" s="3"/>
      <c r="C549" s="3"/>
      <c r="D549" s="3"/>
      <c r="E549" s="3"/>
      <c r="F549" s="3"/>
      <c r="G549" s="3"/>
      <c r="H549" s="3"/>
      <c r="I549" s="3"/>
    </row>
    <row r="550" spans="1:9" x14ac:dyDescent="0.25">
      <c r="A550" s="3"/>
      <c r="B550" s="3"/>
      <c r="C550" s="3"/>
      <c r="D550" s="3"/>
      <c r="E550" s="3"/>
      <c r="F550" s="3"/>
      <c r="G550" s="3"/>
      <c r="H550" s="3"/>
      <c r="I550" s="3"/>
    </row>
    <row r="551" spans="1:9" x14ac:dyDescent="0.25">
      <c r="A551" s="3"/>
      <c r="B551" s="3"/>
      <c r="C551" s="3"/>
      <c r="D551" s="3"/>
      <c r="E551" s="3"/>
      <c r="F551" s="3"/>
      <c r="G551" s="3"/>
      <c r="H551" s="3"/>
      <c r="I551" s="3"/>
    </row>
    <row r="552" spans="1:9" x14ac:dyDescent="0.25">
      <c r="A552" s="3"/>
      <c r="B552" s="3"/>
      <c r="C552" s="3"/>
      <c r="D552" s="3"/>
      <c r="E552" s="3"/>
      <c r="F552" s="3"/>
      <c r="G552" s="3"/>
      <c r="H552" s="3"/>
      <c r="I552" s="3"/>
    </row>
    <row r="553" spans="1:9" x14ac:dyDescent="0.25">
      <c r="A553" s="3"/>
      <c r="B553" s="3"/>
      <c r="C553" s="3"/>
      <c r="D553" s="3"/>
      <c r="E553" s="3"/>
      <c r="F553" s="3"/>
      <c r="G553" s="3"/>
      <c r="H553" s="3"/>
      <c r="I553" s="3"/>
    </row>
    <row r="554" spans="1:9" x14ac:dyDescent="0.25">
      <c r="A554" s="3"/>
      <c r="B554" s="3"/>
      <c r="C554" s="3"/>
      <c r="D554" s="3"/>
      <c r="E554" s="3"/>
      <c r="F554" s="3"/>
      <c r="G554" s="3"/>
      <c r="H554" s="3"/>
      <c r="I554" s="3"/>
    </row>
    <row r="555" spans="1:9" x14ac:dyDescent="0.25">
      <c r="A555" s="3"/>
      <c r="B555" s="3"/>
      <c r="C555" s="3"/>
      <c r="D555" s="3"/>
      <c r="E555" s="3"/>
      <c r="F555" s="3"/>
      <c r="G555" s="3"/>
      <c r="H555" s="3"/>
      <c r="I555" s="3"/>
    </row>
    <row r="556" spans="1:9" x14ac:dyDescent="0.25">
      <c r="A556" s="3"/>
      <c r="B556" s="3"/>
      <c r="C556" s="3"/>
      <c r="D556" s="3"/>
      <c r="E556" s="3"/>
      <c r="F556" s="3"/>
      <c r="G556" s="3"/>
      <c r="H556" s="3"/>
      <c r="I556" s="3"/>
    </row>
    <row r="557" spans="1:9" x14ac:dyDescent="0.25">
      <c r="A557" s="3"/>
      <c r="B557" s="3"/>
      <c r="C557" s="3"/>
      <c r="D557" s="3"/>
      <c r="E557" s="3"/>
      <c r="F557" s="3"/>
      <c r="G557" s="3"/>
      <c r="H557" s="3"/>
      <c r="I557" s="3"/>
    </row>
    <row r="558" spans="1:9" x14ac:dyDescent="0.25">
      <c r="A558" s="3"/>
      <c r="B558" s="3"/>
      <c r="C558" s="3"/>
      <c r="D558" s="3"/>
      <c r="E558" s="3"/>
      <c r="F558" s="3"/>
      <c r="G558" s="3"/>
      <c r="H558" s="3"/>
      <c r="I558" s="3"/>
    </row>
    <row r="559" spans="1:9" x14ac:dyDescent="0.25">
      <c r="A559" s="3"/>
      <c r="B559" s="3"/>
      <c r="C559" s="3"/>
      <c r="D559" s="3"/>
      <c r="E559" s="3"/>
      <c r="F559" s="3"/>
      <c r="G559" s="3"/>
      <c r="H559" s="3"/>
      <c r="I559" s="3"/>
    </row>
    <row r="560" spans="1:9" x14ac:dyDescent="0.25">
      <c r="A560" s="3"/>
      <c r="B560" s="3"/>
      <c r="C560" s="3"/>
      <c r="D560" s="3"/>
      <c r="E560" s="3"/>
      <c r="F560" s="3"/>
      <c r="G560" s="3"/>
      <c r="H560" s="3"/>
      <c r="I560" s="3"/>
    </row>
    <row r="561" spans="1:9" x14ac:dyDescent="0.25">
      <c r="A561" s="3"/>
      <c r="B561" s="3"/>
      <c r="C561" s="3"/>
      <c r="D561" s="3"/>
      <c r="E561" s="3"/>
      <c r="F561" s="3"/>
      <c r="G561" s="3"/>
      <c r="H561" s="3"/>
      <c r="I561" s="3"/>
    </row>
    <row r="562" spans="1:9" x14ac:dyDescent="0.25">
      <c r="A562" s="3"/>
      <c r="B562" s="3"/>
      <c r="C562" s="3"/>
      <c r="D562" s="3"/>
      <c r="E562" s="3"/>
      <c r="F562" s="3"/>
      <c r="G562" s="3"/>
      <c r="H562" s="3"/>
      <c r="I562" s="3"/>
    </row>
    <row r="563" spans="1:9" x14ac:dyDescent="0.25">
      <c r="A563" s="3"/>
      <c r="B563" s="3"/>
      <c r="C563" s="3"/>
      <c r="D563" s="3"/>
      <c r="E563" s="3"/>
      <c r="F563" s="3"/>
      <c r="G563" s="3"/>
      <c r="H563" s="3"/>
      <c r="I563" s="3"/>
    </row>
    <row r="564" spans="1:9" x14ac:dyDescent="0.25">
      <c r="A564" s="3"/>
      <c r="B564" s="3"/>
      <c r="C564" s="3"/>
      <c r="D564" s="3"/>
      <c r="E564" s="3"/>
      <c r="F564" s="3"/>
      <c r="G564" s="3"/>
      <c r="H564" s="3"/>
      <c r="I564" s="3"/>
    </row>
    <row r="565" spans="1:9" x14ac:dyDescent="0.25">
      <c r="A565" s="3"/>
      <c r="B565" s="3"/>
      <c r="C565" s="3"/>
      <c r="D565" s="3"/>
      <c r="E565" s="3"/>
      <c r="F565" s="3"/>
      <c r="G565" s="3"/>
      <c r="H565" s="3"/>
      <c r="I565" s="3"/>
    </row>
    <row r="566" spans="1:9" x14ac:dyDescent="0.25">
      <c r="A566" s="3"/>
      <c r="B566" s="3"/>
      <c r="C566" s="3"/>
      <c r="D566" s="3"/>
      <c r="E566" s="3"/>
      <c r="F566" s="3"/>
      <c r="G566" s="3"/>
      <c r="H566" s="3"/>
      <c r="I566" s="3"/>
    </row>
    <row r="567" spans="1:9" x14ac:dyDescent="0.25">
      <c r="A567" s="3"/>
      <c r="B567" s="3"/>
      <c r="C567" s="3"/>
      <c r="D567" s="3"/>
      <c r="E567" s="3"/>
      <c r="F567" s="3"/>
      <c r="G567" s="3"/>
      <c r="H567" s="3"/>
      <c r="I567" s="3"/>
    </row>
    <row r="568" spans="1:9" x14ac:dyDescent="0.25">
      <c r="A568" s="3"/>
      <c r="B568" s="3"/>
      <c r="C568" s="3"/>
      <c r="D568" s="3"/>
      <c r="E568" s="3"/>
      <c r="F568" s="3"/>
      <c r="G568" s="3"/>
      <c r="H568" s="3"/>
      <c r="I568" s="3"/>
    </row>
    <row r="569" spans="1:9" x14ac:dyDescent="0.25">
      <c r="A569" s="3"/>
      <c r="B569" s="3"/>
      <c r="C569" s="3"/>
      <c r="D569" s="3"/>
      <c r="E569" s="3"/>
      <c r="F569" s="3"/>
      <c r="G569" s="3"/>
      <c r="H569" s="3"/>
      <c r="I569" s="3"/>
    </row>
    <row r="570" spans="1:9" x14ac:dyDescent="0.25">
      <c r="A570" s="3"/>
      <c r="B570" s="3"/>
      <c r="C570" s="3"/>
      <c r="D570" s="3"/>
      <c r="E570" s="3"/>
      <c r="F570" s="3"/>
      <c r="G570" s="3"/>
      <c r="H570" s="3"/>
      <c r="I570" s="3"/>
    </row>
    <row r="571" spans="1:9" x14ac:dyDescent="0.25">
      <c r="A571" s="3"/>
      <c r="B571" s="3"/>
      <c r="C571" s="3"/>
      <c r="D571" s="3"/>
      <c r="E571" s="3"/>
      <c r="F571" s="3"/>
      <c r="G571" s="3"/>
      <c r="H571" s="3"/>
      <c r="I571" s="3"/>
    </row>
    <row r="572" spans="1:9" x14ac:dyDescent="0.25">
      <c r="A572" s="3"/>
      <c r="B572" s="3"/>
      <c r="C572" s="3"/>
      <c r="D572" s="3"/>
      <c r="E572" s="3"/>
      <c r="F572" s="3"/>
      <c r="G572" s="3"/>
      <c r="H572" s="3"/>
      <c r="I572" s="3"/>
    </row>
    <row r="573" spans="1:9" x14ac:dyDescent="0.25">
      <c r="A573" s="3"/>
      <c r="B573" s="3"/>
      <c r="C573" s="3"/>
      <c r="D573" s="3"/>
      <c r="E573" s="3"/>
      <c r="F573" s="3"/>
      <c r="G573" s="3"/>
      <c r="H573" s="3"/>
      <c r="I573" s="3"/>
    </row>
    <row r="574" spans="1:9" x14ac:dyDescent="0.25">
      <c r="A574" s="3"/>
      <c r="B574" s="3"/>
      <c r="C574" s="3"/>
      <c r="D574" s="3"/>
      <c r="E574" s="3"/>
      <c r="F574" s="3"/>
      <c r="G574" s="3"/>
      <c r="H574" s="3"/>
      <c r="I574" s="3"/>
    </row>
    <row r="575" spans="1:9" x14ac:dyDescent="0.25">
      <c r="A575" s="3"/>
      <c r="B575" s="3"/>
      <c r="C575" s="3"/>
      <c r="D575" s="3"/>
      <c r="E575" s="3"/>
      <c r="F575" s="3"/>
      <c r="G575" s="3"/>
      <c r="H575" s="3"/>
      <c r="I575" s="3"/>
    </row>
    <row r="576" spans="1:9" x14ac:dyDescent="0.25">
      <c r="A576" s="3"/>
      <c r="B576" s="3"/>
      <c r="C576" s="3"/>
      <c r="D576" s="3"/>
      <c r="E576" s="3"/>
      <c r="F576" s="3"/>
      <c r="G576" s="3"/>
      <c r="H576" s="3"/>
      <c r="I576" s="3"/>
    </row>
    <row r="577" spans="1:9" x14ac:dyDescent="0.25">
      <c r="A577" s="3"/>
      <c r="B577" s="3"/>
      <c r="C577" s="3"/>
      <c r="D577" s="3"/>
      <c r="E577" s="3"/>
      <c r="F577" s="3"/>
      <c r="G577" s="3"/>
      <c r="H577" s="3"/>
      <c r="I577" s="3"/>
    </row>
    <row r="578" spans="1:9" x14ac:dyDescent="0.25">
      <c r="A578" s="3"/>
      <c r="B578" s="3"/>
      <c r="C578" s="3"/>
      <c r="D578" s="3"/>
      <c r="E578" s="3"/>
      <c r="F578" s="3"/>
      <c r="G578" s="3"/>
      <c r="H578" s="3"/>
      <c r="I578" s="3"/>
    </row>
    <row r="579" spans="1:9" x14ac:dyDescent="0.25">
      <c r="A579" s="3"/>
      <c r="B579" s="3"/>
      <c r="C579" s="3"/>
      <c r="D579" s="3"/>
      <c r="E579" s="3"/>
      <c r="F579" s="3"/>
      <c r="G579" s="3"/>
      <c r="H579" s="3"/>
      <c r="I579" s="3"/>
    </row>
    <row r="580" spans="1:9" x14ac:dyDescent="0.25">
      <c r="A580" s="3"/>
      <c r="B580" s="3"/>
      <c r="C580" s="3"/>
      <c r="D580" s="3"/>
      <c r="E580" s="3"/>
      <c r="F580" s="3"/>
      <c r="G580" s="3"/>
      <c r="H580" s="3"/>
      <c r="I580" s="3"/>
    </row>
    <row r="581" spans="1:9" x14ac:dyDescent="0.25">
      <c r="A581" s="3"/>
      <c r="B581" s="3"/>
      <c r="C581" s="3"/>
      <c r="D581" s="3"/>
      <c r="E581" s="3"/>
      <c r="F581" s="3"/>
      <c r="G581" s="3"/>
      <c r="H581" s="3"/>
      <c r="I581" s="3"/>
    </row>
    <row r="582" spans="1:9" x14ac:dyDescent="0.25">
      <c r="A582" s="3"/>
      <c r="B582" s="3"/>
      <c r="C582" s="3"/>
      <c r="D582" s="3"/>
      <c r="E582" s="3"/>
      <c r="F582" s="3"/>
      <c r="G582" s="3"/>
      <c r="H582" s="3"/>
      <c r="I582" s="3"/>
    </row>
    <row r="583" spans="1:9" x14ac:dyDescent="0.25">
      <c r="A583" s="3"/>
      <c r="B583" s="3"/>
      <c r="C583" s="3"/>
      <c r="D583" s="3"/>
      <c r="E583" s="3"/>
      <c r="F583" s="3"/>
      <c r="G583" s="3"/>
      <c r="H583" s="3"/>
      <c r="I583" s="3"/>
    </row>
    <row r="584" spans="1:9" x14ac:dyDescent="0.25">
      <c r="A584" s="3"/>
      <c r="B584" s="3"/>
      <c r="C584" s="3"/>
      <c r="D584" s="3"/>
      <c r="E584" s="3"/>
      <c r="F584" s="3"/>
      <c r="G584" s="3"/>
      <c r="H584" s="3"/>
      <c r="I584" s="3"/>
    </row>
    <row r="585" spans="1:9" x14ac:dyDescent="0.25">
      <c r="A585" s="3"/>
      <c r="B585" s="3"/>
      <c r="C585" s="3"/>
      <c r="D585" s="3"/>
      <c r="E585" s="3"/>
      <c r="F585" s="3"/>
      <c r="G585" s="3"/>
      <c r="H585" s="3"/>
      <c r="I585" s="3"/>
    </row>
    <row r="586" spans="1:9" x14ac:dyDescent="0.25">
      <c r="A586" s="3"/>
      <c r="B586" s="3"/>
      <c r="C586" s="3"/>
      <c r="D586" s="3"/>
      <c r="E586" s="3"/>
      <c r="F586" s="3"/>
      <c r="G586" s="3"/>
      <c r="H586" s="3"/>
      <c r="I586" s="3"/>
    </row>
    <row r="587" spans="1:9" x14ac:dyDescent="0.25">
      <c r="A587" s="3"/>
      <c r="B587" s="3"/>
      <c r="C587" s="3"/>
      <c r="D587" s="3"/>
      <c r="E587" s="3"/>
      <c r="F587" s="3"/>
      <c r="G587" s="3"/>
      <c r="H587" s="3"/>
      <c r="I587" s="3"/>
    </row>
    <row r="588" spans="1:9" x14ac:dyDescent="0.25">
      <c r="A588" s="3"/>
      <c r="B588" s="3"/>
      <c r="C588" s="3"/>
      <c r="D588" s="3"/>
      <c r="E588" s="3"/>
      <c r="F588" s="3"/>
      <c r="G588" s="3"/>
      <c r="H588" s="3"/>
      <c r="I588" s="3"/>
    </row>
    <row r="589" spans="1:9" x14ac:dyDescent="0.25">
      <c r="A589" s="3"/>
      <c r="B589" s="3"/>
      <c r="C589" s="3"/>
      <c r="D589" s="3"/>
      <c r="E589" s="3"/>
      <c r="F589" s="3"/>
      <c r="G589" s="3"/>
      <c r="H589" s="3"/>
      <c r="I589" s="3"/>
    </row>
    <row r="590" spans="1:9" x14ac:dyDescent="0.25">
      <c r="A590" s="3"/>
      <c r="B590" s="3"/>
      <c r="C590" s="3"/>
      <c r="D590" s="3"/>
      <c r="E590" s="3"/>
      <c r="F590" s="3"/>
      <c r="G590" s="3"/>
      <c r="H590" s="3"/>
      <c r="I590" s="3"/>
    </row>
    <row r="591" spans="1:9" x14ac:dyDescent="0.25">
      <c r="A591" s="3"/>
      <c r="B591" s="3"/>
      <c r="C591" s="3"/>
      <c r="D591" s="3"/>
      <c r="E591" s="3"/>
      <c r="F591" s="3"/>
      <c r="G591" s="3"/>
      <c r="H591" s="3"/>
      <c r="I591" s="3"/>
    </row>
    <row r="592" spans="1:9" x14ac:dyDescent="0.25">
      <c r="A592" s="3"/>
      <c r="B592" s="3"/>
      <c r="C592" s="3"/>
      <c r="D592" s="3"/>
      <c r="E592" s="3"/>
      <c r="F592" s="3"/>
      <c r="G592" s="3"/>
      <c r="H592" s="3"/>
      <c r="I592" s="3"/>
    </row>
    <row r="593" spans="1:9" x14ac:dyDescent="0.25">
      <c r="A593" s="3"/>
      <c r="B593" s="3"/>
      <c r="C593" s="3"/>
      <c r="D593" s="3"/>
      <c r="E593" s="3"/>
      <c r="F593" s="3"/>
      <c r="G593" s="3"/>
      <c r="H593" s="3"/>
      <c r="I593" s="3"/>
    </row>
    <row r="594" spans="1:9" x14ac:dyDescent="0.25">
      <c r="A594" s="3"/>
      <c r="B594" s="3"/>
      <c r="C594" s="3"/>
      <c r="D594" s="3"/>
      <c r="E594" s="3"/>
      <c r="F594" s="3"/>
      <c r="G594" s="3"/>
      <c r="H594" s="3"/>
      <c r="I594" s="3"/>
    </row>
    <row r="595" spans="1:9" x14ac:dyDescent="0.25">
      <c r="A595" s="3"/>
      <c r="B595" s="3"/>
      <c r="C595" s="3"/>
      <c r="D595" s="3"/>
      <c r="E595" s="3"/>
      <c r="F595" s="3"/>
      <c r="G595" s="3"/>
      <c r="H595" s="3"/>
      <c r="I595" s="3"/>
    </row>
    <row r="596" spans="1:9" x14ac:dyDescent="0.25">
      <c r="A596" s="3"/>
      <c r="B596" s="3"/>
      <c r="C596" s="3"/>
      <c r="D596" s="3"/>
      <c r="E596" s="3"/>
      <c r="F596" s="3"/>
      <c r="G596" s="3"/>
      <c r="H596" s="3"/>
      <c r="I596" s="3"/>
    </row>
    <row r="597" spans="1:9" x14ac:dyDescent="0.25">
      <c r="A597" s="3"/>
      <c r="B597" s="3"/>
      <c r="C597" s="3"/>
      <c r="D597" s="3"/>
      <c r="E597" s="3"/>
      <c r="F597" s="3"/>
      <c r="G597" s="3"/>
      <c r="H597" s="3"/>
      <c r="I597" s="3"/>
    </row>
    <row r="598" spans="1:9" x14ac:dyDescent="0.25">
      <c r="A598" s="3"/>
      <c r="B598" s="3"/>
      <c r="C598" s="3"/>
      <c r="D598" s="3"/>
      <c r="E598" s="3"/>
      <c r="F598" s="3"/>
      <c r="G598" s="3"/>
      <c r="H598" s="3"/>
      <c r="I598" s="3"/>
    </row>
    <row r="599" spans="1:9" x14ac:dyDescent="0.25">
      <c r="A599" s="3"/>
      <c r="B599" s="3"/>
      <c r="C599" s="3"/>
      <c r="D599" s="3"/>
      <c r="E599" s="3"/>
      <c r="F599" s="3"/>
      <c r="G599" s="3"/>
      <c r="H599" s="3"/>
      <c r="I599" s="3"/>
    </row>
    <row r="600" spans="1:9" x14ac:dyDescent="0.25">
      <c r="A600" s="3"/>
      <c r="B600" s="3"/>
      <c r="C600" s="3"/>
      <c r="D600" s="3"/>
      <c r="E600" s="3"/>
      <c r="F600" s="3"/>
      <c r="G600" s="3"/>
      <c r="H600" s="3"/>
      <c r="I600" s="3"/>
    </row>
    <row r="601" spans="1:9" x14ac:dyDescent="0.25">
      <c r="A601" s="3"/>
      <c r="B601" s="3"/>
      <c r="C601" s="3"/>
      <c r="D601" s="3"/>
      <c r="E601" s="3"/>
      <c r="F601" s="3"/>
      <c r="G601" s="3"/>
      <c r="H601" s="3"/>
      <c r="I601" s="3"/>
    </row>
    <row r="602" spans="1:9" x14ac:dyDescent="0.25">
      <c r="A602" s="3"/>
      <c r="B602" s="3"/>
      <c r="C602" s="3"/>
      <c r="D602" s="3"/>
      <c r="E602" s="3"/>
      <c r="F602" s="3"/>
      <c r="G602" s="3"/>
      <c r="H602" s="3"/>
      <c r="I602" s="3"/>
    </row>
    <row r="603" spans="1:9" x14ac:dyDescent="0.25">
      <c r="A603" s="3"/>
      <c r="B603" s="3"/>
      <c r="C603" s="3"/>
      <c r="D603" s="3"/>
      <c r="E603" s="3"/>
      <c r="F603" s="3"/>
      <c r="G603" s="3"/>
      <c r="H603" s="3"/>
      <c r="I603" s="3"/>
    </row>
    <row r="604" spans="1:9" x14ac:dyDescent="0.25">
      <c r="A604" s="3"/>
      <c r="B604" s="3"/>
      <c r="C604" s="3"/>
      <c r="D604" s="3"/>
      <c r="E604" s="3"/>
      <c r="F604" s="3"/>
      <c r="G604" s="3"/>
      <c r="H604" s="3"/>
      <c r="I604" s="3"/>
    </row>
    <row r="605" spans="1:9" x14ac:dyDescent="0.25">
      <c r="A605" s="3"/>
      <c r="B605" s="3"/>
      <c r="C605" s="3"/>
      <c r="D605" s="3"/>
      <c r="E605" s="3"/>
      <c r="F605" s="3"/>
      <c r="G605" s="3"/>
      <c r="H605" s="3"/>
      <c r="I605" s="3"/>
    </row>
    <row r="606" spans="1:9" x14ac:dyDescent="0.25">
      <c r="A606" s="3"/>
      <c r="B606" s="3"/>
      <c r="C606" s="3"/>
      <c r="D606" s="3"/>
      <c r="E606" s="3"/>
      <c r="F606" s="3"/>
      <c r="G606" s="3"/>
      <c r="H606" s="3"/>
      <c r="I606" s="3"/>
    </row>
    <row r="607" spans="1:9" x14ac:dyDescent="0.25">
      <c r="A607" s="3"/>
      <c r="B607" s="3"/>
      <c r="C607" s="3"/>
      <c r="D607" s="3"/>
      <c r="E607" s="3"/>
      <c r="F607" s="3"/>
      <c r="G607" s="3"/>
      <c r="H607" s="3"/>
      <c r="I607" s="3"/>
    </row>
    <row r="608" spans="1:9" x14ac:dyDescent="0.25">
      <c r="A608" s="3"/>
      <c r="B608" s="3"/>
      <c r="C608" s="3"/>
      <c r="D608" s="3"/>
      <c r="E608" s="3"/>
      <c r="F608" s="3"/>
      <c r="G608" s="3"/>
      <c r="H608" s="3"/>
      <c r="I608" s="3"/>
    </row>
    <row r="609" spans="1:9" x14ac:dyDescent="0.25">
      <c r="A609" s="3"/>
      <c r="B609" s="3"/>
      <c r="C609" s="3"/>
      <c r="D609" s="3"/>
      <c r="E609" s="3"/>
      <c r="F609" s="3"/>
      <c r="G609" s="3"/>
      <c r="H609" s="3"/>
      <c r="I609" s="3"/>
    </row>
    <row r="610" spans="1:9" x14ac:dyDescent="0.25">
      <c r="A610" s="3"/>
      <c r="B610" s="3"/>
      <c r="C610" s="3"/>
      <c r="D610" s="3"/>
      <c r="E610" s="3"/>
      <c r="F610" s="3"/>
      <c r="G610" s="3"/>
      <c r="H610" s="3"/>
      <c r="I610" s="3"/>
    </row>
    <row r="611" spans="1:9" x14ac:dyDescent="0.25">
      <c r="A611" s="3"/>
      <c r="B611" s="3"/>
      <c r="C611" s="3"/>
      <c r="D611" s="3"/>
      <c r="E611" s="3"/>
      <c r="F611" s="3"/>
      <c r="G611" s="3"/>
      <c r="H611" s="3"/>
      <c r="I611" s="3"/>
    </row>
    <row r="612" spans="1:9" x14ac:dyDescent="0.25">
      <c r="A612" s="3"/>
      <c r="B612" s="3"/>
      <c r="C612" s="3"/>
      <c r="D612" s="3"/>
      <c r="E612" s="3"/>
      <c r="F612" s="3"/>
      <c r="G612" s="3"/>
      <c r="H612" s="3"/>
      <c r="I612" s="3"/>
    </row>
    <row r="613" spans="1:9" x14ac:dyDescent="0.25">
      <c r="A613" s="3"/>
      <c r="B613" s="3"/>
      <c r="C613" s="3"/>
      <c r="D613" s="3"/>
      <c r="E613" s="3"/>
      <c r="F613" s="3"/>
      <c r="G613" s="3"/>
      <c r="H613" s="3"/>
      <c r="I613" s="3"/>
    </row>
    <row r="614" spans="1:9" x14ac:dyDescent="0.25">
      <c r="A614" s="3"/>
      <c r="B614" s="3"/>
      <c r="C614" s="3"/>
      <c r="D614" s="3"/>
      <c r="E614" s="3"/>
      <c r="F614" s="3"/>
      <c r="G614" s="3"/>
      <c r="H614" s="3"/>
      <c r="I614" s="3"/>
    </row>
    <row r="615" spans="1:9" x14ac:dyDescent="0.25">
      <c r="A615" s="3"/>
      <c r="B615" s="3"/>
      <c r="C615" s="3"/>
      <c r="D615" s="3"/>
      <c r="E615" s="3"/>
      <c r="F615" s="3"/>
      <c r="G615" s="3"/>
      <c r="H615" s="3"/>
      <c r="I615" s="3"/>
    </row>
    <row r="616" spans="1:9" x14ac:dyDescent="0.25">
      <c r="A616" s="3"/>
      <c r="B616" s="3"/>
      <c r="C616" s="3"/>
      <c r="D616" s="3"/>
      <c r="E616" s="3"/>
      <c r="F616" s="3"/>
      <c r="G616" s="3"/>
      <c r="H616" s="3"/>
      <c r="I616" s="3"/>
    </row>
    <row r="617" spans="1:9" x14ac:dyDescent="0.25">
      <c r="A617" s="3"/>
      <c r="B617" s="3"/>
      <c r="C617" s="3"/>
      <c r="D617" s="3"/>
      <c r="E617" s="3"/>
      <c r="F617" s="3"/>
      <c r="G617" s="3"/>
      <c r="H617" s="3"/>
      <c r="I617" s="3"/>
    </row>
    <row r="618" spans="1:9" x14ac:dyDescent="0.25">
      <c r="A618" s="3"/>
      <c r="B618" s="3"/>
      <c r="C618" s="3"/>
      <c r="D618" s="3"/>
      <c r="E618" s="3"/>
      <c r="F618" s="3"/>
      <c r="G618" s="3"/>
      <c r="H618" s="3"/>
      <c r="I618" s="3"/>
    </row>
    <row r="619" spans="1:9" x14ac:dyDescent="0.25">
      <c r="A619" s="3"/>
      <c r="B619" s="3"/>
      <c r="C619" s="3"/>
      <c r="D619" s="3"/>
      <c r="E619" s="3"/>
      <c r="F619" s="3"/>
      <c r="G619" s="3"/>
      <c r="H619" s="3"/>
      <c r="I619" s="3"/>
    </row>
    <row r="620" spans="1:9" x14ac:dyDescent="0.25">
      <c r="A620" s="3"/>
      <c r="B620" s="3"/>
      <c r="C620" s="3"/>
      <c r="D620" s="3"/>
      <c r="E620" s="3"/>
      <c r="F620" s="3"/>
      <c r="G620" s="3"/>
      <c r="H620" s="3"/>
      <c r="I620" s="3"/>
    </row>
    <row r="621" spans="1:9" x14ac:dyDescent="0.25">
      <c r="A621" s="3"/>
      <c r="B621" s="3"/>
      <c r="C621" s="3"/>
      <c r="D621" s="3"/>
      <c r="E621" s="3"/>
      <c r="F621" s="3"/>
      <c r="G621" s="3"/>
      <c r="H621" s="3"/>
      <c r="I621" s="3"/>
    </row>
    <row r="622" spans="1:9" x14ac:dyDescent="0.25">
      <c r="A622" s="3"/>
      <c r="B622" s="3"/>
      <c r="C622" s="3"/>
      <c r="D622" s="3"/>
      <c r="E622" s="3"/>
      <c r="F622" s="3"/>
      <c r="G622" s="3"/>
      <c r="H622" s="3"/>
      <c r="I622" s="3"/>
    </row>
    <row r="623" spans="1:9" x14ac:dyDescent="0.25">
      <c r="A623" s="3"/>
      <c r="B623" s="3"/>
      <c r="C623" s="3"/>
      <c r="D623" s="3"/>
      <c r="E623" s="3"/>
      <c r="F623" s="3"/>
      <c r="G623" s="3"/>
      <c r="H623" s="3"/>
      <c r="I623" s="3"/>
    </row>
    <row r="624" spans="1:9" x14ac:dyDescent="0.25">
      <c r="A624" s="3"/>
      <c r="B624" s="3"/>
      <c r="C624" s="3"/>
      <c r="D624" s="3"/>
      <c r="E624" s="3"/>
      <c r="F624" s="3"/>
      <c r="G624" s="3"/>
      <c r="H624" s="3"/>
      <c r="I624" s="3"/>
    </row>
    <row r="625" spans="1:9" x14ac:dyDescent="0.25">
      <c r="A625" s="3"/>
      <c r="B625" s="3"/>
      <c r="C625" s="3"/>
      <c r="D625" s="3"/>
      <c r="E625" s="3"/>
      <c r="F625" s="3"/>
      <c r="G625" s="3"/>
      <c r="H625" s="3"/>
      <c r="I625" s="3"/>
    </row>
    <row r="626" spans="1:9" x14ac:dyDescent="0.25">
      <c r="A626" s="3"/>
      <c r="B626" s="3"/>
      <c r="C626" s="3"/>
      <c r="D626" s="3"/>
      <c r="E626" s="3"/>
      <c r="F626" s="3"/>
      <c r="G626" s="3"/>
      <c r="H626" s="3"/>
      <c r="I626" s="3"/>
    </row>
    <row r="627" spans="1:9" x14ac:dyDescent="0.25">
      <c r="A627" s="3"/>
      <c r="B627" s="3"/>
      <c r="C627" s="3"/>
      <c r="D627" s="3"/>
      <c r="E627" s="3"/>
      <c r="F627" s="3"/>
      <c r="G627" s="3"/>
      <c r="H627" s="3"/>
      <c r="I627" s="3"/>
    </row>
    <row r="628" spans="1:9" x14ac:dyDescent="0.25">
      <c r="A628" s="3"/>
      <c r="B628" s="3"/>
      <c r="C628" s="3"/>
      <c r="D628" s="3"/>
      <c r="E628" s="3"/>
      <c r="F628" s="3"/>
      <c r="G628" s="3"/>
      <c r="H628" s="3"/>
      <c r="I628" s="3"/>
    </row>
    <row r="629" spans="1:9" x14ac:dyDescent="0.25">
      <c r="A629" s="3"/>
      <c r="B629" s="3"/>
      <c r="C629" s="3"/>
      <c r="D629" s="3"/>
      <c r="E629" s="3"/>
      <c r="F629" s="3"/>
      <c r="G629" s="3"/>
      <c r="H629" s="3"/>
      <c r="I629" s="3"/>
    </row>
    <row r="630" spans="1:9" x14ac:dyDescent="0.25">
      <c r="A630" s="3"/>
      <c r="B630" s="3"/>
      <c r="C630" s="3"/>
      <c r="D630" s="3"/>
      <c r="E630" s="3"/>
      <c r="F630" s="3"/>
      <c r="G630" s="3"/>
      <c r="H630" s="3"/>
      <c r="I630" s="3"/>
    </row>
    <row r="631" spans="1:9" x14ac:dyDescent="0.25">
      <c r="A631" s="3"/>
      <c r="B631" s="3"/>
      <c r="C631" s="3"/>
      <c r="D631" s="3"/>
      <c r="E631" s="3"/>
      <c r="F631" s="3"/>
      <c r="G631" s="3"/>
      <c r="H631" s="3"/>
      <c r="I631" s="3"/>
    </row>
    <row r="632" spans="1:9" x14ac:dyDescent="0.25">
      <c r="A632" s="3"/>
      <c r="B632" s="3"/>
      <c r="C632" s="3"/>
      <c r="D632" s="3"/>
      <c r="E632" s="3"/>
      <c r="F632" s="3"/>
      <c r="G632" s="3"/>
      <c r="H632" s="3"/>
      <c r="I632" s="3"/>
    </row>
    <row r="633" spans="1:9" x14ac:dyDescent="0.25">
      <c r="A633" s="3"/>
      <c r="B633" s="3"/>
      <c r="C633" s="3"/>
      <c r="D633" s="3"/>
      <c r="E633" s="3"/>
      <c r="F633" s="3"/>
      <c r="G633" s="3"/>
      <c r="H633" s="3"/>
      <c r="I633" s="3"/>
    </row>
    <row r="634" spans="1:9" x14ac:dyDescent="0.25">
      <c r="A634" s="3"/>
      <c r="B634" s="3"/>
      <c r="C634" s="3"/>
      <c r="D634" s="3"/>
      <c r="E634" s="3"/>
      <c r="F634" s="3"/>
      <c r="G634" s="3"/>
      <c r="H634" s="3"/>
      <c r="I634" s="3"/>
    </row>
    <row r="635" spans="1:9" x14ac:dyDescent="0.25">
      <c r="A635" s="3"/>
      <c r="B635" s="3"/>
      <c r="C635" s="3"/>
      <c r="D635" s="3"/>
      <c r="E635" s="3"/>
      <c r="F635" s="3"/>
      <c r="G635" s="3"/>
      <c r="H635" s="3"/>
      <c r="I635" s="3"/>
    </row>
    <row r="636" spans="1:9" x14ac:dyDescent="0.25">
      <c r="A636" s="3"/>
      <c r="B636" s="3"/>
      <c r="C636" s="3"/>
      <c r="D636" s="3"/>
      <c r="E636" s="3"/>
      <c r="F636" s="3"/>
      <c r="G636" s="3"/>
      <c r="H636" s="3"/>
      <c r="I636" s="3"/>
    </row>
    <row r="637" spans="1:9" x14ac:dyDescent="0.25">
      <c r="A637" s="3"/>
      <c r="B637" s="3"/>
      <c r="C637" s="3"/>
      <c r="D637" s="3"/>
      <c r="E637" s="3"/>
      <c r="F637" s="3"/>
      <c r="G637" s="3"/>
      <c r="H637" s="3"/>
      <c r="I637" s="3"/>
    </row>
    <row r="638" spans="1:9" x14ac:dyDescent="0.25">
      <c r="A638" s="3"/>
      <c r="B638" s="3"/>
      <c r="C638" s="3"/>
      <c r="D638" s="3"/>
      <c r="E638" s="3"/>
      <c r="F638" s="3"/>
      <c r="G638" s="3"/>
      <c r="H638" s="3"/>
      <c r="I638" s="3"/>
    </row>
    <row r="639" spans="1:9" x14ac:dyDescent="0.25">
      <c r="A639" s="3"/>
      <c r="B639" s="3"/>
      <c r="C639" s="3"/>
      <c r="D639" s="3"/>
      <c r="E639" s="3"/>
      <c r="F639" s="3"/>
      <c r="G639" s="3"/>
      <c r="H639" s="3"/>
      <c r="I639" s="3"/>
    </row>
    <row r="640" spans="1:9" x14ac:dyDescent="0.25">
      <c r="A640" s="3"/>
      <c r="B640" s="3"/>
      <c r="C640" s="3"/>
      <c r="D640" s="3"/>
      <c r="E640" s="3"/>
      <c r="F640" s="3"/>
      <c r="G640" s="3"/>
      <c r="H640" s="3"/>
      <c r="I640" s="3"/>
    </row>
    <row r="641" spans="1:9" x14ac:dyDescent="0.25">
      <c r="A641" s="3"/>
      <c r="B641" s="3"/>
      <c r="C641" s="3"/>
      <c r="D641" s="3"/>
      <c r="E641" s="3"/>
      <c r="F641" s="3"/>
      <c r="G641" s="3"/>
      <c r="H641" s="3"/>
      <c r="I641" s="3"/>
    </row>
    <row r="642" spans="1:9" x14ac:dyDescent="0.25">
      <c r="A642" s="3"/>
      <c r="B642" s="3"/>
      <c r="C642" s="3"/>
      <c r="D642" s="3"/>
      <c r="E642" s="3"/>
      <c r="F642" s="3"/>
      <c r="G642" s="3"/>
      <c r="H642" s="3"/>
      <c r="I642" s="3"/>
    </row>
    <row r="643" spans="1:9" x14ac:dyDescent="0.25">
      <c r="A643" s="3"/>
      <c r="B643" s="3"/>
      <c r="C643" s="3"/>
      <c r="D643" s="3"/>
      <c r="E643" s="3"/>
      <c r="F643" s="3"/>
      <c r="G643" s="3"/>
      <c r="H643" s="3"/>
      <c r="I643" s="3"/>
    </row>
    <row r="644" spans="1:9" x14ac:dyDescent="0.25">
      <c r="A644" s="3"/>
      <c r="B644" s="3"/>
      <c r="C644" s="3"/>
      <c r="D644" s="3"/>
      <c r="E644" s="3"/>
      <c r="F644" s="3"/>
      <c r="G644" s="3"/>
      <c r="H644" s="3"/>
      <c r="I644" s="3"/>
    </row>
    <row r="645" spans="1:9" x14ac:dyDescent="0.25">
      <c r="A645" s="3"/>
      <c r="B645" s="3"/>
      <c r="C645" s="3"/>
      <c r="D645" s="3"/>
      <c r="E645" s="3"/>
      <c r="F645" s="3"/>
      <c r="G645" s="3"/>
      <c r="H645" s="3"/>
      <c r="I645" s="3"/>
    </row>
    <row r="646" spans="1:9" x14ac:dyDescent="0.25">
      <c r="A646" s="3"/>
      <c r="B646" s="3"/>
      <c r="C646" s="3"/>
      <c r="D646" s="3"/>
      <c r="E646" s="3"/>
      <c r="F646" s="3"/>
      <c r="G646" s="3"/>
      <c r="H646" s="3"/>
      <c r="I646" s="3"/>
    </row>
    <row r="647" spans="1:9" x14ac:dyDescent="0.25">
      <c r="A647" s="3"/>
      <c r="B647" s="3"/>
      <c r="C647" s="3"/>
      <c r="D647" s="3"/>
      <c r="E647" s="3"/>
      <c r="F647" s="3"/>
      <c r="G647" s="3"/>
      <c r="H647" s="3"/>
      <c r="I647" s="3"/>
    </row>
    <row r="648" spans="1:9" x14ac:dyDescent="0.25">
      <c r="A648" s="3"/>
      <c r="B648" s="3"/>
      <c r="C648" s="3"/>
      <c r="D648" s="3"/>
      <c r="E648" s="3"/>
      <c r="F648" s="3"/>
      <c r="G648" s="3"/>
      <c r="H648" s="3"/>
      <c r="I648" s="3"/>
    </row>
    <row r="649" spans="1:9" x14ac:dyDescent="0.25">
      <c r="A649" s="3"/>
      <c r="B649" s="3"/>
      <c r="C649" s="3"/>
      <c r="D649" s="3"/>
      <c r="E649" s="3"/>
      <c r="F649" s="3"/>
      <c r="G649" s="3"/>
      <c r="H649" s="3"/>
      <c r="I649" s="3"/>
    </row>
    <row r="650" spans="1:9" x14ac:dyDescent="0.25">
      <c r="A650" s="3"/>
      <c r="B650" s="3"/>
      <c r="C650" s="3"/>
      <c r="D650" s="3"/>
      <c r="E650" s="3"/>
      <c r="F650" s="3"/>
      <c r="G650" s="3"/>
      <c r="H650" s="3"/>
      <c r="I650" s="3"/>
    </row>
    <row r="651" spans="1:9" x14ac:dyDescent="0.25">
      <c r="A651" s="3"/>
      <c r="B651" s="3"/>
      <c r="C651" s="3"/>
      <c r="D651" s="3"/>
      <c r="E651" s="3"/>
      <c r="F651" s="3"/>
      <c r="G651" s="3"/>
      <c r="H651" s="3"/>
      <c r="I651" s="3"/>
    </row>
    <row r="652" spans="1:9" x14ac:dyDescent="0.25">
      <c r="A652" s="3"/>
      <c r="B652" s="3"/>
      <c r="C652" s="3"/>
      <c r="D652" s="3"/>
      <c r="E652" s="3"/>
      <c r="F652" s="3"/>
      <c r="G652" s="3"/>
      <c r="H652" s="3"/>
      <c r="I652" s="3"/>
    </row>
    <row r="653" spans="1:9" x14ac:dyDescent="0.25">
      <c r="A653" s="3"/>
      <c r="B653" s="3"/>
      <c r="C653" s="3"/>
      <c r="D653" s="3"/>
      <c r="E653" s="3"/>
      <c r="F653" s="3"/>
      <c r="G653" s="3"/>
      <c r="H653" s="3"/>
      <c r="I653" s="3"/>
    </row>
    <row r="654" spans="1:9" x14ac:dyDescent="0.25">
      <c r="A654" s="3"/>
      <c r="B654" s="3"/>
      <c r="C654" s="3"/>
      <c r="D654" s="3"/>
      <c r="E654" s="3"/>
      <c r="F654" s="3"/>
      <c r="G654" s="3"/>
      <c r="H654" s="3"/>
      <c r="I654" s="3"/>
    </row>
    <row r="655" spans="1:9" x14ac:dyDescent="0.25">
      <c r="A655" s="3"/>
      <c r="B655" s="3"/>
      <c r="C655" s="3"/>
      <c r="D655" s="3"/>
      <c r="E655" s="3"/>
      <c r="F655" s="3"/>
      <c r="G655" s="3"/>
      <c r="H655" s="3"/>
      <c r="I655" s="3"/>
    </row>
    <row r="656" spans="1:9" x14ac:dyDescent="0.25">
      <c r="A656" s="3"/>
      <c r="B656" s="3"/>
      <c r="C656" s="3"/>
      <c r="D656" s="3"/>
      <c r="E656" s="3"/>
      <c r="F656" s="3"/>
      <c r="G656" s="3"/>
      <c r="H656" s="3"/>
      <c r="I656" s="3"/>
    </row>
    <row r="657" spans="1:9" x14ac:dyDescent="0.25">
      <c r="A657" s="3"/>
      <c r="B657" s="3"/>
      <c r="C657" s="3"/>
      <c r="D657" s="3"/>
      <c r="E657" s="3"/>
      <c r="F657" s="3"/>
      <c r="G657" s="3"/>
      <c r="H657" s="3"/>
      <c r="I657" s="3"/>
    </row>
    <row r="658" spans="1:9" x14ac:dyDescent="0.25">
      <c r="A658" s="3"/>
      <c r="B658" s="3"/>
      <c r="C658" s="3"/>
      <c r="D658" s="3"/>
      <c r="E658" s="3"/>
      <c r="F658" s="3"/>
      <c r="G658" s="3"/>
      <c r="H658" s="3"/>
      <c r="I658" s="3"/>
    </row>
    <row r="659" spans="1:9" x14ac:dyDescent="0.25">
      <c r="A659" s="3"/>
      <c r="B659" s="3"/>
      <c r="C659" s="3"/>
      <c r="D659" s="3"/>
      <c r="E659" s="3"/>
      <c r="F659" s="3"/>
      <c r="G659" s="3"/>
      <c r="H659" s="3"/>
      <c r="I659" s="3"/>
    </row>
    <row r="660" spans="1:9" x14ac:dyDescent="0.25">
      <c r="A660" s="3"/>
      <c r="B660" s="3"/>
      <c r="C660" s="3"/>
      <c r="D660" s="3"/>
      <c r="E660" s="3"/>
      <c r="F660" s="3"/>
      <c r="G660" s="3"/>
      <c r="H660" s="3"/>
      <c r="I660" s="3"/>
    </row>
    <row r="661" spans="1:9" x14ac:dyDescent="0.25">
      <c r="A661" s="3"/>
      <c r="B661" s="3"/>
      <c r="C661" s="3"/>
      <c r="D661" s="3"/>
      <c r="E661" s="3"/>
      <c r="F661" s="3"/>
      <c r="G661" s="3"/>
      <c r="H661" s="3"/>
      <c r="I661" s="3"/>
    </row>
    <row r="662" spans="1:9" x14ac:dyDescent="0.25">
      <c r="A662" s="3"/>
      <c r="B662" s="3"/>
      <c r="C662" s="3"/>
      <c r="D662" s="3"/>
      <c r="E662" s="3"/>
      <c r="F662" s="3"/>
      <c r="G662" s="3"/>
      <c r="H662" s="3"/>
      <c r="I662" s="3"/>
    </row>
    <row r="663" spans="1:9" x14ac:dyDescent="0.25">
      <c r="A663" s="3"/>
      <c r="B663" s="3"/>
      <c r="C663" s="3"/>
      <c r="D663" s="3"/>
      <c r="E663" s="3"/>
      <c r="F663" s="3"/>
      <c r="G663" s="3"/>
      <c r="H663" s="3"/>
      <c r="I663" s="3"/>
    </row>
    <row r="664" spans="1:9" x14ac:dyDescent="0.25">
      <c r="A664" s="3"/>
      <c r="B664" s="3"/>
      <c r="C664" s="3"/>
      <c r="D664" s="3"/>
      <c r="E664" s="3"/>
      <c r="F664" s="3"/>
      <c r="G664" s="3"/>
      <c r="H664" s="3"/>
      <c r="I664" s="3"/>
    </row>
    <row r="665" spans="1:9" x14ac:dyDescent="0.25">
      <c r="A665" s="3"/>
      <c r="B665" s="3"/>
      <c r="C665" s="3"/>
      <c r="D665" s="3"/>
      <c r="E665" s="3"/>
      <c r="F665" s="3"/>
      <c r="G665" s="3"/>
      <c r="H665" s="3"/>
      <c r="I665" s="3"/>
    </row>
    <row r="666" spans="1:9" x14ac:dyDescent="0.25">
      <c r="A666" s="3"/>
      <c r="B666" s="3"/>
      <c r="C666" s="3"/>
      <c r="D666" s="3"/>
      <c r="E666" s="3"/>
      <c r="F666" s="3"/>
      <c r="G666" s="3"/>
      <c r="H666" s="3"/>
      <c r="I666" s="3"/>
    </row>
    <row r="667" spans="1:9" x14ac:dyDescent="0.25">
      <c r="A667" s="3"/>
      <c r="B667" s="3"/>
      <c r="C667" s="3"/>
      <c r="D667" s="3"/>
      <c r="E667" s="3"/>
      <c r="F667" s="3"/>
      <c r="G667" s="3"/>
      <c r="H667" s="3"/>
      <c r="I667" s="3"/>
    </row>
    <row r="668" spans="1:9" x14ac:dyDescent="0.25">
      <c r="A668" s="3"/>
      <c r="B668" s="3"/>
      <c r="C668" s="3"/>
      <c r="D668" s="3"/>
      <c r="E668" s="3"/>
      <c r="F668" s="3"/>
      <c r="G668" s="3"/>
      <c r="H668" s="3"/>
      <c r="I668" s="3"/>
    </row>
    <row r="669" spans="1:9" x14ac:dyDescent="0.25">
      <c r="A669" s="3"/>
      <c r="B669" s="3"/>
      <c r="C669" s="3"/>
      <c r="D669" s="3"/>
      <c r="E669" s="3"/>
      <c r="F669" s="3"/>
      <c r="G669" s="3"/>
      <c r="H669" s="3"/>
      <c r="I669" s="3"/>
    </row>
    <row r="670" spans="1:9" x14ac:dyDescent="0.25">
      <c r="A670" s="3"/>
      <c r="B670" s="3"/>
      <c r="C670" s="3"/>
      <c r="D670" s="3"/>
      <c r="E670" s="3"/>
      <c r="F670" s="3"/>
      <c r="G670" s="3"/>
      <c r="H670" s="3"/>
      <c r="I670" s="3"/>
    </row>
    <row r="671" spans="1:9" x14ac:dyDescent="0.25">
      <c r="A671" s="3"/>
      <c r="B671" s="3"/>
      <c r="C671" s="3"/>
      <c r="D671" s="3"/>
      <c r="E671" s="3"/>
      <c r="F671" s="3"/>
      <c r="G671" s="3"/>
      <c r="H671" s="3"/>
      <c r="I671" s="3"/>
    </row>
    <row r="672" spans="1:9" x14ac:dyDescent="0.25">
      <c r="A672" s="3"/>
      <c r="B672" s="3"/>
      <c r="C672" s="3"/>
      <c r="D672" s="3"/>
      <c r="E672" s="3"/>
      <c r="F672" s="3"/>
      <c r="G672" s="3"/>
      <c r="H672" s="3"/>
      <c r="I672" s="3"/>
    </row>
    <row r="673" spans="1:9" x14ac:dyDescent="0.25">
      <c r="A673" s="3"/>
      <c r="B673" s="3"/>
      <c r="C673" s="3"/>
      <c r="D673" s="3"/>
      <c r="E673" s="3"/>
      <c r="F673" s="3"/>
      <c r="G673" s="3"/>
      <c r="H673" s="3"/>
      <c r="I673" s="3"/>
    </row>
    <row r="674" spans="1:9" x14ac:dyDescent="0.25">
      <c r="A674" s="3"/>
      <c r="B674" s="3"/>
      <c r="C674" s="3"/>
      <c r="D674" s="3"/>
      <c r="E674" s="3"/>
      <c r="F674" s="3"/>
      <c r="G674" s="3"/>
      <c r="H674" s="3"/>
      <c r="I674" s="3"/>
    </row>
    <row r="675" spans="1:9" x14ac:dyDescent="0.25">
      <c r="A675" s="3"/>
      <c r="B675" s="3"/>
      <c r="C675" s="3"/>
      <c r="D675" s="3"/>
      <c r="E675" s="3"/>
      <c r="F675" s="3"/>
      <c r="G675" s="3"/>
      <c r="H675" s="3"/>
      <c r="I675" s="3"/>
    </row>
    <row r="676" spans="1:9" x14ac:dyDescent="0.25">
      <c r="A676" s="3"/>
      <c r="B676" s="3"/>
      <c r="C676" s="3"/>
      <c r="D676" s="3"/>
      <c r="E676" s="3"/>
      <c r="F676" s="3"/>
      <c r="G676" s="3"/>
      <c r="H676" s="3"/>
      <c r="I676" s="3"/>
    </row>
    <row r="677" spans="1:9" x14ac:dyDescent="0.25">
      <c r="A677" s="3"/>
      <c r="B677" s="3"/>
      <c r="C677" s="3"/>
      <c r="D677" s="3"/>
      <c r="E677" s="3"/>
      <c r="F677" s="3"/>
      <c r="G677" s="3"/>
      <c r="H677" s="3"/>
      <c r="I677" s="3"/>
    </row>
    <row r="678" spans="1:9" x14ac:dyDescent="0.25">
      <c r="A678" s="3"/>
      <c r="B678" s="3"/>
      <c r="C678" s="3"/>
      <c r="D678" s="3"/>
      <c r="E678" s="3"/>
      <c r="F678" s="3"/>
      <c r="G678" s="3"/>
      <c r="H678" s="3"/>
      <c r="I678" s="3"/>
    </row>
    <row r="679" spans="1:9" x14ac:dyDescent="0.25">
      <c r="A679" s="3"/>
      <c r="B679" s="3"/>
      <c r="C679" s="3"/>
      <c r="D679" s="3"/>
      <c r="E679" s="3"/>
      <c r="F679" s="3"/>
      <c r="G679" s="3"/>
      <c r="H679" s="3"/>
      <c r="I679" s="3"/>
    </row>
    <row r="680" spans="1:9" x14ac:dyDescent="0.25">
      <c r="A680" s="3"/>
      <c r="B680" s="3"/>
      <c r="C680" s="3"/>
      <c r="D680" s="3"/>
      <c r="E680" s="3"/>
      <c r="F680" s="3"/>
      <c r="G680" s="3"/>
      <c r="H680" s="3"/>
      <c r="I680" s="3"/>
    </row>
    <row r="681" spans="1:9" x14ac:dyDescent="0.25">
      <c r="A681" s="3"/>
      <c r="B681" s="3"/>
      <c r="C681" s="3"/>
      <c r="D681" s="3"/>
      <c r="E681" s="3"/>
      <c r="F681" s="3"/>
      <c r="G681" s="3"/>
      <c r="H681" s="3"/>
      <c r="I681" s="3"/>
    </row>
    <row r="682" spans="1:9" x14ac:dyDescent="0.25">
      <c r="A682" s="3"/>
      <c r="B682" s="3"/>
      <c r="C682" s="3"/>
      <c r="D682" s="3"/>
      <c r="E682" s="3"/>
      <c r="F682" s="3"/>
      <c r="G682" s="3"/>
      <c r="H682" s="3"/>
      <c r="I682" s="3"/>
    </row>
    <row r="683" spans="1:9" x14ac:dyDescent="0.25">
      <c r="A683" s="3"/>
      <c r="B683" s="3"/>
      <c r="C683" s="3"/>
      <c r="D683" s="3"/>
      <c r="E683" s="3"/>
      <c r="F683" s="3"/>
      <c r="G683" s="3"/>
      <c r="H683" s="3"/>
      <c r="I683" s="3"/>
    </row>
    <row r="684" spans="1:9" x14ac:dyDescent="0.25">
      <c r="A684" s="3"/>
      <c r="B684" s="3"/>
      <c r="C684" s="3"/>
      <c r="D684" s="3"/>
      <c r="E684" s="3"/>
      <c r="F684" s="3"/>
      <c r="G684" s="3"/>
      <c r="H684" s="3"/>
      <c r="I684" s="3"/>
    </row>
    <row r="685" spans="1:9" x14ac:dyDescent="0.25">
      <c r="A685" s="3"/>
      <c r="B685" s="3"/>
      <c r="C685" s="3"/>
      <c r="D685" s="3"/>
      <c r="E685" s="3"/>
      <c r="F685" s="3"/>
      <c r="G685" s="3"/>
      <c r="H685" s="3"/>
      <c r="I685" s="3"/>
    </row>
    <row r="686" spans="1:9" x14ac:dyDescent="0.25">
      <c r="A686" s="3"/>
      <c r="B686" s="3"/>
      <c r="C686" s="3"/>
      <c r="D686" s="3"/>
      <c r="E686" s="3"/>
      <c r="F686" s="3"/>
      <c r="G686" s="3"/>
      <c r="H686" s="3"/>
      <c r="I686" s="3"/>
    </row>
    <row r="687" spans="1:9" x14ac:dyDescent="0.25">
      <c r="A687" s="3"/>
      <c r="B687" s="3"/>
      <c r="C687" s="3"/>
      <c r="D687" s="3"/>
      <c r="E687" s="3"/>
      <c r="F687" s="3"/>
      <c r="G687" s="3"/>
      <c r="H687" s="3"/>
      <c r="I687" s="3"/>
    </row>
    <row r="688" spans="1:9" x14ac:dyDescent="0.25">
      <c r="A688" s="3"/>
      <c r="B688" s="3"/>
      <c r="C688" s="3"/>
      <c r="D688" s="3"/>
      <c r="E688" s="3"/>
      <c r="F688" s="3"/>
      <c r="G688" s="3"/>
      <c r="H688" s="3"/>
      <c r="I688" s="3"/>
    </row>
    <row r="689" spans="1:9" x14ac:dyDescent="0.25">
      <c r="A689" s="3"/>
      <c r="B689" s="3"/>
      <c r="C689" s="3"/>
      <c r="D689" s="3"/>
      <c r="E689" s="3"/>
      <c r="F689" s="3"/>
      <c r="G689" s="3"/>
      <c r="H689" s="3"/>
      <c r="I689" s="3"/>
    </row>
    <row r="690" spans="1:9" x14ac:dyDescent="0.25">
      <c r="A690" s="3"/>
      <c r="B690" s="3"/>
      <c r="C690" s="3"/>
      <c r="D690" s="3"/>
      <c r="E690" s="3"/>
      <c r="F690" s="3"/>
      <c r="G690" s="3"/>
      <c r="H690" s="3"/>
      <c r="I690" s="3"/>
    </row>
    <row r="691" spans="1:9" x14ac:dyDescent="0.25">
      <c r="A691" s="3"/>
      <c r="B691" s="3"/>
      <c r="C691" s="3"/>
      <c r="D691" s="3"/>
      <c r="E691" s="3"/>
      <c r="F691" s="3"/>
      <c r="G691" s="3"/>
      <c r="H691" s="3"/>
      <c r="I691" s="3"/>
    </row>
    <row r="692" spans="1:9" x14ac:dyDescent="0.25">
      <c r="A692" s="3"/>
      <c r="B692" s="3"/>
      <c r="C692" s="3"/>
      <c r="D692" s="3"/>
      <c r="E692" s="3"/>
      <c r="F692" s="3"/>
      <c r="G692" s="3"/>
      <c r="H692" s="3"/>
      <c r="I692" s="3"/>
    </row>
    <row r="693" spans="1:9" x14ac:dyDescent="0.25">
      <c r="A693" s="3"/>
      <c r="B693" s="3"/>
      <c r="C693" s="3"/>
      <c r="D693" s="3"/>
      <c r="E693" s="3"/>
      <c r="F693" s="3"/>
      <c r="G693" s="3"/>
      <c r="H693" s="3"/>
      <c r="I693" s="3"/>
    </row>
    <row r="694" spans="1:9" x14ac:dyDescent="0.25">
      <c r="A694" s="3"/>
      <c r="B694" s="3"/>
      <c r="C694" s="3"/>
      <c r="D694" s="3"/>
      <c r="E694" s="3"/>
      <c r="F694" s="3"/>
      <c r="G694" s="3"/>
      <c r="H694" s="3"/>
      <c r="I694" s="3"/>
    </row>
    <row r="695" spans="1:9" x14ac:dyDescent="0.25">
      <c r="A695" s="3"/>
      <c r="B695" s="3"/>
      <c r="C695" s="3"/>
      <c r="D695" s="3"/>
      <c r="E695" s="3"/>
      <c r="F695" s="3"/>
      <c r="G695" s="3"/>
      <c r="H695" s="3"/>
      <c r="I695" s="3"/>
    </row>
    <row r="696" spans="1:9" x14ac:dyDescent="0.25">
      <c r="A696" s="3"/>
      <c r="B696" s="3"/>
      <c r="C696" s="3"/>
      <c r="D696" s="3"/>
      <c r="E696" s="3"/>
      <c r="F696" s="3"/>
      <c r="G696" s="3"/>
      <c r="H696" s="3"/>
      <c r="I696" s="3"/>
    </row>
    <row r="697" spans="1:9" x14ac:dyDescent="0.25">
      <c r="A697" s="3"/>
      <c r="B697" s="3"/>
      <c r="C697" s="3"/>
      <c r="D697" s="3"/>
      <c r="E697" s="3"/>
      <c r="F697" s="3"/>
      <c r="G697" s="3"/>
      <c r="H697" s="3"/>
      <c r="I697" s="3"/>
    </row>
    <row r="698" spans="1:9" x14ac:dyDescent="0.25">
      <c r="A698" s="3"/>
      <c r="B698" s="3"/>
      <c r="C698" s="3"/>
      <c r="D698" s="3"/>
      <c r="E698" s="3"/>
      <c r="F698" s="3"/>
      <c r="G698" s="3"/>
      <c r="H698" s="3"/>
      <c r="I698" s="3"/>
    </row>
    <row r="699" spans="1:9" x14ac:dyDescent="0.25">
      <c r="A699" s="3"/>
      <c r="B699" s="3"/>
      <c r="C699" s="3"/>
      <c r="D699" s="3"/>
      <c r="E699" s="3"/>
      <c r="F699" s="3"/>
      <c r="G699" s="3"/>
      <c r="H699" s="3"/>
      <c r="I699" s="3"/>
    </row>
    <row r="700" spans="1:9" x14ac:dyDescent="0.25">
      <c r="A700" s="3"/>
      <c r="B700" s="3"/>
      <c r="C700" s="3"/>
      <c r="D700" s="3"/>
      <c r="E700" s="3"/>
      <c r="F700" s="3"/>
      <c r="G700" s="3"/>
      <c r="H700" s="3"/>
      <c r="I700" s="3"/>
    </row>
    <row r="701" spans="1:9" x14ac:dyDescent="0.25">
      <c r="A701" s="3"/>
      <c r="B701" s="3"/>
      <c r="C701" s="3"/>
      <c r="D701" s="3"/>
      <c r="E701" s="3"/>
      <c r="F701" s="3"/>
      <c r="G701" s="3"/>
      <c r="H701" s="3"/>
      <c r="I701" s="3"/>
    </row>
    <row r="702" spans="1:9" x14ac:dyDescent="0.25">
      <c r="A702" s="3"/>
      <c r="B702" s="3"/>
      <c r="C702" s="3"/>
      <c r="D702" s="3"/>
      <c r="E702" s="3"/>
      <c r="F702" s="3"/>
      <c r="G702" s="3"/>
      <c r="H702" s="3"/>
      <c r="I702" s="3"/>
    </row>
    <row r="703" spans="1:9" x14ac:dyDescent="0.25">
      <c r="A703" s="3"/>
      <c r="B703" s="3"/>
      <c r="C703" s="3"/>
      <c r="D703" s="3"/>
      <c r="E703" s="3"/>
      <c r="F703" s="3"/>
      <c r="G703" s="3"/>
      <c r="H703" s="3"/>
      <c r="I703" s="3"/>
    </row>
    <row r="704" spans="1:9" x14ac:dyDescent="0.25">
      <c r="A704" s="3"/>
      <c r="B704" s="3"/>
      <c r="C704" s="3"/>
      <c r="D704" s="3"/>
      <c r="E704" s="3"/>
      <c r="F704" s="3"/>
      <c r="G704" s="3"/>
      <c r="H704" s="3"/>
      <c r="I704" s="3"/>
    </row>
    <row r="705" spans="1:9" x14ac:dyDescent="0.25">
      <c r="A705" s="3"/>
      <c r="B705" s="3"/>
      <c r="C705" s="3"/>
      <c r="D705" s="3"/>
      <c r="E705" s="3"/>
      <c r="F705" s="3"/>
      <c r="G705" s="3"/>
      <c r="H705" s="3"/>
      <c r="I705" s="3"/>
    </row>
    <row r="706" spans="1:9" x14ac:dyDescent="0.25">
      <c r="A706" s="3"/>
      <c r="B706" s="3"/>
      <c r="C706" s="3"/>
      <c r="D706" s="3"/>
      <c r="E706" s="3"/>
      <c r="F706" s="3"/>
      <c r="G706" s="3"/>
      <c r="H706" s="3"/>
      <c r="I706" s="3"/>
    </row>
    <row r="707" spans="1:9" x14ac:dyDescent="0.25">
      <c r="A707" s="3"/>
      <c r="B707" s="3"/>
      <c r="C707" s="3"/>
      <c r="D707" s="3"/>
      <c r="E707" s="3"/>
      <c r="F707" s="3"/>
      <c r="G707" s="3"/>
      <c r="H707" s="3"/>
      <c r="I707" s="3"/>
    </row>
    <row r="708" spans="1:9" x14ac:dyDescent="0.25">
      <c r="A708" s="3"/>
      <c r="B708" s="3"/>
      <c r="C708" s="3"/>
      <c r="D708" s="3"/>
      <c r="E708" s="3"/>
      <c r="F708" s="3"/>
      <c r="G708" s="3"/>
      <c r="H708" s="3"/>
      <c r="I708" s="3"/>
    </row>
    <row r="709" spans="1:9" x14ac:dyDescent="0.25">
      <c r="A709" s="3"/>
      <c r="B709" s="3"/>
      <c r="C709" s="3"/>
      <c r="D709" s="3"/>
      <c r="E709" s="3"/>
      <c r="F709" s="3"/>
      <c r="G709" s="3"/>
      <c r="H709" s="3"/>
      <c r="I709" s="3"/>
    </row>
    <row r="710" spans="1:9" x14ac:dyDescent="0.25">
      <c r="A710" s="3"/>
      <c r="B710" s="3"/>
      <c r="C710" s="3"/>
      <c r="D710" s="3"/>
      <c r="E710" s="3"/>
      <c r="F710" s="3"/>
      <c r="G710" s="3"/>
      <c r="H710" s="3"/>
      <c r="I710" s="3"/>
    </row>
    <row r="711" spans="1:9" x14ac:dyDescent="0.25">
      <c r="A711" s="3"/>
      <c r="B711" s="3"/>
      <c r="C711" s="3"/>
      <c r="D711" s="3"/>
      <c r="E711" s="3"/>
      <c r="F711" s="3"/>
      <c r="G711" s="3"/>
      <c r="H711" s="3"/>
      <c r="I711" s="3"/>
    </row>
    <row r="712" spans="1:9" x14ac:dyDescent="0.25">
      <c r="A712" s="3"/>
      <c r="B712" s="3"/>
      <c r="C712" s="3"/>
      <c r="D712" s="3"/>
      <c r="E712" s="3"/>
      <c r="F712" s="3"/>
      <c r="G712" s="3"/>
      <c r="H712" s="3"/>
      <c r="I712" s="3"/>
    </row>
    <row r="713" spans="1:9" x14ac:dyDescent="0.25">
      <c r="A713" s="3"/>
      <c r="B713" s="3"/>
      <c r="C713" s="3"/>
      <c r="D713" s="3"/>
      <c r="E713" s="3"/>
      <c r="F713" s="3"/>
      <c r="G713" s="3"/>
      <c r="H713" s="3"/>
      <c r="I713" s="3"/>
    </row>
    <row r="714" spans="1:9" x14ac:dyDescent="0.25">
      <c r="A714" s="3"/>
      <c r="B714" s="3"/>
      <c r="C714" s="3"/>
      <c r="D714" s="3"/>
      <c r="E714" s="3"/>
      <c r="F714" s="3"/>
      <c r="G714" s="3"/>
      <c r="H714" s="3"/>
      <c r="I714" s="3"/>
    </row>
    <row r="715" spans="1:9" x14ac:dyDescent="0.25">
      <c r="A715" s="3"/>
      <c r="B715" s="3"/>
      <c r="C715" s="3"/>
      <c r="D715" s="3"/>
      <c r="E715" s="3"/>
      <c r="F715" s="3"/>
      <c r="G715" s="3"/>
      <c r="H715" s="3"/>
      <c r="I715" s="3"/>
    </row>
    <row r="716" spans="1:9" x14ac:dyDescent="0.25">
      <c r="B716" s="3"/>
      <c r="C716" s="3"/>
      <c r="D716" s="3"/>
      <c r="E716" s="3"/>
      <c r="F716" s="3"/>
      <c r="G716" s="3"/>
      <c r="H716" s="3"/>
      <c r="I716" s="3"/>
    </row>
    <row r="717" spans="1:9" x14ac:dyDescent="0.25">
      <c r="B717" s="3"/>
      <c r="C717" s="3"/>
      <c r="D717" s="3"/>
      <c r="E717" s="3"/>
      <c r="F717" s="3"/>
      <c r="G717" s="3"/>
      <c r="H717" s="3"/>
      <c r="I717" s="3"/>
    </row>
    <row r="718" spans="1:9" x14ac:dyDescent="0.25">
      <c r="B718" s="3"/>
      <c r="C718" s="3"/>
      <c r="D718" s="3"/>
      <c r="E718" s="3"/>
      <c r="F718" s="3"/>
      <c r="G718" s="3"/>
      <c r="H718" s="3"/>
      <c r="I718" s="3"/>
    </row>
    <row r="719" spans="1:9" x14ac:dyDescent="0.25">
      <c r="B719" s="3"/>
      <c r="C719" s="3"/>
      <c r="D719" s="3"/>
      <c r="E719" s="3"/>
    </row>
    <row r="720" spans="1:9" x14ac:dyDescent="0.25">
      <c r="B720" s="3"/>
      <c r="C720" s="3"/>
      <c r="D720" s="3"/>
      <c r="E720" s="3"/>
    </row>
  </sheetData>
  <mergeCells count="18">
    <mergeCell ref="I69:J69"/>
    <mergeCell ref="I70:J70"/>
    <mergeCell ref="A69:B69"/>
    <mergeCell ref="A70:B70"/>
    <mergeCell ref="D69:E70"/>
    <mergeCell ref="C69:C70"/>
    <mergeCell ref="G69:H69"/>
    <mergeCell ref="G70:H70"/>
    <mergeCell ref="E51:J51"/>
    <mergeCell ref="A51:D51"/>
    <mergeCell ref="A68:B68"/>
    <mergeCell ref="D68:E68"/>
    <mergeCell ref="I67:J67"/>
    <mergeCell ref="G68:H68"/>
    <mergeCell ref="A52:D52"/>
    <mergeCell ref="E52:J52"/>
    <mergeCell ref="I68:J68"/>
    <mergeCell ref="G67:H67"/>
  </mergeCells>
  <phoneticPr fontId="0" type="noConversion"/>
  <printOptions horizontalCentered="1" verticalCentered="1"/>
  <pageMargins left="0.51" right="0" top="0.5" bottom="0.05" header="0.5" footer="0"/>
  <pageSetup orientation="portrait" horizontalDpi="360" verticalDpi="36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51">
    <pageSetUpPr autoPageBreaks="0" fitToPage="1"/>
  </sheetPr>
  <dimension ref="A1:L720"/>
  <sheetViews>
    <sheetView showGridLines="0" showZeros="0" workbookViewId="0">
      <selection activeCell="M58" sqref="M58"/>
    </sheetView>
  </sheetViews>
  <sheetFormatPr baseColWidth="10" defaultColWidth="8.88671875" defaultRowHeight="13.2" x14ac:dyDescent="0.25"/>
  <cols>
    <col min="1" max="1" width="12.88671875" customWidth="1"/>
    <col min="2" max="2" width="11.88671875" customWidth="1"/>
    <col min="3" max="3" width="13.88671875" customWidth="1"/>
    <col min="4" max="4" width="10.6640625" customWidth="1"/>
    <col min="5" max="5" width="10.44140625" customWidth="1"/>
    <col min="6" max="6" width="10.5546875" customWidth="1"/>
    <col min="7" max="7" width="10.6640625" customWidth="1"/>
    <col min="8" max="8" width="5.88671875" customWidth="1"/>
    <col min="9" max="9" width="9.44140625" customWidth="1"/>
    <col min="10" max="10" width="9.88671875" customWidth="1"/>
  </cols>
  <sheetData>
    <row r="1" spans="1:11" ht="6" customHeight="1" x14ac:dyDescent="0.25">
      <c r="A1" s="8"/>
      <c r="B1" s="9"/>
      <c r="C1" s="9"/>
      <c r="D1" s="9"/>
      <c r="E1" s="9"/>
      <c r="F1" s="9"/>
      <c r="G1" s="9"/>
      <c r="H1" s="9"/>
      <c r="I1" s="9"/>
      <c r="J1" s="10"/>
    </row>
    <row r="2" spans="1:11" ht="42" customHeight="1" thickBot="1" x14ac:dyDescent="0.35">
      <c r="A2" s="11"/>
      <c r="B2" s="48"/>
      <c r="C2" s="49"/>
      <c r="D2" s="50"/>
      <c r="E2" s="51"/>
      <c r="F2" s="52"/>
      <c r="G2" s="53"/>
      <c r="H2" s="53"/>
      <c r="I2" s="53"/>
      <c r="J2" s="54" t="str">
        <f>"CALDRIL MUD REPORT No. "&amp;[1]IFE!B166&amp;" "</f>
        <v xml:space="preserve">CALDRIL MUD REPORT No. 9 </v>
      </c>
    </row>
    <row r="3" spans="1:11" ht="11.1" customHeight="1" x14ac:dyDescent="0.25">
      <c r="A3" s="55" t="s">
        <v>11</v>
      </c>
      <c r="B3" s="56" t="str">
        <f xml:space="preserve"> [1]IFE!B6</f>
        <v>Cardon IV</v>
      </c>
      <c r="C3" s="57"/>
      <c r="D3" s="58" t="s">
        <v>13</v>
      </c>
      <c r="E3" s="59" t="str">
        <f xml:space="preserve"> [1]IFE!B9</f>
        <v>Golfo de Venezuela</v>
      </c>
      <c r="F3" s="4"/>
      <c r="G3" s="4"/>
      <c r="H3" s="58" t="s">
        <v>37</v>
      </c>
      <c r="I3" s="152" t="str">
        <f>[1]IFE!B120&amp;" "&amp;[1]IFE!B30&amp;" /"</f>
        <v>563 pies /</v>
      </c>
      <c r="J3" s="151" t="str">
        <f>[1]IFE!B121&amp;" "&amp;[1]IFE!B30</f>
        <v>563 pies</v>
      </c>
      <c r="K3" s="60"/>
    </row>
    <row r="4" spans="1:11" ht="11.1" customHeight="1" x14ac:dyDescent="0.25">
      <c r="A4" s="61" t="s">
        <v>12</v>
      </c>
      <c r="B4" s="62" t="str">
        <f xml:space="preserve"> [1]IFE!B125</f>
        <v>Gerrit Ham / Jhony Quintero</v>
      </c>
      <c r="C4" s="63"/>
      <c r="D4" s="64" t="s">
        <v>38</v>
      </c>
      <c r="E4" s="62" t="str">
        <f>[1]IFE!B10</f>
        <v>Exploratory</v>
      </c>
      <c r="H4" s="64" t="s">
        <v>5</v>
      </c>
      <c r="I4" s="153">
        <f>[1]IFE!B119</f>
        <v>39989</v>
      </c>
      <c r="J4" s="154"/>
    </row>
    <row r="5" spans="1:11" ht="11.1" customHeight="1" x14ac:dyDescent="0.25">
      <c r="A5" s="61" t="s">
        <v>7</v>
      </c>
      <c r="B5" s="62" t="str">
        <f xml:space="preserve"> [1]IFE!B8</f>
        <v>Perla-1X</v>
      </c>
      <c r="C5" s="63"/>
      <c r="D5" s="64" t="s">
        <v>16</v>
      </c>
      <c r="E5" s="62" t="str">
        <f>[1]IFE!B11</f>
        <v>Offshore</v>
      </c>
      <c r="H5" s="64" t="s">
        <v>14</v>
      </c>
      <c r="I5" s="153">
        <f>[1]IFE!B5</f>
        <v>39981</v>
      </c>
      <c r="J5" s="154"/>
    </row>
    <row r="6" spans="1:11" ht="11.1" customHeight="1" x14ac:dyDescent="0.25">
      <c r="A6" s="61" t="s">
        <v>15</v>
      </c>
      <c r="B6" s="62" t="str">
        <f xml:space="preserve"> [1]IFE!B15</f>
        <v>Ensco</v>
      </c>
      <c r="C6" s="63"/>
      <c r="D6" s="64" t="s">
        <v>107</v>
      </c>
      <c r="E6" s="65" t="str">
        <f>[1]IFE!B16&amp;" "&amp;[1]IFE!B30</f>
        <v>202 pies</v>
      </c>
      <c r="G6" s="66"/>
      <c r="H6" s="67" t="s">
        <v>4</v>
      </c>
      <c r="I6" s="155" t="str">
        <f>[1]IFE!B124</f>
        <v>Agua de mar / HI VIS</v>
      </c>
      <c r="J6" s="154"/>
    </row>
    <row r="7" spans="1:11" ht="11.1" customHeight="1" thickBot="1" x14ac:dyDescent="0.3">
      <c r="A7" s="68" t="s">
        <v>12</v>
      </c>
      <c r="B7" s="69" t="str">
        <f>[1]IFE!B126</f>
        <v>Ricky Otwell</v>
      </c>
      <c r="C7" s="70"/>
      <c r="D7" s="71" t="s">
        <v>237</v>
      </c>
      <c r="E7" s="69">
        <f>[1]IFE!Z981</f>
        <v>68</v>
      </c>
      <c r="F7" s="1"/>
      <c r="G7" s="1"/>
      <c r="H7" s="71" t="s">
        <v>17</v>
      </c>
      <c r="I7" s="156" t="str">
        <f xml:space="preserve"> [1]IFE!B123</f>
        <v>Bajando Tuberia</v>
      </c>
      <c r="J7" s="157"/>
    </row>
    <row r="8" spans="1:11" ht="9.9" customHeight="1" x14ac:dyDescent="0.25">
      <c r="A8" s="188" t="s">
        <v>39</v>
      </c>
      <c r="B8" s="189"/>
      <c r="C8" s="190" t="s">
        <v>40</v>
      </c>
      <c r="D8" s="191"/>
      <c r="E8" s="190" t="str">
        <f>"MUD VOLUME" &amp; "   ("&amp; [1]IFE!B32&amp;")"</f>
        <v>MUD VOLUME   (bbl)</v>
      </c>
      <c r="F8" s="191"/>
      <c r="G8" s="190" t="s">
        <v>22</v>
      </c>
      <c r="H8" s="193"/>
      <c r="I8" s="193"/>
      <c r="J8" s="194"/>
    </row>
    <row r="9" spans="1:11" ht="9.9" customHeight="1" x14ac:dyDescent="0.25">
      <c r="A9" s="72" t="str">
        <f>[1]IFE!B167</f>
        <v xml:space="preserve"> pies, 5.5-plg DP</v>
      </c>
      <c r="B9" s="73"/>
      <c r="C9" s="72" t="str">
        <f>[1]IFE!B173</f>
        <v>30.-plg @563 pies (563 TVD)</v>
      </c>
      <c r="D9" s="73"/>
      <c r="E9" s="241" t="s">
        <v>18</v>
      </c>
      <c r="F9" s="241" t="s">
        <v>19</v>
      </c>
      <c r="G9" s="76"/>
      <c r="H9" s="77" t="s">
        <v>41</v>
      </c>
      <c r="I9" s="229" t="str">
        <f>[1]IFE!B161</f>
        <v>NATIONAL 12P-160</v>
      </c>
      <c r="J9" s="230" t="str">
        <f>[1]IFE!B162</f>
        <v>NATIONAL 12P-160</v>
      </c>
    </row>
    <row r="10" spans="1:11" ht="9.9" customHeight="1" x14ac:dyDescent="0.25">
      <c r="A10" s="78" t="str">
        <f>[1]IFE!B168</f>
        <v>372 pies, 5.5-plg HWDP</v>
      </c>
      <c r="B10" s="79"/>
      <c r="C10" s="78">
        <f>[1]IFE!B174</f>
        <v>0</v>
      </c>
      <c r="D10" s="40"/>
      <c r="E10" s="242">
        <f>[1]IFE!B177</f>
        <v>429</v>
      </c>
      <c r="F10" s="243">
        <f>[1]IFE!B178</f>
        <v>0</v>
      </c>
      <c r="G10" s="80"/>
      <c r="H10" s="81" t="s">
        <v>42</v>
      </c>
      <c r="I10" s="6" t="str">
        <f>[1]IFE!C161&amp;"x"&amp;[1]IFE!D161&amp;" "&amp;[1]IFE!B31</f>
        <v>6,5x12 plg</v>
      </c>
      <c r="J10" s="82" t="str">
        <f>[1]IFE!C162&amp;"x"&amp;[1]IFE!D162&amp;" "&amp;[1]IFE!B31</f>
        <v>6,5x12 plg</v>
      </c>
    </row>
    <row r="11" spans="1:11" ht="9.9" customHeight="1" x14ac:dyDescent="0.25">
      <c r="A11" s="78" t="str">
        <f>[1]IFE!B169</f>
        <v>65 pies, 8.-plg DC</v>
      </c>
      <c r="B11" s="40"/>
      <c r="C11" s="78">
        <f>[1]IFE!B175</f>
        <v>0</v>
      </c>
      <c r="D11" s="40"/>
      <c r="E11" s="74" t="s">
        <v>20</v>
      </c>
      <c r="F11" s="75"/>
      <c r="G11" s="76"/>
      <c r="H11" s="81" t="str">
        <f>"Pump Capacity "&amp;[1]IFE!B57</f>
        <v>Pump Capacity gal/emb</v>
      </c>
      <c r="I11" s="83">
        <f>[1]IFE!B182</f>
        <v>5.016</v>
      </c>
      <c r="J11" s="84">
        <f>[1]IFE!B183</f>
        <v>5.016</v>
      </c>
    </row>
    <row r="12" spans="1:11" ht="9.9" customHeight="1" thickBot="1" x14ac:dyDescent="0.3">
      <c r="A12" s="78" t="str">
        <f>[1]IFE!B170</f>
        <v>34 pies, 8.-plg JAR</v>
      </c>
      <c r="B12" s="40"/>
      <c r="C12" s="78">
        <f>[1]IFE!B176</f>
        <v>0</v>
      </c>
      <c r="D12" s="40"/>
      <c r="E12" s="78">
        <f>[1]IFE!$B$179</f>
        <v>0</v>
      </c>
      <c r="F12" s="238"/>
      <c r="G12" s="85"/>
      <c r="H12" s="86" t="s">
        <v>43</v>
      </c>
      <c r="I12" s="87" t="str">
        <f>[1]IFE!G161&amp;"@"&amp;[1]IFE!F161&amp;"%"</f>
        <v>0@97%</v>
      </c>
      <c r="J12" s="88" t="str">
        <f>[1]IFE!G162&amp;"@"&amp;[1]IFE!F162&amp;"%"</f>
        <v>0@97%</v>
      </c>
    </row>
    <row r="13" spans="1:11" ht="9.9" customHeight="1" x14ac:dyDescent="0.25">
      <c r="A13" s="78" t="str">
        <f>[1]IFE!B171</f>
        <v>96 pies, 8.-plg DC</v>
      </c>
      <c r="B13" s="40"/>
      <c r="C13" s="78">
        <f>[1]IFE!D173</f>
        <v>0</v>
      </c>
      <c r="D13" s="40"/>
      <c r="E13" s="239" t="s">
        <v>130</v>
      </c>
      <c r="F13" s="240"/>
      <c r="G13" s="80"/>
      <c r="H13" s="89" t="s">
        <v>29</v>
      </c>
      <c r="I13" s="90">
        <f>[1]IFE!B150</f>
        <v>0</v>
      </c>
      <c r="J13" s="91" t="str">
        <f>[1]IFE!B33</f>
        <v>gal/min</v>
      </c>
    </row>
    <row r="14" spans="1:11" ht="9.9" customHeight="1" x14ac:dyDescent="0.25">
      <c r="A14" s="78" t="str">
        <f>[1]IFE!B172</f>
        <v>31 pies, 9.5-plg DC</v>
      </c>
      <c r="B14" s="40"/>
      <c r="C14" s="78">
        <f>[1]IFE!D174</f>
        <v>0</v>
      </c>
      <c r="D14" s="40"/>
      <c r="E14" s="395">
        <f>[1]IFE!$BE$86</f>
        <v>0</v>
      </c>
      <c r="F14" s="396" t="str">
        <f>[1]IFE!$B$30</f>
        <v>pies</v>
      </c>
      <c r="G14" s="92"/>
      <c r="H14" s="93" t="s">
        <v>1</v>
      </c>
      <c r="I14" s="94">
        <f>[1]IFE!B152</f>
        <v>0</v>
      </c>
      <c r="J14" s="91" t="str">
        <f>[1]IFE!B36</f>
        <v>psi</v>
      </c>
    </row>
    <row r="15" spans="1:11" ht="9.9" customHeight="1" x14ac:dyDescent="0.25">
      <c r="A15" s="78" t="str">
        <f>"Nozzles "&amp;[1]IFE!B139&amp;IF([1]IFE!B142=0,"","x"&amp;[1]IFE!B142)&amp;IF([1]IFE!B140=0,"","/"&amp;[1]IFE!B140&amp;IF([1]IFE!B143=0,"","x"&amp;[1]IFE!B143))&amp;IF([1]IFE!B141=0,"", "/"&amp;[1]IFE!B141&amp;IF([1]IFE!B144=0,"","x"&amp;[1]IFE!B144))&amp;" "&amp;[1]IFE!B34</f>
        <v>Nozzles 0 1/32 plg</v>
      </c>
      <c r="B15" s="40"/>
      <c r="C15" s="78">
        <f>[1]IFE!D175</f>
        <v>0</v>
      </c>
      <c r="D15" s="40"/>
      <c r="E15" s="236" t="s">
        <v>131</v>
      </c>
      <c r="F15" s="237"/>
      <c r="G15" s="95"/>
      <c r="H15" s="96" t="s">
        <v>44</v>
      </c>
      <c r="I15" s="97">
        <f>[1]IFE!B186</f>
        <v>0</v>
      </c>
      <c r="J15" s="98"/>
    </row>
    <row r="16" spans="1:11" ht="9.9" customHeight="1" thickBot="1" x14ac:dyDescent="0.3">
      <c r="A16" s="99" t="str">
        <f>"Bit "&amp;[1]IFE!B136 &amp; "-" &amp; [1]IFE!B31&amp;" "&amp;[1]IFE!B137</f>
        <v>Bit 26-plg 0</v>
      </c>
      <c r="B16" s="100"/>
      <c r="C16" s="99">
        <f>[1]IFE!D176</f>
        <v>0</v>
      </c>
      <c r="D16" s="100"/>
      <c r="E16" s="397">
        <f>[1]IFE!$D$148</f>
        <v>0</v>
      </c>
      <c r="F16" s="398" t="str">
        <f>[1]IFE!$B$32</f>
        <v>bbl</v>
      </c>
      <c r="G16" s="101"/>
      <c r="H16" s="102" t="s">
        <v>45</v>
      </c>
      <c r="I16" s="103">
        <f>[1]IFE!B187</f>
        <v>0</v>
      </c>
      <c r="J16" s="104"/>
    </row>
    <row r="17" spans="1:10" ht="9.9" customHeight="1" x14ac:dyDescent="0.25">
      <c r="A17" s="201" t="s">
        <v>21</v>
      </c>
      <c r="B17" s="202"/>
      <c r="C17" s="202"/>
      <c r="D17" s="202"/>
      <c r="E17" s="202"/>
      <c r="F17" s="203"/>
      <c r="G17" s="190" t="s">
        <v>46</v>
      </c>
      <c r="H17" s="193"/>
      <c r="I17" s="193"/>
      <c r="J17" s="191"/>
    </row>
    <row r="18" spans="1:10" ht="9.9" customHeight="1" x14ac:dyDescent="0.25">
      <c r="A18" s="80" t="s">
        <v>47</v>
      </c>
      <c r="B18" s="81"/>
      <c r="C18" s="6" t="str">
        <f>CONCATENATE(TEXT([1]IFE!C77," ")&amp;" "&amp;TEXT([1]IFE!C78,"H:MM"))</f>
        <v>TK  1 12:00</v>
      </c>
      <c r="D18" s="6" t="str">
        <f>CONCATENATE(TEXT([1]IFE!D77," ")&amp;" "&amp;TEXT([1]IFE!D78,"H:MM"))</f>
        <v xml:space="preserve">  0:00</v>
      </c>
      <c r="E18" s="6" t="str">
        <f>CONCATENATE(TEXT([1]IFE!E77," ")&amp;" "&amp;TEXT([1]IFE!E78,"H:MM"))</f>
        <v>TK  3 12:00</v>
      </c>
      <c r="F18" s="6" t="str">
        <f>CONCATENATE(TEXT([1]IFE!F77," ")&amp;" "&amp;TEXT([1]IFE!F78,"H:MM"))</f>
        <v>TK  3 0:00</v>
      </c>
      <c r="G18" s="105" t="s">
        <v>48</v>
      </c>
      <c r="H18" s="106"/>
      <c r="I18" s="107" t="s">
        <v>49</v>
      </c>
      <c r="J18" s="108" t="s">
        <v>50</v>
      </c>
    </row>
    <row r="19" spans="1:10" ht="9.9" customHeight="1" x14ac:dyDescent="0.25">
      <c r="A19" s="109" t="s">
        <v>51</v>
      </c>
      <c r="B19" s="110" t="str">
        <f>[1]IFE!B40</f>
        <v>°F</v>
      </c>
      <c r="C19" s="111">
        <f>[1]IFE!C79</f>
        <v>0</v>
      </c>
      <c r="D19" s="111">
        <f>[1]IFE!D79</f>
        <v>0</v>
      </c>
      <c r="E19" s="111">
        <f>[1]IFE!E79</f>
        <v>0</v>
      </c>
      <c r="F19" s="112">
        <f>[1]IFE!F79</f>
        <v>0</v>
      </c>
      <c r="G19" s="387" t="str">
        <f>[1]IFE!B313</f>
        <v>ENGINEERING SERVICE</v>
      </c>
      <c r="H19" s="388"/>
      <c r="I19" s="94" t="str">
        <f>[1]IFE!C313</f>
        <v>1.  EA</v>
      </c>
      <c r="J19" s="114">
        <f>[1]IFE!D313</f>
        <v>2</v>
      </c>
    </row>
    <row r="20" spans="1:10" ht="9.9" customHeight="1" x14ac:dyDescent="0.25">
      <c r="A20" s="109" t="s">
        <v>23</v>
      </c>
      <c r="B20" s="110" t="str">
        <f>[1]IFE!B30</f>
        <v>pies</v>
      </c>
      <c r="C20" s="6" t="str">
        <f>CONCATENATE(TEXT([1]IFE!C80,"#")&amp;"/"&amp;TEXT([1]IFE!C81,"#"))</f>
        <v>563/563</v>
      </c>
      <c r="D20" s="6" t="str">
        <f>CONCATENATE(TEXT([1]IFE!D80,"#")&amp;"/"&amp;TEXT([1]IFE!D81,"#"))</f>
        <v>563/563</v>
      </c>
      <c r="E20" s="6" t="str">
        <f>CONCATENATE(TEXT([1]IFE!E80,"#")&amp;"/"&amp;TEXT([1]IFE!E81,"#"))</f>
        <v>563/563</v>
      </c>
      <c r="F20" s="6" t="str">
        <f>CONCATENATE(TEXT([1]IFE!F80,"#")&amp;"/"&amp;TEXT([1]IFE!F81,"#"))</f>
        <v>563/563</v>
      </c>
      <c r="G20" s="387" t="str">
        <f>[1]IFE!B314</f>
        <v>BENTONITE WYOMING</v>
      </c>
      <c r="H20" s="388"/>
      <c r="I20" s="94" t="str">
        <f>[1]IFE!C314</f>
        <v>100. LB BG</v>
      </c>
      <c r="J20" s="114">
        <f>[1]IFE!D314</f>
        <v>1</v>
      </c>
    </row>
    <row r="21" spans="1:10" ht="9.9" customHeight="1" x14ac:dyDescent="0.25">
      <c r="A21" s="109" t="s">
        <v>106</v>
      </c>
      <c r="B21" s="110" t="str">
        <f>[1]IFE!B39</f>
        <v>lb/gal</v>
      </c>
      <c r="C21" s="6" t="str">
        <f>CONCATENATE(TEXT([1]IFE!C82,"#.0")&amp;"@"&amp;TEXT([1]IFE!C83,"#"))</f>
        <v>9.1@85</v>
      </c>
      <c r="D21" s="6" t="str">
        <f>CONCATENATE(TEXT([1]IFE!D82,"#.0")&amp;"@"&amp;TEXT([1]IFE!D83,"#"))</f>
        <v>9.1@85</v>
      </c>
      <c r="E21" s="6" t="str">
        <f>CONCATENATE(TEXT([1]IFE!E82,"#.0")&amp;"@"&amp;TEXT([1]IFE!E83,"#"))</f>
        <v>14.0@85</v>
      </c>
      <c r="F21" s="6" t="str">
        <f>CONCATENATE(TEXT([1]IFE!F82,"#.0")&amp;"@"&amp;TEXT([1]IFE!F83,"#"))</f>
        <v>14.0@85</v>
      </c>
      <c r="G21" s="387" t="str">
        <f>[1]IFE!B315</f>
        <v>DUO-VIS</v>
      </c>
      <c r="H21" s="388"/>
      <c r="I21" s="94" t="str">
        <f>[1]IFE!C315</f>
        <v>25. KG BG</v>
      </c>
      <c r="J21" s="114">
        <f>[1]IFE!D315</f>
        <v>5</v>
      </c>
    </row>
    <row r="22" spans="1:10" ht="9.9" customHeight="1" x14ac:dyDescent="0.25">
      <c r="A22" s="109" t="s">
        <v>52</v>
      </c>
      <c r="B22" s="110" t="str">
        <f>[1]IFE!B43</f>
        <v>s/ct</v>
      </c>
      <c r="C22" s="111">
        <f>[1]IFE!C84</f>
        <v>55</v>
      </c>
      <c r="D22" s="111">
        <f>[1]IFE!D84</f>
        <v>55</v>
      </c>
      <c r="E22" s="111">
        <f>[1]IFE!E84</f>
        <v>80</v>
      </c>
      <c r="F22" s="112">
        <f>[1]IFE!F84</f>
        <v>80</v>
      </c>
      <c r="G22" s="387">
        <f>[1]IFE!B316</f>
        <v>0</v>
      </c>
      <c r="H22" s="388"/>
      <c r="I22" s="94">
        <f>[1]IFE!C316</f>
        <v>0</v>
      </c>
      <c r="J22" s="114">
        <f>[1]IFE!D316</f>
        <v>0</v>
      </c>
    </row>
    <row r="23" spans="1:10" ht="9.9" customHeight="1" x14ac:dyDescent="0.25">
      <c r="A23" s="109" t="s">
        <v>53</v>
      </c>
      <c r="B23" s="110" t="str">
        <f>[1]IFE!B40</f>
        <v>°F</v>
      </c>
      <c r="C23" s="111">
        <f>[1]IFE!C85</f>
        <v>120</v>
      </c>
      <c r="D23" s="111">
        <f>[1]IFE!D85</f>
        <v>120</v>
      </c>
      <c r="E23" s="111">
        <f>[1]IFE!E85</f>
        <v>120</v>
      </c>
      <c r="F23" s="112">
        <f>[1]IFE!F85</f>
        <v>120</v>
      </c>
      <c r="G23" s="387">
        <f>[1]IFE!B317</f>
        <v>0</v>
      </c>
      <c r="H23" s="388"/>
      <c r="I23" s="94">
        <f>[1]IFE!C317</f>
        <v>0</v>
      </c>
      <c r="J23" s="114">
        <f>[1]IFE!D317</f>
        <v>0</v>
      </c>
    </row>
    <row r="24" spans="1:10" ht="9.9" customHeight="1" x14ac:dyDescent="0.25">
      <c r="A24" s="109" t="s">
        <v>54</v>
      </c>
      <c r="B24" s="110"/>
      <c r="C24" s="6" t="str">
        <f>CONCATENATE(TEXT([1]IFE!C86,"#")&amp;"/"&amp;TEXT([1]IFE!C87,"#"))</f>
        <v>38/27</v>
      </c>
      <c r="D24" s="6" t="str">
        <f>CONCATENATE(TEXT([1]IFE!D86,"#")&amp;"/"&amp;TEXT([1]IFE!D87,"#"))</f>
        <v>38/27</v>
      </c>
      <c r="E24" s="6" t="str">
        <f>CONCATENATE(TEXT([1]IFE!E86,"#")&amp;"/"&amp;TEXT([1]IFE!E87,"#"))</f>
        <v>130/81</v>
      </c>
      <c r="F24" s="6" t="str">
        <f>CONCATENATE(TEXT([1]IFE!F86,"#")&amp;"/"&amp;TEXT([1]IFE!F87,"#"))</f>
        <v>130/81</v>
      </c>
      <c r="G24" s="387">
        <f>[1]IFE!B318</f>
        <v>0</v>
      </c>
      <c r="H24" s="388"/>
      <c r="I24" s="94">
        <f>[1]IFE!C318</f>
        <v>0</v>
      </c>
      <c r="J24" s="114">
        <f>[1]IFE!D318</f>
        <v>0</v>
      </c>
    </row>
    <row r="25" spans="1:10" ht="9.9" customHeight="1" x14ac:dyDescent="0.25">
      <c r="A25" s="109" t="s">
        <v>55</v>
      </c>
      <c r="B25" s="110"/>
      <c r="C25" s="6" t="str">
        <f>CONCATENATE(TEXT([1]IFE!C88,"#")&amp;"/"&amp;TEXT([1]IFE!C89,"#"))</f>
        <v>23/18</v>
      </c>
      <c r="D25" s="6" t="str">
        <f>CONCATENATE(TEXT([1]IFE!D88,"#")&amp;"/"&amp;TEXT([1]IFE!D89,"#"))</f>
        <v>23/18</v>
      </c>
      <c r="E25" s="6" t="str">
        <f>CONCATENATE(TEXT([1]IFE!E88,"#")&amp;"/"&amp;TEXT([1]IFE!E89,"#"))</f>
        <v>61/39</v>
      </c>
      <c r="F25" s="6" t="str">
        <f>CONCATENATE(TEXT([1]IFE!F88,"#")&amp;"/"&amp;TEXT([1]IFE!F89,"#"))</f>
        <v>61/39</v>
      </c>
      <c r="G25" s="387">
        <f>[1]IFE!B319</f>
        <v>0</v>
      </c>
      <c r="H25" s="388"/>
      <c r="I25" s="94">
        <f>[1]IFE!C319</f>
        <v>0</v>
      </c>
      <c r="J25" s="114">
        <f>[1]IFE!D319</f>
        <v>0</v>
      </c>
    </row>
    <row r="26" spans="1:10" ht="9.9" customHeight="1" x14ac:dyDescent="0.25">
      <c r="A26" s="109" t="s">
        <v>26</v>
      </c>
      <c r="B26" s="110"/>
      <c r="C26" s="6" t="str">
        <f>CONCATENATE(TEXT([1]IFE!C90,"#")&amp;"/"&amp;TEXT([1]IFE!C91,"#"))</f>
        <v>11/10</v>
      </c>
      <c r="D26" s="6" t="str">
        <f>CONCATENATE(TEXT([1]IFE!D90,"#")&amp;"/"&amp;TEXT([1]IFE!D91,"#"))</f>
        <v>11/10</v>
      </c>
      <c r="E26" s="6" t="str">
        <f>CONCATENATE(TEXT([1]IFE!E90,"#")&amp;"/"&amp;TEXT([1]IFE!E91,"#"))</f>
        <v>10/8</v>
      </c>
      <c r="F26" s="6" t="str">
        <f>CONCATENATE(TEXT([1]IFE!F90,"#")&amp;"/"&amp;TEXT([1]IFE!F91,"#"))</f>
        <v>10/8</v>
      </c>
      <c r="G26" s="387">
        <f>[1]IFE!B320</f>
        <v>0</v>
      </c>
      <c r="H26" s="388"/>
      <c r="I26" s="94">
        <f>[1]IFE!C320</f>
        <v>0</v>
      </c>
      <c r="J26" s="114">
        <f>[1]IFE!D320</f>
        <v>0</v>
      </c>
    </row>
    <row r="27" spans="1:10" ht="9.9" customHeight="1" x14ac:dyDescent="0.25">
      <c r="A27" s="109" t="s">
        <v>24</v>
      </c>
      <c r="B27" s="110" t="str">
        <f>[1]IFE!B41</f>
        <v>cP</v>
      </c>
      <c r="C27" s="111">
        <f>[1]IFE!C92</f>
        <v>11</v>
      </c>
      <c r="D27" s="111">
        <f>[1]IFE!D92</f>
        <v>11</v>
      </c>
      <c r="E27" s="111">
        <f>[1]IFE!E92</f>
        <v>49</v>
      </c>
      <c r="F27" s="112">
        <f>[1]IFE!F92</f>
        <v>49</v>
      </c>
      <c r="G27" s="387">
        <f>[1]IFE!B321</f>
        <v>0</v>
      </c>
      <c r="H27" s="388"/>
      <c r="I27" s="94">
        <f>[1]IFE!C321</f>
        <v>0</v>
      </c>
      <c r="J27" s="114">
        <f>[1]IFE!D321</f>
        <v>0</v>
      </c>
    </row>
    <row r="28" spans="1:10" ht="9.9" customHeight="1" x14ac:dyDescent="0.25">
      <c r="A28" s="109" t="s">
        <v>25</v>
      </c>
      <c r="B28" s="110" t="str">
        <f>[1]IFE!B42</f>
        <v>lb/100p²</v>
      </c>
      <c r="C28" s="111">
        <f>[1]IFE!C93</f>
        <v>16</v>
      </c>
      <c r="D28" s="111">
        <f>[1]IFE!D93</f>
        <v>16</v>
      </c>
      <c r="E28" s="111">
        <f>[1]IFE!E93</f>
        <v>32</v>
      </c>
      <c r="F28" s="112">
        <f>[1]IFE!F93</f>
        <v>32</v>
      </c>
      <c r="G28" s="387">
        <f>[1]IFE!B322</f>
        <v>0</v>
      </c>
      <c r="H28" s="388"/>
      <c r="I28" s="94">
        <f>[1]IFE!C322</f>
        <v>0</v>
      </c>
      <c r="J28" s="114">
        <f>[1]IFE!D322</f>
        <v>0</v>
      </c>
    </row>
    <row r="29" spans="1:10" ht="9.9" customHeight="1" x14ac:dyDescent="0.25">
      <c r="A29" s="109" t="s">
        <v>27</v>
      </c>
      <c r="B29" s="110" t="str">
        <f>[1]IFE!B42</f>
        <v>lb/100p²</v>
      </c>
      <c r="C29" s="6" t="str">
        <f>CONCATENATE(TEXT([1]IFE!C94,"#")&amp;"/"&amp;(TEXT([1]IFE!C95,"#")&amp;"/"&amp;TEXT([1]IFE!C96,"#")))</f>
        <v>11/15/</v>
      </c>
      <c r="D29" s="6" t="str">
        <f>CONCATENATE(TEXT([1]IFE!D94,"#")&amp;"/"&amp;(TEXT([1]IFE!D95,"#")&amp;"/"&amp;TEXT([1]IFE!D96,"#")))</f>
        <v>11/15/</v>
      </c>
      <c r="E29" s="6" t="str">
        <f>CONCATENATE(TEXT([1]IFE!E94,"#")&amp;"/"&amp;(TEXT([1]IFE!E95,"#")&amp;"/"&amp;TEXT([1]IFE!E96,"#")))</f>
        <v>12/18/</v>
      </c>
      <c r="F29" s="6" t="str">
        <f>CONCATENATE(TEXT([1]IFE!F94,"#")&amp;"/"&amp;(TEXT([1]IFE!F95,"#")&amp;"/"&amp;TEXT([1]IFE!F96,"#")))</f>
        <v>12/18/</v>
      </c>
      <c r="G29" s="387">
        <f>[1]IFE!B323</f>
        <v>0</v>
      </c>
      <c r="H29" s="388"/>
      <c r="I29" s="94">
        <f>[1]IFE!C323</f>
        <v>0</v>
      </c>
      <c r="J29" s="114">
        <f>[1]IFE!D323</f>
        <v>0</v>
      </c>
    </row>
    <row r="30" spans="1:10" ht="9.9" customHeight="1" x14ac:dyDescent="0.25">
      <c r="A30" s="109" t="s">
        <v>35</v>
      </c>
      <c r="B30" s="110" t="str">
        <f>[1]IFE!D57</f>
        <v>cc/30min</v>
      </c>
      <c r="C30" s="111">
        <f>[1]IFE!C97</f>
        <v>0</v>
      </c>
      <c r="D30" s="111">
        <f>[1]IFE!D97</f>
        <v>0</v>
      </c>
      <c r="E30" s="111">
        <f>[1]IFE!E97</f>
        <v>0</v>
      </c>
      <c r="F30" s="112">
        <f>[1]IFE!F97</f>
        <v>0</v>
      </c>
      <c r="G30" s="387">
        <f>[1]IFE!B324</f>
        <v>0</v>
      </c>
      <c r="H30" s="388"/>
      <c r="I30" s="94">
        <f>[1]IFE!C324</f>
        <v>0</v>
      </c>
      <c r="J30" s="114">
        <f>[1]IFE!D324</f>
        <v>0</v>
      </c>
    </row>
    <row r="31" spans="1:10" ht="9.9" customHeight="1" x14ac:dyDescent="0.25">
      <c r="A31" s="109" t="s">
        <v>36</v>
      </c>
      <c r="B31" s="110" t="str">
        <f>[1]IFE!D57</f>
        <v>cc/30min</v>
      </c>
      <c r="C31" s="6" t="str">
        <f>CONCATENATE(TEXT([1]IFE!Z538,"#.0")&amp;"@"&amp;TEXT([1]IFE!C99,"#"))</f>
        <v>.0@</v>
      </c>
      <c r="D31" s="6" t="str">
        <f>CONCATENATE(TEXT([1]IFE!D98,"#.0")&amp;"@"&amp;TEXT([1]IFE!D99,"#"))</f>
        <v>.0@</v>
      </c>
      <c r="E31" s="6" t="str">
        <f>CONCATENATE(TEXT([1]IFE!E98,"#.0")&amp;"@"&amp;TEXT([1]IFE!E99,"#"))</f>
        <v>.0@</v>
      </c>
      <c r="F31" s="6" t="str">
        <f>CONCATENATE(TEXT([1]IFE!Z661,"#.0")&amp;"@"&amp;TEXT([1]IFE!F99,"#"))</f>
        <v>.0@</v>
      </c>
      <c r="G31" s="387">
        <f>[1]IFE!B325</f>
        <v>0</v>
      </c>
      <c r="H31" s="388"/>
      <c r="I31" s="94">
        <f>[1]IFE!C325</f>
        <v>0</v>
      </c>
      <c r="J31" s="114">
        <f>[1]IFE!D325</f>
        <v>0</v>
      </c>
    </row>
    <row r="32" spans="1:10" ht="9.9" customHeight="1" x14ac:dyDescent="0.25">
      <c r="A32" s="109" t="s">
        <v>56</v>
      </c>
      <c r="B32" s="110" t="str">
        <f>[1]IFE!B34</f>
        <v>1/32 plg</v>
      </c>
      <c r="C32" s="6" t="str">
        <f>CONCATENATE(TEXT([1]IFE!C100,"#")&amp;"/"&amp;TEXT([1]IFE!Z541,"#"))</f>
        <v>/</v>
      </c>
      <c r="D32" s="6" t="str">
        <f>CONCATENATE(TEXT([1]IFE!D100,"#")&amp;"/"&amp;TEXT([1]IFE!D101,"#"))</f>
        <v>/</v>
      </c>
      <c r="E32" s="6" t="str">
        <f>CONCATENATE(TEXT([1]IFE!E100,"#")&amp;"/"&amp;TEXT([1]IFE!E101,"#"))</f>
        <v>/</v>
      </c>
      <c r="F32" s="6" t="str">
        <f>CONCATENATE(TEXT([1]IFE!F100,"#")&amp;"/"&amp;TEXT([1]IFE!Z664,"#"))</f>
        <v>/</v>
      </c>
      <c r="G32" s="387">
        <f>[1]IFE!B326</f>
        <v>0</v>
      </c>
      <c r="H32" s="388"/>
      <c r="I32" s="94">
        <f>[1]IFE!C326</f>
        <v>0</v>
      </c>
      <c r="J32" s="114">
        <f>[1]IFE!D326</f>
        <v>0</v>
      </c>
    </row>
    <row r="33" spans="1:10" ht="9.9" customHeight="1" thickBot="1" x14ac:dyDescent="0.3">
      <c r="A33" s="109" t="s">
        <v>31</v>
      </c>
      <c r="B33" s="110" t="str">
        <f>[1]IFE!D59</f>
        <v>%Vol</v>
      </c>
      <c r="C33" s="111">
        <f>[1]IFE!C102</f>
        <v>4.2</v>
      </c>
      <c r="D33" s="111">
        <f>[1]IFE!D102</f>
        <v>4.2</v>
      </c>
      <c r="E33" s="111">
        <f>[1]IFE!E102</f>
        <v>22</v>
      </c>
      <c r="F33" s="112">
        <f>[1]IFE!F102</f>
        <v>22</v>
      </c>
      <c r="G33" s="389">
        <f>[1]IFE!B327</f>
        <v>0</v>
      </c>
      <c r="H33" s="390"/>
      <c r="I33" s="116">
        <f>[1]IFE!C327</f>
        <v>0</v>
      </c>
      <c r="J33" s="117">
        <f>[1]IFE!D327</f>
        <v>0</v>
      </c>
    </row>
    <row r="34" spans="1:10" ht="9.9" customHeight="1" x14ac:dyDescent="0.25">
      <c r="A34" s="109" t="s">
        <v>28</v>
      </c>
      <c r="B34" s="110" t="str">
        <f>[1]IFE!D59</f>
        <v>%Vol</v>
      </c>
      <c r="C34" s="6" t="str">
        <f>CONCATENATE(TEXT([1]IFE!C103,"#")&amp;"/"&amp;TEXT([1]IFE!C104,"#"))</f>
        <v>/96</v>
      </c>
      <c r="D34" s="6" t="str">
        <f>CONCATENATE(TEXT([1]IFE!D103,"#")&amp;"/"&amp;TEXT([1]IFE!D104,"#"))</f>
        <v>/96</v>
      </c>
      <c r="E34" s="6" t="str">
        <f>CONCATENATE(TEXT([1]IFE!E103,"#")&amp;"/"&amp;TEXT([1]IFE!E104,"#"))</f>
        <v>/78</v>
      </c>
      <c r="F34" s="6" t="str">
        <f>CONCATENATE(TEXT([1]IFE!F103,"#")&amp;"/"&amp;TEXT([1]IFE!F104,"#"))</f>
        <v>/78</v>
      </c>
      <c r="G34" s="201" t="s">
        <v>57</v>
      </c>
      <c r="H34" s="217"/>
      <c r="I34" s="217"/>
      <c r="J34" s="194"/>
    </row>
    <row r="35" spans="1:10" ht="9.9" customHeight="1" x14ac:dyDescent="0.25">
      <c r="A35" s="109" t="s">
        <v>58</v>
      </c>
      <c r="B35" s="110" t="str">
        <f>[1]IFE!D59</f>
        <v>%Vol</v>
      </c>
      <c r="C35" s="111">
        <f>[1]IFE!C105</f>
        <v>0</v>
      </c>
      <c r="D35" s="111">
        <f>[1]IFE!D105</f>
        <v>0</v>
      </c>
      <c r="E35" s="111">
        <f>[1]IFE!E105</f>
        <v>0</v>
      </c>
      <c r="F35" s="112">
        <f>[1]IFE!F105</f>
        <v>0</v>
      </c>
      <c r="G35" s="118" t="s">
        <v>59</v>
      </c>
      <c r="H35" s="119"/>
      <c r="I35" s="120" t="s">
        <v>60</v>
      </c>
      <c r="J35" s="121" t="s">
        <v>61</v>
      </c>
    </row>
    <row r="36" spans="1:10" ht="9.9" customHeight="1" x14ac:dyDescent="0.25">
      <c r="A36" s="109" t="s">
        <v>32</v>
      </c>
      <c r="B36" s="110" t="str">
        <f>[1]IFE!B44</f>
        <v>lb/bbl</v>
      </c>
      <c r="C36" s="111">
        <f>[1]IFE!C106</f>
        <v>20</v>
      </c>
      <c r="D36" s="111">
        <f>[1]IFE!D106</f>
        <v>20</v>
      </c>
      <c r="E36" s="111">
        <f>[1]IFE!E106</f>
        <v>15</v>
      </c>
      <c r="F36" s="112">
        <f>[1]IFE!F106</f>
        <v>15</v>
      </c>
      <c r="G36" s="400" t="str">
        <f>[1]IFE!$B220</f>
        <v>DERRICK SHEKER 1</v>
      </c>
      <c r="H36" s="122"/>
      <c r="I36" s="620" t="str">
        <f>[1]IFE!$C220</f>
        <v>2X100 - 2X140</v>
      </c>
      <c r="J36" s="393">
        <f>[1]IFE!$D220</f>
        <v>0</v>
      </c>
    </row>
    <row r="37" spans="1:10" ht="9.9" customHeight="1" x14ac:dyDescent="0.25">
      <c r="A37" s="109" t="s">
        <v>105</v>
      </c>
      <c r="B37" s="110"/>
      <c r="C37" s="6" t="str">
        <f>CONCATENATE(TEXT([1]IFE!C107,"#.0")&amp;"@"&amp;TEXT([1]IFE!C108,"#"))</f>
        <v>10.0@85</v>
      </c>
      <c r="D37" s="6" t="str">
        <f>CONCATENATE(TEXT([1]IFE!D107,"#.0")&amp;"@"&amp;TEXT([1]IFE!D108,"#"))</f>
        <v>10.0@85</v>
      </c>
      <c r="E37" s="6" t="str">
        <f>CONCATENATE(TEXT([1]IFE!E107,"#.0")&amp;"@"&amp;TEXT([1]IFE!E108,"#"))</f>
        <v>10.5@85</v>
      </c>
      <c r="F37" s="6" t="str">
        <f>CONCATENATE(TEXT([1]IFE!F107,"#.0")&amp;"@"&amp;TEXT([1]IFE!F108,"#"))</f>
        <v>10.5@85</v>
      </c>
      <c r="G37" s="400" t="str">
        <f>[1]IFE!$B221</f>
        <v>DERRICK SHAKER 2</v>
      </c>
      <c r="H37" s="124"/>
      <c r="I37" s="620" t="str">
        <f>[1]IFE!$C221</f>
        <v>2X100 - 2X140</v>
      </c>
      <c r="J37" s="393">
        <f>[1]IFE!$D221</f>
        <v>0</v>
      </c>
    </row>
    <row r="38" spans="1:10" ht="9.9" customHeight="1" x14ac:dyDescent="0.25">
      <c r="A38" s="109" t="s">
        <v>62</v>
      </c>
      <c r="B38" s="110"/>
      <c r="C38" s="111">
        <f>[1]IFE!C109</f>
        <v>0.8</v>
      </c>
      <c r="D38" s="111">
        <f>[1]IFE!D109</f>
        <v>0.8</v>
      </c>
      <c r="E38" s="111">
        <f>[1]IFE!E109</f>
        <v>0</v>
      </c>
      <c r="F38" s="112">
        <f>[1]IFE!F109</f>
        <v>0</v>
      </c>
      <c r="G38" s="400" t="str">
        <f>[1]IFE!$B222</f>
        <v>DERRICK SHAKER 3</v>
      </c>
      <c r="H38" s="124"/>
      <c r="I38" s="620" t="str">
        <f>[1]IFE!$C222</f>
        <v>2X100 - 2X140</v>
      </c>
      <c r="J38" s="393">
        <f>[1]IFE!$D222</f>
        <v>0</v>
      </c>
    </row>
    <row r="39" spans="1:10" ht="9.9" customHeight="1" x14ac:dyDescent="0.25">
      <c r="A39" s="109" t="s">
        <v>63</v>
      </c>
      <c r="B39" s="110">
        <f>[1]IFE!D31</f>
        <v>0</v>
      </c>
      <c r="C39" s="6" t="str">
        <f>CONCATENATE(TEXT([1]IFE!C110,"#.00"),"/",TEXT([1]IFE!C111,"#.00"))</f>
        <v>.20/.60</v>
      </c>
      <c r="D39" s="6" t="str">
        <f>CONCATENATE(TEXT([1]IFE!D110,"#.00"),"/",TEXT([1]IFE!D111,"#.00"))</f>
        <v>.20/.60</v>
      </c>
      <c r="E39" s="6" t="str">
        <f>CONCATENATE(TEXT([1]IFE!E110,"#.00")&amp;"/"&amp;TEXT([1]IFE!E111,"#.00"))</f>
        <v>.00/.00</v>
      </c>
      <c r="F39" s="6" t="str">
        <f>CONCATENATE(TEXT([1]IFE!F110,"#.00")&amp;"/"&amp;TEXT([1]IFE!F111,"#.00"))</f>
        <v>.00/.00</v>
      </c>
      <c r="G39" s="400" t="str">
        <f>[1]IFE!$B223</f>
        <v>MOD 312 / 10T2 w/o pump</v>
      </c>
      <c r="H39" s="124"/>
      <c r="I39" s="620" t="str">
        <f>[1]IFE!$C223</f>
        <v>4 X 200</v>
      </c>
      <c r="J39" s="393">
        <f>[1]IFE!$D223</f>
        <v>0</v>
      </c>
    </row>
    <row r="40" spans="1:10" ht="9.9" customHeight="1" x14ac:dyDescent="0.25">
      <c r="A40" s="109" t="s">
        <v>30</v>
      </c>
      <c r="B40" s="110" t="str">
        <f>[1]IFE!D58</f>
        <v>mg/L</v>
      </c>
      <c r="C40" s="111">
        <f>[1]IFE!C112</f>
        <v>0</v>
      </c>
      <c r="D40" s="111">
        <f>[1]IFE!D112</f>
        <v>0</v>
      </c>
      <c r="E40" s="111">
        <f>[1]IFE!E112</f>
        <v>0</v>
      </c>
      <c r="F40" s="112">
        <f>[1]IFE!F112</f>
        <v>0</v>
      </c>
      <c r="G40" s="400">
        <f>[1]IFE!$B224</f>
        <v>0</v>
      </c>
      <c r="H40" s="124"/>
      <c r="I40" s="620">
        <f>[1]IFE!$C224</f>
        <v>0</v>
      </c>
      <c r="J40" s="393">
        <f>[1]IFE!$D224</f>
        <v>0</v>
      </c>
    </row>
    <row r="41" spans="1:10" ht="9.9" customHeight="1" x14ac:dyDescent="0.25">
      <c r="A41" s="109" t="s">
        <v>64</v>
      </c>
      <c r="B41" s="110"/>
      <c r="C41" s="111">
        <f>[1]IFE!C113</f>
        <v>80</v>
      </c>
      <c r="D41" s="111">
        <f>[1]IFE!D113</f>
        <v>80</v>
      </c>
      <c r="E41" s="111">
        <f>[1]IFE!E113</f>
        <v>0</v>
      </c>
      <c r="F41" s="112">
        <f>[1]IFE!F113</f>
        <v>0</v>
      </c>
      <c r="G41" s="400">
        <f>[1]IFE!$B225</f>
        <v>0</v>
      </c>
      <c r="H41" s="124"/>
      <c r="I41" s="620">
        <f>[1]IFE!$C225</f>
        <v>0</v>
      </c>
      <c r="J41" s="393">
        <f>[1]IFE!$D225</f>
        <v>0</v>
      </c>
    </row>
    <row r="42" spans="1:10" ht="9.9" customHeight="1" x14ac:dyDescent="0.25">
      <c r="A42" s="109">
        <f>[1]IFE!A114</f>
        <v>0</v>
      </c>
      <c r="B42" s="125">
        <f>[1]IFE!I114</f>
        <v>0</v>
      </c>
      <c r="C42" s="111">
        <f>[1]IFE!C114</f>
        <v>0</v>
      </c>
      <c r="D42" s="111">
        <f>[1]IFE!D114</f>
        <v>0</v>
      </c>
      <c r="E42" s="111">
        <f>[1]IFE!E114</f>
        <v>0</v>
      </c>
      <c r="F42" s="112">
        <f>[1]IFE!F114</f>
        <v>0</v>
      </c>
      <c r="G42" s="400">
        <f>[1]IFE!$B226</f>
        <v>0</v>
      </c>
      <c r="H42" s="124"/>
      <c r="I42" s="620">
        <f>[1]IFE!$C226</f>
        <v>0</v>
      </c>
      <c r="J42" s="393">
        <f>[1]IFE!$D226</f>
        <v>0</v>
      </c>
    </row>
    <row r="43" spans="1:10" ht="9.9" customHeight="1" x14ac:dyDescent="0.25">
      <c r="A43" s="109">
        <f>[1]IFE!A115</f>
        <v>0</v>
      </c>
      <c r="B43" s="125">
        <f>[1]IFE!I115</f>
        <v>0</v>
      </c>
      <c r="C43" s="111">
        <f>[1]IFE!C115</f>
        <v>0</v>
      </c>
      <c r="D43" s="111">
        <f>[1]IFE!D115</f>
        <v>0</v>
      </c>
      <c r="E43" s="111">
        <f>[1]IFE!E115</f>
        <v>0</v>
      </c>
      <c r="F43" s="112">
        <f>[1]IFE!F115</f>
        <v>0</v>
      </c>
      <c r="G43" s="400">
        <f>[1]IFE!$B227</f>
        <v>0</v>
      </c>
      <c r="H43" s="124"/>
      <c r="I43" s="620">
        <f>[1]IFE!$C227</f>
        <v>0</v>
      </c>
      <c r="J43" s="393">
        <f>[1]IFE!$D227</f>
        <v>0</v>
      </c>
    </row>
    <row r="44" spans="1:10" ht="11.1" customHeight="1" x14ac:dyDescent="0.25">
      <c r="A44" s="109">
        <f>[1]IFE!A116</f>
        <v>0</v>
      </c>
      <c r="B44" s="125">
        <f>[1]IFE!I116</f>
        <v>0</v>
      </c>
      <c r="C44" s="111">
        <f>[1]IFE!C116</f>
        <v>0</v>
      </c>
      <c r="D44" s="111">
        <f>[1]IFE!D116</f>
        <v>0</v>
      </c>
      <c r="E44" s="111">
        <f>[1]IFE!E116</f>
        <v>0</v>
      </c>
      <c r="F44" s="112">
        <f>[1]IFE!F116</f>
        <v>0</v>
      </c>
      <c r="G44" s="400">
        <f>[1]IFE!$B228</f>
        <v>0</v>
      </c>
      <c r="H44" s="124"/>
      <c r="I44" s="620">
        <f>[1]IFE!$C228</f>
        <v>0</v>
      </c>
      <c r="J44" s="393">
        <f>[1]IFE!$D228</f>
        <v>0</v>
      </c>
    </row>
    <row r="45" spans="1:10" ht="11.1" customHeight="1" x14ac:dyDescent="0.25">
      <c r="A45" s="109">
        <f>[1]IFE!A117</f>
        <v>0</v>
      </c>
      <c r="B45" s="125">
        <f>[1]IFE!I117</f>
        <v>0</v>
      </c>
      <c r="C45" s="111">
        <f>[1]IFE!C117</f>
        <v>0</v>
      </c>
      <c r="D45" s="111">
        <f>[1]IFE!D117</f>
        <v>0</v>
      </c>
      <c r="E45" s="111">
        <f>[1]IFE!E117</f>
        <v>0</v>
      </c>
      <c r="F45" s="112">
        <f>[1]IFE!F117</f>
        <v>0</v>
      </c>
      <c r="G45" s="400">
        <f>[1]IFE!$B229</f>
        <v>0</v>
      </c>
      <c r="H45" s="124"/>
      <c r="I45" s="620">
        <f>[1]IFE!$C229</f>
        <v>0</v>
      </c>
      <c r="J45" s="393">
        <f>[1]IFE!$D229</f>
        <v>0</v>
      </c>
    </row>
    <row r="46" spans="1:10" ht="11.1" customHeight="1" thickBot="1" x14ac:dyDescent="0.3">
      <c r="A46" s="80">
        <f>[1]IFE!G382</f>
        <v>0</v>
      </c>
      <c r="B46" s="144">
        <f>[1]IFE!H382</f>
        <v>0</v>
      </c>
      <c r="C46" s="619">
        <f>[1]IFE!A382</f>
        <v>0</v>
      </c>
      <c r="D46" s="126">
        <f>[1]IFE!B382</f>
        <v>0</v>
      </c>
      <c r="E46" s="126">
        <f>[1]IFE!C382</f>
        <v>0</v>
      </c>
      <c r="F46" s="126">
        <f>[1]IFE!D382</f>
        <v>0</v>
      </c>
      <c r="G46" s="400">
        <f>[1]IFE!$G220</f>
        <v>0</v>
      </c>
      <c r="H46" s="127"/>
      <c r="I46" s="620">
        <f>[1]IFE!$H220</f>
        <v>0</v>
      </c>
      <c r="J46" s="393">
        <f>[1]IFE!$I220</f>
        <v>0</v>
      </c>
    </row>
    <row r="47" spans="1:10" ht="11.1" customHeight="1" x14ac:dyDescent="0.25">
      <c r="A47" s="109">
        <f>[1]IFE!G383</f>
        <v>0</v>
      </c>
      <c r="B47" s="206">
        <f>[1]IFE!H383</f>
        <v>0</v>
      </c>
      <c r="C47" s="619">
        <f>[1]IFE!A383</f>
        <v>0</v>
      </c>
      <c r="D47" s="126">
        <f>[1]IFE!B383</f>
        <v>0</v>
      </c>
      <c r="E47" s="126">
        <f>[1]IFE!C383</f>
        <v>0</v>
      </c>
      <c r="F47" s="126">
        <f>[1]IFE!D383</f>
        <v>0</v>
      </c>
      <c r="G47" s="201" t="s">
        <v>65</v>
      </c>
      <c r="H47" s="202"/>
      <c r="I47" s="208"/>
      <c r="J47" s="218" t="s">
        <v>66</v>
      </c>
    </row>
    <row r="48" spans="1:10" ht="11.1" customHeight="1" x14ac:dyDescent="0.25">
      <c r="A48" s="109">
        <f>[1]IFE!G384</f>
        <v>0</v>
      </c>
      <c r="B48" s="206">
        <f>[1]IFE!H384</f>
        <v>0</v>
      </c>
      <c r="C48" s="619">
        <f>[1]IFE!A384</f>
        <v>0</v>
      </c>
      <c r="D48" s="126">
        <f>[1]IFE!B384</f>
        <v>0</v>
      </c>
      <c r="E48" s="126">
        <f>[1]IFE!C384</f>
        <v>0</v>
      </c>
      <c r="F48" s="126">
        <f>[1]IFE!D384</f>
        <v>0</v>
      </c>
      <c r="G48" s="95" t="s">
        <v>3</v>
      </c>
      <c r="H48" s="128" t="str">
        <f>[1]IFE!B153</f>
        <v>9,1</v>
      </c>
      <c r="I48" s="129"/>
      <c r="J48" s="392">
        <f>[1]IFE!C82</f>
        <v>9.1</v>
      </c>
    </row>
    <row r="49" spans="1:12" ht="11.1" customHeight="1" x14ac:dyDescent="0.25">
      <c r="A49" s="109">
        <f>[1]IFE!G385</f>
        <v>0</v>
      </c>
      <c r="B49" s="206">
        <f>[1]IFE!H385</f>
        <v>0</v>
      </c>
      <c r="C49" s="619">
        <f>[1]IFE!A385</f>
        <v>0</v>
      </c>
      <c r="D49" s="126">
        <f>[1]IFE!B385</f>
        <v>0</v>
      </c>
      <c r="E49" s="126">
        <f>[1]IFE!C385</f>
        <v>0</v>
      </c>
      <c r="F49" s="126">
        <f>[1]IFE!D385</f>
        <v>0</v>
      </c>
      <c r="G49" s="95" t="s">
        <v>67</v>
      </c>
      <c r="H49" s="131" t="str">
        <f>[1]IFE!B154</f>
        <v>55</v>
      </c>
      <c r="I49" s="132"/>
      <c r="J49" s="130">
        <f>[1]IFE!C84</f>
        <v>55</v>
      </c>
      <c r="L49" s="133"/>
    </row>
    <row r="50" spans="1:12" ht="11.1" customHeight="1" thickBot="1" x14ac:dyDescent="0.3">
      <c r="A50" s="134" t="s">
        <v>198</v>
      </c>
      <c r="B50" s="135" t="str">
        <f>[1]IFE!$B$32</f>
        <v>bbl</v>
      </c>
      <c r="C50" s="243">
        <f>[1]IFE!$BH$210+[1]IFE!$BH$211</f>
        <v>1418</v>
      </c>
      <c r="D50" s="136"/>
      <c r="E50" s="136"/>
      <c r="F50" s="137"/>
      <c r="G50" s="138" t="s">
        <v>68</v>
      </c>
      <c r="H50" s="139">
        <f>[1]IFE!B155</f>
        <v>0</v>
      </c>
      <c r="I50" s="140"/>
      <c r="J50" s="141">
        <f>[1]IFE!C97</f>
        <v>0</v>
      </c>
    </row>
    <row r="51" spans="1:12" ht="9.6" customHeight="1" x14ac:dyDescent="0.25">
      <c r="A51" s="674" t="s">
        <v>69</v>
      </c>
      <c r="B51" s="672"/>
      <c r="C51" s="672"/>
      <c r="D51" s="675"/>
      <c r="E51" s="671" t="s">
        <v>70</v>
      </c>
      <c r="F51" s="672"/>
      <c r="G51" s="672"/>
      <c r="H51" s="672"/>
      <c r="I51" s="672"/>
      <c r="J51" s="673"/>
    </row>
    <row r="52" spans="1:12" ht="76.5" customHeight="1" thickBot="1" x14ac:dyDescent="0.3">
      <c r="A52" s="682" t="str">
        <f>[1]IFE!B157</f>
        <v>Realizó chequeo a fluido y ajustó viscosidad. no se logro recibir barita debido a que el mal tiempo no permitio que el barco se pegara al equipo y luego debió volver a muelle. Actualmente esperando el barco con Barita. Realizó correccion de presentacion del producto DUOVIS, ya que el mismo estaba reportado de 50 libras y el usado es de 25 kg.</v>
      </c>
      <c r="B52" s="683"/>
      <c r="C52" s="683"/>
      <c r="D52" s="684"/>
      <c r="E52" s="683" t="str">
        <f>[1]IFE!B158</f>
        <v>Terminó de instalar equipo de pozo, probo el mismo OK. bajo sarta de perforacion hasta tope de cemento, probó  equipo ok.</v>
      </c>
      <c r="F52" s="683"/>
      <c r="G52" s="683"/>
      <c r="H52" s="683"/>
      <c r="I52" s="683"/>
      <c r="J52" s="684"/>
    </row>
    <row r="53" spans="1:12" ht="9.6" customHeight="1" x14ac:dyDescent="0.25">
      <c r="A53" s="190" t="s">
        <v>71</v>
      </c>
      <c r="B53" s="191"/>
      <c r="C53" s="190" t="str">
        <f>"MUD VOL ACCTG   " &amp;"("&amp;[1]IFE!B32&amp;")"</f>
        <v>MUD VOL ACCTG   (bbl)</v>
      </c>
      <c r="D53" s="191"/>
      <c r="E53" s="190" t="str">
        <f>"SOILDS ANALYSIS"</f>
        <v>SOILDS ANALYSIS</v>
      </c>
      <c r="F53" s="214"/>
      <c r="G53" s="215"/>
      <c r="H53" s="190" t="s">
        <v>72</v>
      </c>
      <c r="I53" s="193"/>
      <c r="J53" s="191"/>
    </row>
    <row r="54" spans="1:12" ht="9.6" customHeight="1" x14ac:dyDescent="0.25">
      <c r="A54" s="95" t="str">
        <f>[1]IFE!B270</f>
        <v>Armado / Mantenimiento</v>
      </c>
      <c r="B54" s="82">
        <f>[1]IFE!C270</f>
        <v>0</v>
      </c>
      <c r="C54" s="385" t="s">
        <v>73</v>
      </c>
      <c r="D54" s="82">
        <f>[1]IFE!$E$331</f>
        <v>0</v>
      </c>
      <c r="E54" s="80" t="str">
        <f>"Calcium Chloride   " &amp;"("&amp;[1]IFE!B44&amp;")"</f>
        <v>Calcium Chloride   (lb/bbl)</v>
      </c>
      <c r="F54" s="113"/>
      <c r="G54" s="82" t="str">
        <f>[1]IFE!$A$404</f>
        <v>0,</v>
      </c>
      <c r="H54" s="142" t="s">
        <v>75</v>
      </c>
      <c r="I54" s="143"/>
      <c r="J54" s="82">
        <f>[1]IFE!B243</f>
        <v>0</v>
      </c>
    </row>
    <row r="55" spans="1:12" ht="9.6" customHeight="1" x14ac:dyDescent="0.25">
      <c r="A55" s="95" t="str">
        <f>[1]IFE!B271</f>
        <v>Perforación</v>
      </c>
      <c r="B55" s="82">
        <f>[1]IFE!C271</f>
        <v>0</v>
      </c>
      <c r="C55" s="385" t="s">
        <v>76</v>
      </c>
      <c r="D55" s="82">
        <f>[1]IFE!$E$332</f>
        <v>0</v>
      </c>
      <c r="E55" s="80" t="s">
        <v>169</v>
      </c>
      <c r="F55" s="113"/>
      <c r="G55" s="82" t="str">
        <f>[1]IFE!$A$405</f>
        <v>0,</v>
      </c>
      <c r="H55" s="142" t="s">
        <v>78</v>
      </c>
      <c r="I55" s="144"/>
      <c r="J55" s="82">
        <f>[1]IFE!B244</f>
        <v>0</v>
      </c>
    </row>
    <row r="56" spans="1:12" ht="9.6" customHeight="1" x14ac:dyDescent="0.25">
      <c r="A56" s="95" t="str">
        <f>[1]IFE!B272</f>
        <v>Viajes</v>
      </c>
      <c r="B56" s="82">
        <f>[1]IFE!C272</f>
        <v>0</v>
      </c>
      <c r="C56" s="385" t="s">
        <v>79</v>
      </c>
      <c r="D56" s="82">
        <f>[1]IFE!$E$336</f>
        <v>0</v>
      </c>
      <c r="E56" s="80" t="s">
        <v>170</v>
      </c>
      <c r="F56" s="113"/>
      <c r="G56" s="82" t="str">
        <f>[1]IFE!$A$406</f>
        <v>0,</v>
      </c>
      <c r="H56" s="142" t="s">
        <v>80</v>
      </c>
      <c r="I56" s="144"/>
      <c r="J56" s="82">
        <f>[1]IFE!B245</f>
        <v>0</v>
      </c>
    </row>
    <row r="57" spans="1:12" ht="9.6" customHeight="1" x14ac:dyDescent="0.25">
      <c r="A57" s="95" t="str">
        <f>[1]IFE!B273</f>
        <v>Tiempo No Productivo</v>
      </c>
      <c r="B57" s="82">
        <f>[1]IFE!C273</f>
        <v>0</v>
      </c>
      <c r="C57" s="385" t="s">
        <v>104</v>
      </c>
      <c r="D57" s="82">
        <f>[1]IFE!$E$337</f>
        <v>0</v>
      </c>
      <c r="E57" s="80" t="s">
        <v>171</v>
      </c>
      <c r="F57" s="113"/>
      <c r="G57" s="82" t="str">
        <f>[1]IFE!$A$407</f>
        <v>0,</v>
      </c>
      <c r="H57" s="142" t="s">
        <v>82</v>
      </c>
      <c r="I57" s="144"/>
      <c r="J57" s="82">
        <f>[1]IFE!B246</f>
        <v>0</v>
      </c>
    </row>
    <row r="58" spans="1:12" ht="9.6" customHeight="1" x14ac:dyDescent="0.25">
      <c r="A58" s="95">
        <f>[1]IFE!B274</f>
        <v>0</v>
      </c>
      <c r="B58" s="82">
        <f>[1]IFE!C274</f>
        <v>0</v>
      </c>
      <c r="C58" s="385" t="str">
        <f>[1]IFE!$A$261</f>
        <v>Shakers</v>
      </c>
      <c r="D58" s="82">
        <f>[1]IFE!$B$261</f>
        <v>0</v>
      </c>
      <c r="E58" s="80" t="s">
        <v>172</v>
      </c>
      <c r="F58" s="113"/>
      <c r="G58" s="82" t="str">
        <f>[1]IFE!$A$408</f>
        <v>2,3</v>
      </c>
      <c r="H58" s="142" t="s">
        <v>9</v>
      </c>
      <c r="I58" s="144"/>
      <c r="J58" s="82">
        <f>[1]IFE!B247</f>
        <v>0</v>
      </c>
    </row>
    <row r="59" spans="1:12" ht="9.6" customHeight="1" x14ac:dyDescent="0.25">
      <c r="A59" s="95">
        <f>[1]IFE!B275</f>
        <v>0</v>
      </c>
      <c r="B59" s="82">
        <f>[1]IFE!C275</f>
        <v>0</v>
      </c>
      <c r="C59" s="385" t="str">
        <f>[1]IFE!$A$262</f>
        <v>Evaporation</v>
      </c>
      <c r="D59" s="82">
        <f>[1]IFE!$B$262</f>
        <v>0</v>
      </c>
      <c r="E59" s="80" t="s">
        <v>173</v>
      </c>
      <c r="F59" s="113"/>
      <c r="G59" s="82" t="str">
        <f>[1]IFE!$A$409</f>
        <v>20,6</v>
      </c>
      <c r="H59" s="142" t="s">
        <v>83</v>
      </c>
      <c r="I59" s="144"/>
      <c r="J59" s="82">
        <f>[1]IFE!B248</f>
        <v>0</v>
      </c>
    </row>
    <row r="60" spans="1:12" ht="9.6" customHeight="1" x14ac:dyDescent="0.25">
      <c r="A60" s="95">
        <f>[1]IFE!B276</f>
        <v>0</v>
      </c>
      <c r="B60" s="82">
        <f>[1]IFE!C276</f>
        <v>0</v>
      </c>
      <c r="C60" s="385" t="str">
        <f>[1]IFE!$A$263</f>
        <v>Centrifuge</v>
      </c>
      <c r="D60" s="82">
        <f>[1]IFE!$B$263</f>
        <v>0</v>
      </c>
      <c r="E60" s="80" t="str">
        <f>"Low Gravity Solids   " &amp;"("&amp;[1]IFE!B44&amp;")"</f>
        <v>Low Gravity Solids   (lb/bbl)</v>
      </c>
      <c r="F60" s="113"/>
      <c r="G60" s="82" t="str">
        <f>[1]IFE!$A$410</f>
        <v>2,2</v>
      </c>
      <c r="H60" s="142" t="s">
        <v>85</v>
      </c>
      <c r="I60" s="144"/>
      <c r="J60" s="82">
        <f>[1]IFE!B249</f>
        <v>0</v>
      </c>
    </row>
    <row r="61" spans="1:12" ht="9.6" customHeight="1" x14ac:dyDescent="0.25">
      <c r="A61" s="95">
        <f>[1]IFE!B277</f>
        <v>0</v>
      </c>
      <c r="B61" s="82">
        <f>[1]IFE!C277</f>
        <v>0</v>
      </c>
      <c r="C61" s="385" t="str">
        <f>[1]IFE!$A$264</f>
        <v>Formation</v>
      </c>
      <c r="D61" s="82">
        <f>[1]IFE!$B$264</f>
        <v>0</v>
      </c>
      <c r="E61" s="80" t="s">
        <v>174</v>
      </c>
      <c r="F61" s="113"/>
      <c r="G61" s="82" t="str">
        <f>[1]IFE!$A$411</f>
        <v>20,</v>
      </c>
      <c r="H61" s="142" t="s">
        <v>87</v>
      </c>
      <c r="I61" s="144"/>
      <c r="J61" s="82">
        <f>[1]IFE!B250</f>
        <v>0</v>
      </c>
    </row>
    <row r="62" spans="1:12" ht="9.6" customHeight="1" x14ac:dyDescent="0.25">
      <c r="A62" s="95">
        <f>[1]IFE!B278</f>
        <v>0</v>
      </c>
      <c r="B62" s="82">
        <f>[1]IFE!C278</f>
        <v>0</v>
      </c>
      <c r="C62" s="385" t="str">
        <f>[1]IFE!$A$265</f>
        <v>Left in Hole</v>
      </c>
      <c r="D62" s="82">
        <f>[1]IFE!$B$265</f>
        <v>0</v>
      </c>
      <c r="E62" s="80" t="str">
        <f>"High Gravity Solids   " &amp;"("&amp;[1]IFE!B44&amp;")"</f>
        <v>High Gravity Solids   (lb/bbl)</v>
      </c>
      <c r="F62" s="113"/>
      <c r="G62" s="82" t="str">
        <f>[1]IFE!$A$412</f>
        <v>0,</v>
      </c>
      <c r="H62" s="142" t="s">
        <v>89</v>
      </c>
      <c r="I62" s="144"/>
      <c r="J62" s="82">
        <f>[1]IFE!B251</f>
        <v>0</v>
      </c>
    </row>
    <row r="63" spans="1:12" ht="9.75" customHeight="1" x14ac:dyDescent="0.25">
      <c r="A63" s="223">
        <f>[1]IFE!B279</f>
        <v>0</v>
      </c>
      <c r="B63" s="224">
        <f>[1]IFE!C279</f>
        <v>0</v>
      </c>
      <c r="C63" s="385" t="str">
        <f>[1]IFE!$A$266</f>
        <v>Other</v>
      </c>
      <c r="D63" s="82">
        <f>[1]IFE!$B$266</f>
        <v>0</v>
      </c>
      <c r="E63" s="225"/>
      <c r="F63" s="226"/>
      <c r="G63" s="224"/>
      <c r="H63" s="92" t="s">
        <v>10</v>
      </c>
      <c r="I63" s="227"/>
      <c r="J63" s="224">
        <f>[1]IFE!B252</f>
        <v>0</v>
      </c>
    </row>
    <row r="64" spans="1:12" ht="9.75" customHeight="1" x14ac:dyDescent="0.25">
      <c r="A64" s="95"/>
      <c r="B64" s="82"/>
      <c r="C64" s="385" t="str">
        <f>[1]IFE!$A$267</f>
        <v>Discharged</v>
      </c>
      <c r="D64" s="82">
        <f>[1]IFE!$B$267</f>
        <v>0</v>
      </c>
      <c r="E64" s="80"/>
      <c r="F64" s="113"/>
      <c r="G64" s="82"/>
      <c r="H64" s="228" t="s">
        <v>254</v>
      </c>
      <c r="I64" s="144"/>
      <c r="J64" s="224">
        <f>[1]IFE!B253</f>
        <v>0</v>
      </c>
    </row>
    <row r="65" spans="1:10" ht="9.75" customHeight="1" thickBot="1" x14ac:dyDescent="0.3">
      <c r="A65" s="95"/>
      <c r="B65" s="82"/>
      <c r="C65" s="385" t="str">
        <f>[1]IFE!$C$261</f>
        <v>Pit Cleaning</v>
      </c>
      <c r="D65" s="82">
        <f>[1]IFE!$D$261</f>
        <v>0</v>
      </c>
      <c r="E65" s="80"/>
      <c r="F65" s="113"/>
      <c r="G65" s="82"/>
      <c r="H65" s="228"/>
      <c r="I65" s="144"/>
      <c r="J65" s="82"/>
    </row>
    <row r="66" spans="1:10" ht="9.75" customHeight="1" x14ac:dyDescent="0.25">
      <c r="A66" s="95"/>
      <c r="B66" s="82"/>
      <c r="C66" s="385">
        <f>[1]IFE!$C$262</f>
        <v>0</v>
      </c>
      <c r="D66" s="82">
        <f>[1]IFE!$D$262</f>
        <v>0</v>
      </c>
      <c r="E66" s="80"/>
      <c r="F66" s="665"/>
      <c r="G66" s="666" t="s">
        <v>6</v>
      </c>
      <c r="H66" s="667"/>
      <c r="I66" s="666" t="s">
        <v>92</v>
      </c>
      <c r="J66" s="668"/>
    </row>
    <row r="67" spans="1:10" ht="9.75" customHeight="1" thickBot="1" x14ac:dyDescent="0.3">
      <c r="A67" s="138"/>
      <c r="B67" s="137"/>
      <c r="C67" s="386">
        <f>[1]IFE!$C$263</f>
        <v>0</v>
      </c>
      <c r="D67" s="224">
        <f>[1]IFE!$D$263</f>
        <v>0</v>
      </c>
      <c r="E67" s="145"/>
      <c r="F67" s="669" t="s">
        <v>250</v>
      </c>
      <c r="G67" s="680">
        <f xml:space="preserve"> [1]IFE!$B$134</f>
        <v>5749.32</v>
      </c>
      <c r="H67" s="680"/>
      <c r="I67" s="680">
        <f>[1]IFE!$B$135</f>
        <v>89939.53</v>
      </c>
      <c r="J67" s="681"/>
    </row>
    <row r="68" spans="1:10" ht="10.5" customHeight="1" x14ac:dyDescent="0.25">
      <c r="A68" s="676" t="s">
        <v>90</v>
      </c>
      <c r="B68" s="677"/>
      <c r="C68" s="664" t="s">
        <v>129</v>
      </c>
      <c r="D68" s="678" t="s">
        <v>91</v>
      </c>
      <c r="E68" s="679"/>
      <c r="F68" s="669" t="s">
        <v>252</v>
      </c>
      <c r="G68" s="680">
        <f>[1]IFE!$D$138+[1]IFE!$D$142</f>
        <v>0</v>
      </c>
      <c r="H68" s="680"/>
      <c r="I68" s="680">
        <f>[1]IFE!$D$139+[1]IFE!$D$143</f>
        <v>0</v>
      </c>
      <c r="J68" s="681"/>
    </row>
    <row r="69" spans="1:10" ht="10.5" customHeight="1" x14ac:dyDescent="0.25">
      <c r="A69" s="687" t="str">
        <f>[1]IFE!$B$127</f>
        <v>Jesus Villarroel</v>
      </c>
      <c r="B69" s="688"/>
      <c r="C69" s="695">
        <f>[1]IFE!$D$131</f>
        <v>0</v>
      </c>
      <c r="D69" s="691">
        <f>[1]IFE!$B$133</f>
        <v>0</v>
      </c>
      <c r="E69" s="692"/>
      <c r="F69" s="669" t="s">
        <v>251</v>
      </c>
      <c r="G69" s="680">
        <f>[1]IFE!$D$136</f>
        <v>0</v>
      </c>
      <c r="H69" s="680"/>
      <c r="I69" s="680">
        <f>[1]IFE!$D$137</f>
        <v>0</v>
      </c>
      <c r="J69" s="681"/>
    </row>
    <row r="70" spans="1:10" ht="9.6" customHeight="1" thickBot="1" x14ac:dyDescent="0.3">
      <c r="A70" s="689">
        <f>[1]IFE!$B$129</f>
        <v>0</v>
      </c>
      <c r="B70" s="690"/>
      <c r="C70" s="696"/>
      <c r="D70" s="693"/>
      <c r="E70" s="694"/>
      <c r="F70" s="670" t="s">
        <v>102</v>
      </c>
      <c r="G70" s="685">
        <f>SUM(G67:H69)</f>
        <v>5749.32</v>
      </c>
      <c r="H70" s="697"/>
      <c r="I70" s="685">
        <f>SUM(I67:J69)</f>
        <v>89939.53</v>
      </c>
      <c r="J70" s="686"/>
    </row>
    <row r="71" spans="1:10" ht="9.6" customHeight="1" x14ac:dyDescent="0.25">
      <c r="A71" s="150"/>
      <c r="B71" s="150"/>
      <c r="C71" s="150"/>
      <c r="D71" s="150"/>
      <c r="E71" s="150"/>
      <c r="F71" s="150"/>
      <c r="G71" s="150"/>
      <c r="H71" s="150"/>
      <c r="I71" s="150"/>
      <c r="J71" s="150"/>
    </row>
    <row r="72" spans="1:10" ht="11.1" customHeight="1" x14ac:dyDescent="0.25">
      <c r="A72" s="150"/>
      <c r="B72" s="150"/>
      <c r="C72" s="150"/>
      <c r="D72" s="150"/>
      <c r="E72" s="150"/>
      <c r="F72" s="150"/>
      <c r="G72" s="150"/>
      <c r="H72" s="150"/>
      <c r="I72" s="150"/>
      <c r="J72" s="150"/>
    </row>
    <row r="73" spans="1:10" ht="11.1" customHeight="1" x14ac:dyDescent="0.25">
      <c r="A73" s="150"/>
      <c r="B73" s="150"/>
      <c r="C73" s="150"/>
      <c r="D73" s="150"/>
      <c r="E73" s="150"/>
      <c r="F73" s="150"/>
      <c r="G73" s="150"/>
      <c r="H73" s="150"/>
      <c r="I73" s="150"/>
      <c r="J73" s="150"/>
    </row>
    <row r="74" spans="1:10" x14ac:dyDescent="0.25">
      <c r="A74" s="150"/>
      <c r="B74" s="150"/>
      <c r="C74" s="150"/>
      <c r="D74" s="150"/>
      <c r="E74" s="150"/>
      <c r="F74" s="150"/>
      <c r="G74" s="150"/>
      <c r="H74" s="150"/>
      <c r="I74" s="150"/>
      <c r="J74" s="150"/>
    </row>
    <row r="75" spans="1:10" x14ac:dyDescent="0.25">
      <c r="A75" s="150"/>
      <c r="B75" s="150"/>
      <c r="C75" s="150"/>
      <c r="D75" s="150"/>
      <c r="E75" s="150"/>
      <c r="F75" s="150"/>
      <c r="G75" s="150"/>
      <c r="H75" s="150"/>
      <c r="I75" s="150"/>
      <c r="J75" s="150"/>
    </row>
    <row r="76" spans="1:10" x14ac:dyDescent="0.25">
      <c r="A76" s="150"/>
      <c r="B76" s="150"/>
      <c r="C76" s="150"/>
      <c r="D76" s="150"/>
      <c r="E76" s="150"/>
      <c r="F76" s="150"/>
      <c r="G76" s="150"/>
      <c r="H76" s="150"/>
      <c r="I76" s="150"/>
      <c r="J76" s="150"/>
    </row>
    <row r="77" spans="1:10" x14ac:dyDescent="0.25">
      <c r="A77" s="150"/>
      <c r="B77" s="150"/>
      <c r="C77" s="150"/>
      <c r="D77" s="150"/>
      <c r="E77" s="150"/>
      <c r="F77" s="150"/>
      <c r="G77" s="150"/>
      <c r="H77" s="150"/>
      <c r="I77" s="150"/>
      <c r="J77" s="150"/>
    </row>
    <row r="78" spans="1:10" x14ac:dyDescent="0.25">
      <c r="A78" s="150"/>
      <c r="B78" s="150"/>
      <c r="C78" s="150"/>
      <c r="D78" s="150"/>
      <c r="E78" s="150"/>
      <c r="F78" s="150"/>
      <c r="G78" s="150"/>
      <c r="H78" s="150"/>
      <c r="I78" s="150"/>
      <c r="J78" s="150"/>
    </row>
    <row r="79" spans="1:10" x14ac:dyDescent="0.25">
      <c r="A79" s="150"/>
      <c r="B79" s="150"/>
      <c r="C79" s="150"/>
      <c r="D79" s="150"/>
      <c r="E79" s="150"/>
      <c r="F79" s="150"/>
      <c r="G79" s="150"/>
      <c r="H79" s="150"/>
      <c r="I79" s="150"/>
      <c r="J79" s="150"/>
    </row>
    <row r="80" spans="1:10" x14ac:dyDescent="0.25">
      <c r="A80" s="150"/>
      <c r="B80" s="150"/>
      <c r="C80" s="150"/>
      <c r="D80" s="150"/>
      <c r="E80" s="150"/>
      <c r="F80" s="150"/>
      <c r="G80" s="150"/>
      <c r="H80" s="150"/>
      <c r="I80" s="150"/>
      <c r="J80" s="150"/>
    </row>
    <row r="81" spans="1:10" x14ac:dyDescent="0.25">
      <c r="A81" s="150"/>
      <c r="B81" s="150"/>
      <c r="C81" s="150"/>
      <c r="D81" s="150"/>
      <c r="E81" s="150"/>
      <c r="F81" s="150"/>
      <c r="G81" s="150"/>
      <c r="H81" s="150"/>
      <c r="I81" s="150"/>
      <c r="J81" s="150"/>
    </row>
    <row r="82" spans="1:10" x14ac:dyDescent="0.25">
      <c r="A82" s="150"/>
      <c r="B82" s="150"/>
      <c r="C82" s="150"/>
      <c r="D82" s="150"/>
      <c r="E82" s="150"/>
      <c r="F82" s="150"/>
      <c r="G82" s="150"/>
      <c r="H82" s="150"/>
      <c r="I82" s="150"/>
      <c r="J82" s="150"/>
    </row>
    <row r="83" spans="1:10" x14ac:dyDescent="0.25">
      <c r="A83" s="150"/>
      <c r="B83" s="150"/>
      <c r="C83" s="150"/>
      <c r="D83" s="150"/>
      <c r="E83" s="150"/>
      <c r="F83" s="150"/>
      <c r="G83" s="150"/>
      <c r="H83" s="150"/>
      <c r="I83" s="150"/>
      <c r="J83" s="150"/>
    </row>
    <row r="84" spans="1:10" x14ac:dyDescent="0.25">
      <c r="A84" s="150"/>
      <c r="B84" s="150"/>
      <c r="C84" s="150"/>
      <c r="D84" s="150"/>
      <c r="E84" s="150"/>
      <c r="F84" s="150"/>
      <c r="G84" s="150"/>
      <c r="H84" s="150"/>
      <c r="I84" s="150"/>
      <c r="J84" s="150"/>
    </row>
    <row r="85" spans="1:10" x14ac:dyDescent="0.25">
      <c r="A85" s="150"/>
      <c r="B85" s="150"/>
      <c r="C85" s="150"/>
      <c r="D85" s="150"/>
      <c r="E85" s="150"/>
      <c r="F85" s="150"/>
      <c r="G85" s="150"/>
      <c r="H85" s="150"/>
      <c r="I85" s="150"/>
      <c r="J85" s="150"/>
    </row>
    <row r="86" spans="1:10" x14ac:dyDescent="0.25">
      <c r="A86" s="150"/>
      <c r="B86" s="150"/>
      <c r="C86" s="150"/>
      <c r="D86" s="150"/>
      <c r="E86" s="150"/>
      <c r="F86" s="150"/>
      <c r="G86" s="150"/>
      <c r="H86" s="150"/>
      <c r="I86" s="150"/>
      <c r="J86" s="150"/>
    </row>
    <row r="87" spans="1:10" x14ac:dyDescent="0.25">
      <c r="A87" s="150"/>
      <c r="B87" s="150"/>
      <c r="C87" s="150"/>
      <c r="D87" s="150"/>
      <c r="E87" s="150"/>
      <c r="F87" s="150"/>
      <c r="G87" s="150"/>
      <c r="H87" s="150"/>
      <c r="I87" s="150"/>
      <c r="J87" s="150"/>
    </row>
    <row r="88" spans="1:10" x14ac:dyDescent="0.25">
      <c r="A88" s="150"/>
      <c r="B88" s="150"/>
      <c r="C88" s="150"/>
      <c r="D88" s="150"/>
      <c r="E88" s="150"/>
      <c r="F88" s="150"/>
      <c r="G88" s="150"/>
      <c r="H88" s="150"/>
      <c r="I88" s="150"/>
      <c r="J88" s="150"/>
    </row>
    <row r="89" spans="1:10" x14ac:dyDescent="0.25">
      <c r="A89" s="150"/>
      <c r="B89" s="150"/>
      <c r="C89" s="150"/>
      <c r="D89" s="150"/>
      <c r="E89" s="150"/>
      <c r="F89" s="150"/>
      <c r="G89" s="150"/>
      <c r="H89" s="150"/>
      <c r="I89" s="150"/>
      <c r="J89" s="150"/>
    </row>
    <row r="90" spans="1:10" x14ac:dyDescent="0.25">
      <c r="A90" s="150"/>
      <c r="B90" s="150"/>
      <c r="C90" s="150"/>
      <c r="D90" s="150"/>
      <c r="E90" s="150"/>
      <c r="F90" s="150"/>
      <c r="G90" s="150"/>
      <c r="H90" s="150"/>
      <c r="I90" s="150"/>
      <c r="J90" s="150"/>
    </row>
    <row r="91" spans="1:10" x14ac:dyDescent="0.25">
      <c r="A91" s="150"/>
      <c r="B91" s="150"/>
      <c r="C91" s="150"/>
      <c r="D91" s="150"/>
      <c r="E91" s="150"/>
      <c r="F91" s="150"/>
      <c r="G91" s="150"/>
      <c r="H91" s="150"/>
      <c r="I91" s="150"/>
      <c r="J91" s="150"/>
    </row>
    <row r="92" spans="1:10" x14ac:dyDescent="0.25">
      <c r="A92" s="150"/>
      <c r="B92" s="150"/>
      <c r="C92" s="150"/>
      <c r="D92" s="150"/>
      <c r="E92" s="150"/>
      <c r="F92" s="150"/>
      <c r="G92" s="150"/>
      <c r="H92" s="150"/>
      <c r="I92" s="150"/>
      <c r="J92" s="150"/>
    </row>
    <row r="93" spans="1:10" x14ac:dyDescent="0.25">
      <c r="A93" s="150"/>
      <c r="B93" s="150"/>
      <c r="C93" s="150"/>
      <c r="D93" s="150"/>
      <c r="E93" s="150"/>
      <c r="F93" s="150"/>
      <c r="G93" s="150"/>
      <c r="H93" s="150"/>
      <c r="I93" s="150"/>
      <c r="J93" s="150"/>
    </row>
    <row r="94" spans="1:10" x14ac:dyDescent="0.25">
      <c r="A94" s="150"/>
      <c r="B94" s="150"/>
      <c r="C94" s="150"/>
      <c r="D94" s="150"/>
      <c r="E94" s="150"/>
      <c r="F94" s="150"/>
      <c r="G94" s="150"/>
      <c r="H94" s="150"/>
      <c r="I94" s="150"/>
      <c r="J94" s="150"/>
    </row>
    <row r="95" spans="1:10" x14ac:dyDescent="0.25">
      <c r="A95" s="150"/>
      <c r="B95" s="150"/>
      <c r="C95" s="150"/>
      <c r="D95" s="150"/>
      <c r="E95" s="150"/>
      <c r="F95" s="150"/>
      <c r="G95" s="150"/>
      <c r="H95" s="150"/>
      <c r="I95" s="150"/>
      <c r="J95" s="150"/>
    </row>
    <row r="96" spans="1:10" x14ac:dyDescent="0.25">
      <c r="A96" s="150"/>
      <c r="B96" s="150"/>
      <c r="C96" s="150"/>
      <c r="D96" s="150"/>
      <c r="E96" s="150"/>
      <c r="F96" s="150"/>
      <c r="G96" s="150"/>
      <c r="H96" s="150"/>
      <c r="I96" s="150"/>
      <c r="J96" s="150"/>
    </row>
    <row r="97" spans="1:10" x14ac:dyDescent="0.25">
      <c r="A97" s="150"/>
      <c r="B97" s="150"/>
      <c r="C97" s="150"/>
      <c r="D97" s="150"/>
      <c r="E97" s="150"/>
      <c r="F97" s="150"/>
      <c r="G97" s="150"/>
      <c r="H97" s="150"/>
      <c r="I97" s="150"/>
      <c r="J97" s="150"/>
    </row>
    <row r="98" spans="1:10" x14ac:dyDescent="0.25">
      <c r="A98" s="3"/>
      <c r="B98" s="150"/>
      <c r="C98" s="150"/>
      <c r="D98" s="150"/>
      <c r="E98" s="150"/>
      <c r="F98" s="150"/>
      <c r="G98" s="150"/>
      <c r="H98" s="150"/>
      <c r="I98" s="150"/>
      <c r="J98" s="150"/>
    </row>
    <row r="99" spans="1:10" x14ac:dyDescent="0.25">
      <c r="A99" s="3"/>
      <c r="B99" s="150"/>
      <c r="C99" s="150"/>
      <c r="D99" s="150"/>
      <c r="E99" s="150"/>
      <c r="F99" s="150"/>
      <c r="G99" s="150"/>
      <c r="H99" s="150"/>
      <c r="I99" s="150"/>
      <c r="J99" s="150"/>
    </row>
    <row r="100" spans="1:10" x14ac:dyDescent="0.25">
      <c r="A100" s="3"/>
      <c r="B100" s="150"/>
      <c r="C100" s="150"/>
      <c r="D100" s="150"/>
      <c r="E100" s="150"/>
      <c r="F100" s="150"/>
      <c r="G100" s="150"/>
      <c r="H100" s="150"/>
      <c r="I100" s="150"/>
      <c r="J100" s="150"/>
    </row>
    <row r="101" spans="1:10" x14ac:dyDescent="0.25">
      <c r="A101" s="3"/>
      <c r="B101" s="150"/>
      <c r="C101" s="150"/>
      <c r="D101" s="150"/>
      <c r="E101" s="150"/>
      <c r="F101" s="150"/>
      <c r="G101" s="150"/>
      <c r="H101" s="150"/>
      <c r="I101" s="150"/>
      <c r="J101" s="150"/>
    </row>
    <row r="102" spans="1:10" x14ac:dyDescent="0.25">
      <c r="A102" s="3"/>
      <c r="B102" s="150"/>
      <c r="C102" s="150"/>
      <c r="D102" s="150"/>
      <c r="E102" s="150"/>
      <c r="F102" s="150"/>
      <c r="G102" s="150"/>
      <c r="H102" s="150"/>
      <c r="I102" s="150"/>
      <c r="J102" s="150"/>
    </row>
    <row r="103" spans="1:10" x14ac:dyDescent="0.25">
      <c r="A103" s="3"/>
      <c r="B103" s="3"/>
      <c r="C103" s="3"/>
      <c r="D103" s="3"/>
      <c r="E103" s="3"/>
      <c r="F103" s="3"/>
      <c r="G103" s="3"/>
      <c r="H103" s="3"/>
      <c r="I103" s="3"/>
    </row>
    <row r="104" spans="1:10" x14ac:dyDescent="0.25">
      <c r="A104" s="3"/>
      <c r="B104" s="3"/>
      <c r="C104" s="3"/>
      <c r="D104" s="3"/>
      <c r="E104" s="3"/>
      <c r="F104" s="3"/>
      <c r="G104" s="3"/>
      <c r="H104" s="3"/>
      <c r="I104" s="3"/>
    </row>
    <row r="105" spans="1:10" x14ac:dyDescent="0.25">
      <c r="A105" s="3"/>
      <c r="B105" s="3"/>
      <c r="C105" s="3"/>
      <c r="D105" s="3"/>
      <c r="E105" s="3"/>
      <c r="F105" s="3"/>
      <c r="G105" s="3"/>
      <c r="H105" s="3"/>
      <c r="I105" s="3"/>
    </row>
    <row r="106" spans="1:10" x14ac:dyDescent="0.25">
      <c r="A106" s="3"/>
      <c r="B106" s="3"/>
      <c r="C106" s="3"/>
      <c r="D106" s="3"/>
      <c r="E106" s="3"/>
      <c r="F106" s="3"/>
      <c r="G106" s="3"/>
      <c r="H106" s="3"/>
      <c r="I106" s="3"/>
    </row>
    <row r="107" spans="1:10" x14ac:dyDescent="0.25">
      <c r="A107" s="3"/>
      <c r="B107" s="3"/>
      <c r="C107" s="3"/>
      <c r="D107" s="3"/>
      <c r="E107" s="3"/>
      <c r="F107" s="3"/>
      <c r="G107" s="3"/>
      <c r="H107" s="3"/>
      <c r="I107" s="3"/>
    </row>
    <row r="108" spans="1:10" x14ac:dyDescent="0.25">
      <c r="A108" s="3"/>
      <c r="B108" s="3"/>
      <c r="C108" s="3"/>
      <c r="D108" s="3"/>
      <c r="E108" s="3"/>
      <c r="F108" s="3"/>
      <c r="G108" s="3"/>
      <c r="H108" s="3"/>
      <c r="I108" s="3"/>
    </row>
    <row r="109" spans="1:10" x14ac:dyDescent="0.25">
      <c r="A109" s="3"/>
      <c r="B109" s="3"/>
      <c r="C109" s="3"/>
      <c r="D109" s="3"/>
      <c r="E109" s="3"/>
      <c r="F109" s="3"/>
      <c r="G109" s="3"/>
      <c r="H109" s="3"/>
      <c r="I109" s="3"/>
    </row>
    <row r="110" spans="1:10" x14ac:dyDescent="0.25">
      <c r="A110" s="3"/>
      <c r="B110" s="3"/>
      <c r="C110" s="3"/>
      <c r="D110" s="3"/>
      <c r="E110" s="3"/>
      <c r="F110" s="3"/>
      <c r="G110" s="3"/>
      <c r="H110" s="3"/>
      <c r="I110" s="3"/>
    </row>
    <row r="111" spans="1:10" x14ac:dyDescent="0.25">
      <c r="A111" s="3"/>
      <c r="B111" s="3"/>
      <c r="C111" s="3"/>
      <c r="D111" s="3"/>
      <c r="E111" s="3"/>
      <c r="F111" s="3"/>
      <c r="G111" s="3"/>
      <c r="H111" s="3"/>
      <c r="I111" s="3"/>
    </row>
    <row r="112" spans="1:10" x14ac:dyDescent="0.25">
      <c r="A112" s="3"/>
      <c r="B112" s="3"/>
      <c r="C112" s="3"/>
      <c r="D112" s="3"/>
      <c r="E112" s="3"/>
      <c r="F112" s="3"/>
      <c r="G112" s="3"/>
      <c r="H112" s="3"/>
      <c r="I112" s="3"/>
    </row>
    <row r="113" spans="1:9" x14ac:dyDescent="0.25">
      <c r="A113" s="3"/>
      <c r="B113" s="3"/>
      <c r="C113" s="3"/>
      <c r="D113" s="3"/>
      <c r="E113" s="3"/>
      <c r="F113" s="3"/>
      <c r="G113" s="3"/>
      <c r="H113" s="3"/>
      <c r="I113" s="3"/>
    </row>
    <row r="114" spans="1:9" x14ac:dyDescent="0.25">
      <c r="A114" s="3"/>
      <c r="B114" s="3"/>
      <c r="C114" s="3"/>
      <c r="D114" s="3"/>
      <c r="E114" s="3"/>
      <c r="F114" s="3"/>
      <c r="G114" s="3"/>
      <c r="H114" s="3"/>
      <c r="I114" s="3"/>
    </row>
    <row r="115" spans="1:9" x14ac:dyDescent="0.25">
      <c r="A115" s="3"/>
      <c r="B115" s="3"/>
      <c r="C115" s="3"/>
      <c r="D115" s="3"/>
      <c r="E115" s="3"/>
      <c r="F115" s="3"/>
      <c r="G115" s="3"/>
      <c r="H115" s="3"/>
      <c r="I115" s="3"/>
    </row>
    <row r="116" spans="1:9" x14ac:dyDescent="0.25">
      <c r="A116" s="3"/>
      <c r="B116" s="3"/>
      <c r="C116" s="3"/>
      <c r="D116" s="3"/>
      <c r="E116" s="3"/>
      <c r="F116" s="3"/>
      <c r="G116" s="3"/>
      <c r="H116" s="3"/>
      <c r="I116" s="3"/>
    </row>
    <row r="117" spans="1:9" x14ac:dyDescent="0.25">
      <c r="A117" s="3"/>
      <c r="B117" s="3"/>
      <c r="C117" s="3"/>
      <c r="D117" s="3"/>
      <c r="E117" s="3"/>
      <c r="F117" s="3"/>
      <c r="G117" s="3"/>
      <c r="H117" s="3"/>
      <c r="I117" s="3"/>
    </row>
    <row r="118" spans="1:9" x14ac:dyDescent="0.25">
      <c r="A118" s="3"/>
      <c r="B118" s="3"/>
      <c r="C118" s="3"/>
      <c r="D118" s="3"/>
      <c r="E118" s="3"/>
      <c r="F118" s="3"/>
      <c r="G118" s="3"/>
      <c r="H118" s="3"/>
      <c r="I118" s="3"/>
    </row>
    <row r="119" spans="1:9" x14ac:dyDescent="0.25">
      <c r="A119" s="3"/>
      <c r="B119" s="3"/>
      <c r="C119" s="3"/>
      <c r="D119" s="3"/>
      <c r="E119" s="3"/>
      <c r="F119" s="3"/>
      <c r="G119" s="3"/>
      <c r="H119" s="3"/>
      <c r="I119" s="3"/>
    </row>
    <row r="120" spans="1:9" x14ac:dyDescent="0.25">
      <c r="A120" s="3"/>
      <c r="B120" s="3"/>
      <c r="C120" s="3"/>
      <c r="D120" s="3"/>
      <c r="E120" s="3"/>
      <c r="F120" s="3"/>
      <c r="G120" s="3"/>
      <c r="H120" s="3"/>
      <c r="I120" s="3"/>
    </row>
    <row r="121" spans="1:9" x14ac:dyDescent="0.25">
      <c r="A121" s="3"/>
      <c r="B121" s="3"/>
      <c r="C121" s="3"/>
      <c r="D121" s="3"/>
      <c r="E121" s="3"/>
      <c r="F121" s="3"/>
      <c r="G121" s="3"/>
      <c r="H121" s="3"/>
      <c r="I121" s="3"/>
    </row>
    <row r="122" spans="1:9" x14ac:dyDescent="0.25">
      <c r="A122" s="3"/>
      <c r="B122" s="3"/>
      <c r="C122" s="3"/>
      <c r="D122" s="3"/>
      <c r="E122" s="3"/>
      <c r="F122" s="3"/>
      <c r="G122" s="3"/>
      <c r="H122" s="3"/>
      <c r="I122" s="3"/>
    </row>
    <row r="123" spans="1:9" x14ac:dyDescent="0.25">
      <c r="A123" s="3"/>
      <c r="B123" s="3"/>
      <c r="C123" s="3"/>
      <c r="D123" s="3"/>
      <c r="E123" s="3"/>
      <c r="F123" s="3"/>
      <c r="G123" s="3"/>
      <c r="H123" s="3"/>
      <c r="I123" s="3"/>
    </row>
    <row r="124" spans="1:9" x14ac:dyDescent="0.25">
      <c r="A124" s="3"/>
      <c r="B124" s="3"/>
      <c r="C124" s="3"/>
      <c r="D124" s="3"/>
      <c r="E124" s="3"/>
      <c r="F124" s="3"/>
      <c r="G124" s="3"/>
      <c r="H124" s="3"/>
      <c r="I124" s="3"/>
    </row>
    <row r="125" spans="1:9" x14ac:dyDescent="0.25">
      <c r="A125" s="3"/>
      <c r="B125" s="3"/>
      <c r="C125" s="3"/>
      <c r="D125" s="3"/>
      <c r="E125" s="3"/>
      <c r="F125" s="3"/>
      <c r="G125" s="3"/>
      <c r="H125" s="3"/>
      <c r="I125" s="3"/>
    </row>
    <row r="126" spans="1:9" x14ac:dyDescent="0.25">
      <c r="A126" s="3"/>
      <c r="B126" s="3"/>
      <c r="C126" s="3"/>
      <c r="D126" s="3"/>
      <c r="E126" s="3"/>
      <c r="F126" s="3"/>
      <c r="G126" s="3"/>
      <c r="H126" s="3"/>
      <c r="I126" s="3"/>
    </row>
    <row r="127" spans="1:9" x14ac:dyDescent="0.25">
      <c r="A127" s="3"/>
      <c r="B127" s="3"/>
      <c r="C127" s="3"/>
      <c r="D127" s="3"/>
      <c r="E127" s="3"/>
      <c r="F127" s="3"/>
      <c r="G127" s="3"/>
      <c r="H127" s="3"/>
      <c r="I127" s="3"/>
    </row>
    <row r="128" spans="1:9" x14ac:dyDescent="0.25">
      <c r="A128" s="3"/>
      <c r="B128" s="3"/>
      <c r="C128" s="3"/>
      <c r="D128" s="3"/>
      <c r="E128" s="3"/>
      <c r="F128" s="3"/>
      <c r="G128" s="3"/>
      <c r="H128" s="3"/>
      <c r="I128" s="3"/>
    </row>
    <row r="129" spans="1:9" x14ac:dyDescent="0.25">
      <c r="A129" s="3"/>
      <c r="B129" s="3"/>
      <c r="C129" s="3"/>
      <c r="D129" s="3"/>
      <c r="E129" s="3"/>
      <c r="F129" s="3"/>
      <c r="G129" s="3"/>
      <c r="H129" s="3"/>
      <c r="I129" s="3"/>
    </row>
    <row r="130" spans="1:9" x14ac:dyDescent="0.25">
      <c r="A130" s="3"/>
      <c r="B130" s="3"/>
      <c r="C130" s="3"/>
      <c r="D130" s="3"/>
      <c r="E130" s="3"/>
      <c r="F130" s="3"/>
      <c r="G130" s="3"/>
      <c r="H130" s="3"/>
      <c r="I130" s="3"/>
    </row>
    <row r="131" spans="1:9" x14ac:dyDescent="0.25">
      <c r="A131" s="3"/>
      <c r="B131" s="3"/>
      <c r="C131" s="3"/>
      <c r="D131" s="3"/>
      <c r="E131" s="3"/>
      <c r="F131" s="3"/>
      <c r="G131" s="3"/>
      <c r="H131" s="3"/>
      <c r="I131" s="3"/>
    </row>
    <row r="132" spans="1:9" x14ac:dyDescent="0.25">
      <c r="A132" s="3"/>
      <c r="B132" s="3"/>
      <c r="C132" s="3"/>
      <c r="D132" s="3"/>
      <c r="E132" s="3"/>
      <c r="F132" s="3"/>
      <c r="G132" s="3"/>
      <c r="H132" s="3"/>
      <c r="I132" s="3"/>
    </row>
    <row r="133" spans="1:9" x14ac:dyDescent="0.25">
      <c r="A133" s="3"/>
      <c r="B133" s="3"/>
      <c r="C133" s="3"/>
      <c r="D133" s="3"/>
      <c r="E133" s="3"/>
      <c r="F133" s="3"/>
      <c r="G133" s="3"/>
      <c r="H133" s="3"/>
      <c r="I133" s="3"/>
    </row>
    <row r="134" spans="1:9" x14ac:dyDescent="0.25">
      <c r="A134" s="3"/>
      <c r="B134" s="3"/>
      <c r="C134" s="3"/>
      <c r="D134" s="3"/>
      <c r="E134" s="3"/>
      <c r="F134" s="3"/>
      <c r="G134" s="3"/>
      <c r="H134" s="3"/>
      <c r="I134" s="3"/>
    </row>
    <row r="135" spans="1:9" x14ac:dyDescent="0.25">
      <c r="A135" s="3"/>
      <c r="B135" s="3"/>
      <c r="C135" s="3"/>
      <c r="D135" s="3"/>
      <c r="E135" s="3"/>
      <c r="F135" s="3"/>
      <c r="G135" s="3"/>
      <c r="H135" s="3"/>
      <c r="I135" s="3"/>
    </row>
    <row r="136" spans="1:9" x14ac:dyDescent="0.25">
      <c r="A136" s="3"/>
      <c r="B136" s="3"/>
      <c r="C136" s="3"/>
      <c r="D136" s="3"/>
      <c r="E136" s="3"/>
      <c r="F136" s="3"/>
      <c r="G136" s="3"/>
      <c r="H136" s="3"/>
      <c r="I136" s="3"/>
    </row>
    <row r="137" spans="1:9" x14ac:dyDescent="0.25">
      <c r="A137" s="3"/>
      <c r="B137" s="3"/>
      <c r="C137" s="3"/>
      <c r="D137" s="3"/>
      <c r="E137" s="3"/>
      <c r="F137" s="3"/>
      <c r="G137" s="3"/>
      <c r="H137" s="3"/>
      <c r="I137" s="3"/>
    </row>
    <row r="138" spans="1:9" x14ac:dyDescent="0.25">
      <c r="A138" s="3"/>
      <c r="B138" s="3"/>
      <c r="C138" s="3"/>
      <c r="D138" s="3"/>
      <c r="E138" s="3"/>
      <c r="F138" s="3"/>
      <c r="G138" s="3"/>
      <c r="H138" s="3"/>
      <c r="I138" s="3"/>
    </row>
    <row r="139" spans="1:9" x14ac:dyDescent="0.25">
      <c r="A139" s="3"/>
      <c r="B139" s="3"/>
      <c r="C139" s="3"/>
      <c r="D139" s="3"/>
      <c r="E139" s="3"/>
      <c r="F139" s="3"/>
      <c r="G139" s="3"/>
      <c r="H139" s="3"/>
      <c r="I139" s="3"/>
    </row>
    <row r="140" spans="1:9" x14ac:dyDescent="0.25">
      <c r="A140" s="3"/>
      <c r="B140" s="3"/>
      <c r="C140" s="3"/>
      <c r="D140" s="3"/>
      <c r="E140" s="3"/>
      <c r="F140" s="3"/>
      <c r="G140" s="3"/>
      <c r="H140" s="3"/>
      <c r="I140" s="3"/>
    </row>
    <row r="141" spans="1:9" x14ac:dyDescent="0.25">
      <c r="A141" s="3"/>
      <c r="B141" s="3"/>
      <c r="C141" s="3"/>
      <c r="D141" s="3"/>
      <c r="E141" s="3"/>
      <c r="F141" s="3"/>
      <c r="G141" s="3"/>
      <c r="H141" s="3"/>
      <c r="I141" s="3"/>
    </row>
    <row r="142" spans="1:9" x14ac:dyDescent="0.25">
      <c r="A142" s="3"/>
      <c r="B142" s="3"/>
      <c r="C142" s="3"/>
      <c r="D142" s="3"/>
      <c r="E142" s="3"/>
      <c r="F142" s="3"/>
      <c r="G142" s="3"/>
      <c r="H142" s="3"/>
      <c r="I142" s="3"/>
    </row>
    <row r="143" spans="1:9" x14ac:dyDescent="0.25">
      <c r="A143" s="3"/>
      <c r="B143" s="3"/>
      <c r="C143" s="3"/>
      <c r="D143" s="3"/>
      <c r="E143" s="3"/>
      <c r="F143" s="3"/>
      <c r="G143" s="3"/>
      <c r="H143" s="3"/>
      <c r="I143" s="3"/>
    </row>
    <row r="144" spans="1:9" x14ac:dyDescent="0.25">
      <c r="A144" s="3"/>
      <c r="B144" s="3"/>
      <c r="C144" s="3"/>
      <c r="D144" s="3"/>
      <c r="E144" s="3"/>
      <c r="F144" s="3"/>
      <c r="G144" s="3"/>
      <c r="H144" s="3"/>
      <c r="I144" s="3"/>
    </row>
    <row r="145" spans="1:9" x14ac:dyDescent="0.25">
      <c r="A145" s="3"/>
      <c r="B145" s="3"/>
      <c r="C145" s="3"/>
      <c r="D145" s="3"/>
      <c r="E145" s="3"/>
      <c r="F145" s="3"/>
      <c r="G145" s="3"/>
      <c r="H145" s="3"/>
      <c r="I145" s="3"/>
    </row>
    <row r="146" spans="1:9" x14ac:dyDescent="0.25">
      <c r="A146" s="3"/>
      <c r="B146" s="3"/>
      <c r="C146" s="3"/>
      <c r="D146" s="3"/>
      <c r="E146" s="3"/>
      <c r="F146" s="3"/>
      <c r="G146" s="3"/>
      <c r="H146" s="3"/>
      <c r="I146" s="3"/>
    </row>
    <row r="147" spans="1:9" x14ac:dyDescent="0.25">
      <c r="A147" s="3"/>
      <c r="B147" s="3"/>
      <c r="C147" s="3"/>
      <c r="D147" s="3"/>
      <c r="E147" s="3"/>
      <c r="F147" s="3"/>
      <c r="G147" s="3"/>
      <c r="H147" s="3"/>
      <c r="I147" s="3"/>
    </row>
    <row r="148" spans="1:9" x14ac:dyDescent="0.25">
      <c r="A148" s="3"/>
      <c r="B148" s="3"/>
      <c r="C148" s="3"/>
      <c r="D148" s="3"/>
      <c r="E148" s="3"/>
      <c r="F148" s="3"/>
      <c r="G148" s="3"/>
      <c r="H148" s="3"/>
      <c r="I148" s="3"/>
    </row>
    <row r="149" spans="1:9" x14ac:dyDescent="0.25">
      <c r="A149" s="3"/>
      <c r="B149" s="3"/>
      <c r="C149" s="3"/>
      <c r="D149" s="3"/>
      <c r="E149" s="3"/>
      <c r="F149" s="3"/>
      <c r="G149" s="3"/>
      <c r="H149" s="3"/>
      <c r="I149" s="3"/>
    </row>
    <row r="150" spans="1:9" x14ac:dyDescent="0.25">
      <c r="A150" s="3"/>
      <c r="B150" s="3"/>
      <c r="C150" s="3"/>
      <c r="D150" s="3"/>
      <c r="E150" s="3"/>
      <c r="F150" s="3"/>
      <c r="G150" s="3"/>
      <c r="H150" s="3"/>
      <c r="I150" s="3"/>
    </row>
    <row r="151" spans="1:9" x14ac:dyDescent="0.25">
      <c r="A151" s="3"/>
      <c r="B151" s="3"/>
      <c r="C151" s="3"/>
      <c r="D151" s="3"/>
      <c r="E151" s="3"/>
      <c r="F151" s="3"/>
      <c r="G151" s="3"/>
      <c r="H151" s="3"/>
      <c r="I151" s="3"/>
    </row>
    <row r="152" spans="1:9" x14ac:dyDescent="0.25">
      <c r="A152" s="3"/>
      <c r="B152" s="3"/>
      <c r="C152" s="3"/>
      <c r="D152" s="3"/>
      <c r="E152" s="3"/>
      <c r="F152" s="3"/>
      <c r="G152" s="3"/>
      <c r="H152" s="3"/>
      <c r="I152" s="3"/>
    </row>
    <row r="153" spans="1:9" x14ac:dyDescent="0.25">
      <c r="A153" s="3"/>
      <c r="B153" s="3"/>
      <c r="C153" s="3"/>
      <c r="D153" s="3"/>
      <c r="E153" s="3"/>
      <c r="F153" s="3"/>
      <c r="G153" s="3"/>
      <c r="H153" s="3"/>
      <c r="I153" s="3"/>
    </row>
    <row r="154" spans="1:9" x14ac:dyDescent="0.25">
      <c r="A154" s="3"/>
      <c r="B154" s="3"/>
      <c r="C154" s="3"/>
      <c r="D154" s="3"/>
      <c r="E154" s="3"/>
      <c r="F154" s="3"/>
      <c r="G154" s="3"/>
      <c r="H154" s="3"/>
      <c r="I154" s="3"/>
    </row>
    <row r="155" spans="1:9" x14ac:dyDescent="0.25">
      <c r="A155" s="3"/>
      <c r="B155" s="3"/>
      <c r="C155" s="3"/>
      <c r="D155" s="3"/>
      <c r="E155" s="3"/>
      <c r="F155" s="3"/>
      <c r="G155" s="3"/>
      <c r="H155" s="3"/>
      <c r="I155" s="3"/>
    </row>
    <row r="156" spans="1:9" x14ac:dyDescent="0.25">
      <c r="A156" s="3"/>
      <c r="B156" s="3"/>
      <c r="C156" s="3"/>
      <c r="D156" s="3"/>
      <c r="E156" s="3"/>
      <c r="F156" s="3"/>
      <c r="G156" s="3"/>
      <c r="H156" s="3"/>
      <c r="I156" s="3"/>
    </row>
    <row r="157" spans="1:9" x14ac:dyDescent="0.25">
      <c r="A157" s="3"/>
      <c r="B157" s="3"/>
      <c r="C157" s="3"/>
      <c r="D157" s="3"/>
      <c r="E157" s="3"/>
      <c r="F157" s="3"/>
      <c r="G157" s="3"/>
      <c r="H157" s="3"/>
      <c r="I157" s="3"/>
    </row>
    <row r="158" spans="1:9" x14ac:dyDescent="0.25">
      <c r="A158" s="3"/>
      <c r="B158" s="3"/>
      <c r="C158" s="3"/>
      <c r="D158" s="3"/>
      <c r="E158" s="3"/>
      <c r="F158" s="3"/>
      <c r="G158" s="3"/>
      <c r="H158" s="3"/>
      <c r="I158" s="3"/>
    </row>
    <row r="159" spans="1:9" x14ac:dyDescent="0.25">
      <c r="A159" s="3"/>
      <c r="B159" s="3"/>
      <c r="C159" s="3"/>
      <c r="D159" s="3"/>
      <c r="E159" s="3"/>
      <c r="F159" s="3"/>
      <c r="G159" s="3"/>
      <c r="H159" s="3"/>
      <c r="I159" s="3"/>
    </row>
    <row r="160" spans="1:9" x14ac:dyDescent="0.25">
      <c r="A160" s="3"/>
      <c r="B160" s="3"/>
      <c r="C160" s="3"/>
      <c r="D160" s="3"/>
      <c r="E160" s="3"/>
      <c r="F160" s="3"/>
      <c r="G160" s="3"/>
      <c r="H160" s="3"/>
      <c r="I160" s="3"/>
    </row>
    <row r="161" spans="1:9" x14ac:dyDescent="0.25">
      <c r="A161" s="3"/>
      <c r="B161" s="3"/>
      <c r="C161" s="3"/>
      <c r="D161" s="3"/>
      <c r="E161" s="3"/>
      <c r="F161" s="3"/>
      <c r="G161" s="3"/>
      <c r="H161" s="3"/>
      <c r="I161" s="3"/>
    </row>
    <row r="162" spans="1:9" x14ac:dyDescent="0.25">
      <c r="A162" s="3"/>
      <c r="B162" s="3"/>
      <c r="C162" s="3"/>
      <c r="D162" s="3"/>
      <c r="E162" s="3"/>
      <c r="F162" s="3"/>
      <c r="G162" s="3"/>
      <c r="H162" s="3"/>
      <c r="I162" s="3"/>
    </row>
    <row r="163" spans="1:9" x14ac:dyDescent="0.25">
      <c r="A163" s="3"/>
      <c r="B163" s="3"/>
      <c r="C163" s="3"/>
      <c r="D163" s="3"/>
      <c r="E163" s="3"/>
      <c r="F163" s="3"/>
      <c r="G163" s="3"/>
      <c r="H163" s="3"/>
      <c r="I163" s="3"/>
    </row>
    <row r="164" spans="1:9" x14ac:dyDescent="0.25">
      <c r="A164" s="3"/>
      <c r="B164" s="3"/>
      <c r="C164" s="3"/>
      <c r="D164" s="3"/>
      <c r="E164" s="3"/>
      <c r="F164" s="3"/>
      <c r="G164" s="3"/>
      <c r="H164" s="3"/>
      <c r="I164" s="3"/>
    </row>
    <row r="165" spans="1:9" x14ac:dyDescent="0.25">
      <c r="A165" s="3"/>
      <c r="B165" s="3"/>
      <c r="C165" s="3"/>
      <c r="D165" s="3"/>
      <c r="E165" s="3"/>
      <c r="F165" s="3"/>
      <c r="G165" s="3"/>
      <c r="H165" s="3"/>
      <c r="I165" s="3"/>
    </row>
    <row r="166" spans="1:9" x14ac:dyDescent="0.25">
      <c r="A166" s="3"/>
      <c r="B166" s="3"/>
      <c r="C166" s="3"/>
      <c r="D166" s="3"/>
      <c r="E166" s="3"/>
      <c r="F166" s="3"/>
      <c r="G166" s="3"/>
      <c r="H166" s="3"/>
      <c r="I166" s="3"/>
    </row>
    <row r="167" spans="1:9" x14ac:dyDescent="0.25">
      <c r="A167" s="3"/>
      <c r="B167" s="3"/>
      <c r="C167" s="3"/>
      <c r="D167" s="3"/>
      <c r="E167" s="3"/>
      <c r="F167" s="3"/>
      <c r="G167" s="3"/>
      <c r="H167" s="3"/>
      <c r="I167" s="3"/>
    </row>
    <row r="168" spans="1:9" x14ac:dyDescent="0.25">
      <c r="A168" s="3"/>
      <c r="B168" s="3"/>
      <c r="C168" s="3"/>
      <c r="D168" s="3"/>
      <c r="E168" s="3"/>
      <c r="F168" s="3"/>
      <c r="G168" s="3"/>
      <c r="H168" s="3"/>
      <c r="I168" s="3"/>
    </row>
    <row r="169" spans="1:9" x14ac:dyDescent="0.25">
      <c r="A169" s="3"/>
      <c r="B169" s="3"/>
      <c r="C169" s="3"/>
      <c r="D169" s="3"/>
      <c r="E169" s="3"/>
      <c r="F169" s="3"/>
      <c r="G169" s="3"/>
      <c r="H169" s="3"/>
      <c r="I169" s="3"/>
    </row>
    <row r="170" spans="1:9" x14ac:dyDescent="0.25">
      <c r="A170" s="3"/>
      <c r="B170" s="3"/>
      <c r="C170" s="3"/>
      <c r="D170" s="3"/>
      <c r="E170" s="3"/>
      <c r="F170" s="3"/>
      <c r="G170" s="3"/>
      <c r="H170" s="3"/>
      <c r="I170" s="3"/>
    </row>
    <row r="171" spans="1:9" x14ac:dyDescent="0.25">
      <c r="A171" s="3"/>
      <c r="B171" s="3"/>
      <c r="C171" s="3"/>
      <c r="D171" s="3"/>
      <c r="E171" s="3"/>
      <c r="F171" s="3"/>
      <c r="G171" s="3"/>
      <c r="H171" s="3"/>
      <c r="I171" s="3"/>
    </row>
    <row r="172" spans="1:9" x14ac:dyDescent="0.25">
      <c r="A172" s="3"/>
      <c r="B172" s="3"/>
      <c r="C172" s="3"/>
      <c r="D172" s="3"/>
      <c r="E172" s="3"/>
      <c r="F172" s="3"/>
      <c r="G172" s="3"/>
      <c r="H172" s="3"/>
      <c r="I172" s="3"/>
    </row>
    <row r="173" spans="1:9" x14ac:dyDescent="0.25">
      <c r="A173" s="3"/>
      <c r="B173" s="3"/>
      <c r="C173" s="3"/>
      <c r="D173" s="3"/>
      <c r="E173" s="3"/>
      <c r="F173" s="3"/>
      <c r="G173" s="3"/>
      <c r="H173" s="3"/>
      <c r="I173" s="3"/>
    </row>
    <row r="174" spans="1:9" x14ac:dyDescent="0.25">
      <c r="A174" s="3"/>
      <c r="B174" s="3"/>
      <c r="C174" s="3"/>
      <c r="D174" s="3"/>
      <c r="E174" s="3"/>
      <c r="F174" s="3"/>
      <c r="G174" s="3"/>
      <c r="H174" s="3"/>
      <c r="I174" s="3"/>
    </row>
    <row r="175" spans="1:9" x14ac:dyDescent="0.25">
      <c r="A175" s="3"/>
      <c r="B175" s="3"/>
      <c r="C175" s="3"/>
      <c r="D175" s="3"/>
      <c r="E175" s="3"/>
      <c r="F175" s="3"/>
      <c r="G175" s="3"/>
      <c r="H175" s="3"/>
      <c r="I175" s="3"/>
    </row>
    <row r="176" spans="1:9" x14ac:dyDescent="0.25">
      <c r="A176" s="3"/>
      <c r="B176" s="3"/>
      <c r="C176" s="3"/>
      <c r="D176" s="3"/>
      <c r="E176" s="3"/>
      <c r="F176" s="3"/>
      <c r="G176" s="3"/>
      <c r="H176" s="3"/>
      <c r="I176" s="3"/>
    </row>
    <row r="177" spans="1:9" x14ac:dyDescent="0.25">
      <c r="A177" s="3"/>
      <c r="B177" s="3"/>
      <c r="C177" s="3"/>
      <c r="D177" s="3"/>
      <c r="E177" s="3"/>
      <c r="F177" s="3"/>
      <c r="G177" s="3"/>
      <c r="H177" s="3"/>
      <c r="I177" s="3"/>
    </row>
    <row r="178" spans="1:9" x14ac:dyDescent="0.25">
      <c r="A178" s="3"/>
      <c r="B178" s="3"/>
      <c r="C178" s="3"/>
      <c r="D178" s="3"/>
      <c r="E178" s="3"/>
      <c r="F178" s="3"/>
      <c r="G178" s="3"/>
      <c r="H178" s="3"/>
      <c r="I178" s="3"/>
    </row>
    <row r="179" spans="1:9" x14ac:dyDescent="0.25">
      <c r="A179" s="3"/>
      <c r="B179" s="3"/>
      <c r="C179" s="3"/>
      <c r="D179" s="3"/>
      <c r="E179" s="3"/>
      <c r="F179" s="3"/>
      <c r="G179" s="3"/>
      <c r="H179" s="3"/>
      <c r="I179" s="3"/>
    </row>
    <row r="180" spans="1:9" x14ac:dyDescent="0.25">
      <c r="A180" s="3"/>
      <c r="B180" s="3"/>
      <c r="C180" s="3"/>
      <c r="D180" s="3"/>
      <c r="E180" s="3"/>
      <c r="F180" s="3"/>
      <c r="G180" s="3"/>
      <c r="H180" s="3"/>
      <c r="I180" s="3"/>
    </row>
    <row r="181" spans="1:9" x14ac:dyDescent="0.25">
      <c r="A181" s="3"/>
      <c r="B181" s="3"/>
      <c r="C181" s="3"/>
      <c r="D181" s="3"/>
      <c r="E181" s="3"/>
      <c r="F181" s="3"/>
      <c r="G181" s="3"/>
      <c r="H181" s="3"/>
      <c r="I181" s="3"/>
    </row>
    <row r="182" spans="1:9" x14ac:dyDescent="0.25">
      <c r="A182" s="3"/>
      <c r="B182" s="3"/>
      <c r="C182" s="3"/>
      <c r="D182" s="3"/>
      <c r="E182" s="3"/>
      <c r="F182" s="3"/>
      <c r="G182" s="3"/>
      <c r="H182" s="3"/>
      <c r="I182" s="3"/>
    </row>
    <row r="183" spans="1:9" x14ac:dyDescent="0.25">
      <c r="A183" s="3"/>
      <c r="B183" s="3"/>
      <c r="C183" s="3"/>
      <c r="D183" s="3"/>
      <c r="E183" s="3"/>
      <c r="F183" s="3"/>
      <c r="G183" s="3"/>
      <c r="H183" s="3"/>
      <c r="I183" s="3"/>
    </row>
    <row r="184" spans="1:9" x14ac:dyDescent="0.25">
      <c r="A184" s="3"/>
      <c r="B184" s="3"/>
      <c r="C184" s="3"/>
      <c r="D184" s="3"/>
      <c r="E184" s="3"/>
      <c r="F184" s="3"/>
      <c r="G184" s="3"/>
      <c r="H184" s="3"/>
      <c r="I184" s="3"/>
    </row>
    <row r="185" spans="1:9" x14ac:dyDescent="0.25">
      <c r="A185" s="3"/>
      <c r="B185" s="3"/>
      <c r="C185" s="3"/>
      <c r="D185" s="3"/>
      <c r="E185" s="3"/>
      <c r="F185" s="3"/>
      <c r="G185" s="3"/>
      <c r="H185" s="3"/>
      <c r="I185" s="3"/>
    </row>
    <row r="186" spans="1:9" x14ac:dyDescent="0.25">
      <c r="A186" s="3"/>
      <c r="B186" s="3"/>
      <c r="C186" s="3"/>
      <c r="D186" s="3"/>
      <c r="E186" s="3"/>
      <c r="F186" s="3"/>
      <c r="G186" s="3"/>
      <c r="H186" s="3"/>
      <c r="I186" s="3"/>
    </row>
    <row r="187" spans="1:9" x14ac:dyDescent="0.25">
      <c r="A187" s="3"/>
      <c r="B187" s="3"/>
      <c r="C187" s="3"/>
      <c r="D187" s="3"/>
      <c r="E187" s="3"/>
      <c r="F187" s="3"/>
      <c r="G187" s="3"/>
      <c r="H187" s="3"/>
      <c r="I187" s="3"/>
    </row>
    <row r="188" spans="1:9" x14ac:dyDescent="0.25">
      <c r="A188" s="3"/>
      <c r="B188" s="3"/>
      <c r="C188" s="3"/>
      <c r="D188" s="3"/>
      <c r="E188" s="3"/>
      <c r="F188" s="3"/>
      <c r="G188" s="3"/>
      <c r="H188" s="3"/>
      <c r="I188" s="3"/>
    </row>
    <row r="189" spans="1:9" x14ac:dyDescent="0.25">
      <c r="A189" s="3"/>
      <c r="B189" s="3"/>
      <c r="C189" s="3"/>
      <c r="D189" s="3"/>
      <c r="E189" s="3"/>
      <c r="F189" s="3"/>
      <c r="G189" s="3"/>
      <c r="H189" s="3"/>
      <c r="I189" s="3"/>
    </row>
    <row r="190" spans="1:9" x14ac:dyDescent="0.25">
      <c r="A190" s="3"/>
      <c r="B190" s="3"/>
      <c r="C190" s="3"/>
      <c r="D190" s="3"/>
      <c r="E190" s="3"/>
      <c r="F190" s="3"/>
      <c r="G190" s="3"/>
      <c r="H190" s="3"/>
      <c r="I190" s="3"/>
    </row>
    <row r="191" spans="1:9" x14ac:dyDescent="0.25">
      <c r="A191" s="3"/>
      <c r="B191" s="3"/>
      <c r="C191" s="3"/>
      <c r="D191" s="3"/>
      <c r="E191" s="3"/>
      <c r="F191" s="3"/>
      <c r="G191" s="3"/>
      <c r="H191" s="3"/>
      <c r="I191" s="3"/>
    </row>
    <row r="192" spans="1:9" x14ac:dyDescent="0.25">
      <c r="A192" s="3"/>
      <c r="B192" s="3"/>
      <c r="C192" s="3"/>
      <c r="D192" s="3"/>
      <c r="E192" s="3"/>
      <c r="F192" s="3"/>
      <c r="G192" s="3"/>
      <c r="H192" s="3"/>
      <c r="I192" s="3"/>
    </row>
    <row r="193" spans="1:9" x14ac:dyDescent="0.25">
      <c r="A193" s="3"/>
      <c r="B193" s="3"/>
      <c r="C193" s="3"/>
      <c r="D193" s="3"/>
      <c r="E193" s="3"/>
      <c r="F193" s="3"/>
      <c r="G193" s="3"/>
      <c r="H193" s="3"/>
      <c r="I193" s="3"/>
    </row>
    <row r="194" spans="1:9" x14ac:dyDescent="0.25">
      <c r="A194" s="3"/>
      <c r="B194" s="3"/>
      <c r="C194" s="3"/>
      <c r="D194" s="3"/>
      <c r="E194" s="3"/>
      <c r="F194" s="3"/>
      <c r="G194" s="3"/>
      <c r="H194" s="3"/>
      <c r="I194" s="3"/>
    </row>
    <row r="195" spans="1:9" x14ac:dyDescent="0.25">
      <c r="A195" s="3"/>
      <c r="B195" s="3"/>
      <c r="C195" s="3"/>
      <c r="D195" s="3"/>
      <c r="E195" s="3"/>
      <c r="F195" s="3"/>
      <c r="G195" s="3"/>
      <c r="H195" s="3"/>
      <c r="I195" s="3"/>
    </row>
    <row r="196" spans="1:9" x14ac:dyDescent="0.25">
      <c r="A196" s="3"/>
      <c r="B196" s="3"/>
      <c r="C196" s="3"/>
      <c r="D196" s="3"/>
      <c r="E196" s="3"/>
      <c r="F196" s="3"/>
      <c r="G196" s="3"/>
      <c r="H196" s="3"/>
      <c r="I196" s="3"/>
    </row>
    <row r="197" spans="1:9" x14ac:dyDescent="0.25">
      <c r="A197" s="3"/>
      <c r="B197" s="3"/>
      <c r="C197" s="3"/>
      <c r="D197" s="3"/>
      <c r="E197" s="3"/>
      <c r="F197" s="3"/>
      <c r="G197" s="3"/>
      <c r="H197" s="3"/>
      <c r="I197" s="3"/>
    </row>
    <row r="198" spans="1:9" x14ac:dyDescent="0.25">
      <c r="A198" s="3"/>
      <c r="B198" s="3"/>
      <c r="C198" s="3"/>
      <c r="D198" s="3"/>
      <c r="E198" s="3"/>
      <c r="F198" s="3"/>
      <c r="G198" s="3"/>
      <c r="H198" s="3"/>
      <c r="I198" s="3"/>
    </row>
    <row r="199" spans="1:9" x14ac:dyDescent="0.25">
      <c r="A199" s="3"/>
      <c r="B199" s="3"/>
      <c r="C199" s="3"/>
      <c r="D199" s="3"/>
      <c r="E199" s="3"/>
      <c r="F199" s="3"/>
      <c r="G199" s="3"/>
      <c r="H199" s="3"/>
      <c r="I199" s="3"/>
    </row>
    <row r="200" spans="1:9" x14ac:dyDescent="0.25">
      <c r="A200" s="3"/>
      <c r="B200" s="3"/>
      <c r="C200" s="3"/>
      <c r="D200" s="3"/>
      <c r="E200" s="3"/>
      <c r="F200" s="3"/>
      <c r="G200" s="3"/>
      <c r="H200" s="3"/>
      <c r="I200" s="3"/>
    </row>
    <row r="201" spans="1:9" x14ac:dyDescent="0.25">
      <c r="A201" s="3"/>
      <c r="B201" s="3"/>
      <c r="C201" s="3"/>
      <c r="D201" s="3"/>
      <c r="E201" s="3"/>
      <c r="F201" s="3"/>
      <c r="G201" s="3"/>
      <c r="H201" s="3"/>
      <c r="I201" s="3"/>
    </row>
    <row r="202" spans="1:9" x14ac:dyDescent="0.25">
      <c r="A202" s="3"/>
      <c r="B202" s="3"/>
      <c r="C202" s="3"/>
      <c r="D202" s="3"/>
      <c r="E202" s="3"/>
      <c r="F202" s="3"/>
      <c r="G202" s="3"/>
      <c r="H202" s="3"/>
      <c r="I202" s="3"/>
    </row>
    <row r="203" spans="1:9" x14ac:dyDescent="0.25">
      <c r="A203" s="3"/>
      <c r="B203" s="3"/>
      <c r="C203" s="3"/>
      <c r="D203" s="3"/>
      <c r="E203" s="3"/>
      <c r="F203" s="3"/>
      <c r="G203" s="3"/>
      <c r="H203" s="3"/>
      <c r="I203" s="3"/>
    </row>
    <row r="204" spans="1:9" x14ac:dyDescent="0.25">
      <c r="A204" s="3"/>
      <c r="B204" s="3"/>
      <c r="C204" s="3"/>
      <c r="D204" s="3"/>
      <c r="E204" s="3"/>
      <c r="F204" s="3"/>
      <c r="G204" s="3"/>
      <c r="H204" s="3"/>
      <c r="I204" s="3"/>
    </row>
    <row r="205" spans="1:9" x14ac:dyDescent="0.25">
      <c r="A205" s="3"/>
      <c r="B205" s="3"/>
      <c r="C205" s="3"/>
      <c r="D205" s="3"/>
      <c r="E205" s="3"/>
      <c r="F205" s="3"/>
      <c r="G205" s="3"/>
      <c r="H205" s="3"/>
      <c r="I205" s="3"/>
    </row>
    <row r="206" spans="1:9" x14ac:dyDescent="0.25">
      <c r="A206" s="3"/>
      <c r="B206" s="3"/>
      <c r="C206" s="3"/>
      <c r="D206" s="3"/>
      <c r="E206" s="3"/>
      <c r="F206" s="3"/>
      <c r="G206" s="3"/>
      <c r="H206" s="3"/>
      <c r="I206" s="3"/>
    </row>
    <row r="207" spans="1:9" x14ac:dyDescent="0.25">
      <c r="A207" s="3"/>
      <c r="B207" s="3"/>
      <c r="C207" s="3"/>
      <c r="D207" s="3"/>
      <c r="E207" s="3"/>
      <c r="F207" s="3"/>
      <c r="G207" s="3"/>
      <c r="H207" s="3"/>
      <c r="I207" s="3"/>
    </row>
    <row r="208" spans="1:9" x14ac:dyDescent="0.25">
      <c r="A208" s="3"/>
      <c r="B208" s="3"/>
      <c r="C208" s="3"/>
      <c r="D208" s="3"/>
      <c r="E208" s="3"/>
      <c r="F208" s="3"/>
      <c r="G208" s="3"/>
      <c r="H208" s="3"/>
      <c r="I208" s="3"/>
    </row>
    <row r="209" spans="1:9" x14ac:dyDescent="0.25">
      <c r="A209" s="3"/>
      <c r="B209" s="3"/>
      <c r="C209" s="3"/>
      <c r="D209" s="3"/>
      <c r="E209" s="3"/>
      <c r="F209" s="3"/>
      <c r="G209" s="3"/>
      <c r="H209" s="3"/>
      <c r="I209" s="3"/>
    </row>
    <row r="210" spans="1:9" x14ac:dyDescent="0.25">
      <c r="A210" s="3"/>
      <c r="B210" s="3"/>
      <c r="C210" s="3"/>
      <c r="D210" s="3"/>
      <c r="E210" s="3"/>
      <c r="F210" s="3"/>
      <c r="G210" s="3"/>
      <c r="H210" s="3"/>
      <c r="I210" s="3"/>
    </row>
    <row r="211" spans="1:9" x14ac:dyDescent="0.25">
      <c r="A211" s="3"/>
      <c r="B211" s="3"/>
      <c r="C211" s="3"/>
      <c r="D211" s="3"/>
      <c r="E211" s="3"/>
      <c r="F211" s="3"/>
      <c r="G211" s="3"/>
      <c r="H211" s="3"/>
      <c r="I211" s="3"/>
    </row>
    <row r="212" spans="1:9" x14ac:dyDescent="0.25">
      <c r="A212" s="3"/>
      <c r="B212" s="3"/>
      <c r="C212" s="3"/>
      <c r="D212" s="3"/>
      <c r="E212" s="3"/>
      <c r="F212" s="3"/>
      <c r="G212" s="3"/>
      <c r="H212" s="3"/>
      <c r="I212" s="3"/>
    </row>
    <row r="213" spans="1:9" x14ac:dyDescent="0.25">
      <c r="A213" s="3"/>
      <c r="B213" s="3"/>
      <c r="C213" s="3"/>
      <c r="D213" s="3"/>
      <c r="E213" s="3"/>
      <c r="F213" s="3"/>
      <c r="G213" s="3"/>
      <c r="H213" s="3"/>
      <c r="I213" s="3"/>
    </row>
    <row r="214" spans="1:9" x14ac:dyDescent="0.25">
      <c r="A214" s="3"/>
      <c r="B214" s="3"/>
      <c r="C214" s="3"/>
      <c r="D214" s="3"/>
      <c r="E214" s="3"/>
      <c r="F214" s="3"/>
      <c r="G214" s="3"/>
      <c r="H214" s="3"/>
      <c r="I214" s="3"/>
    </row>
    <row r="215" spans="1:9" x14ac:dyDescent="0.25">
      <c r="A215" s="3"/>
      <c r="B215" s="3"/>
      <c r="C215" s="3"/>
      <c r="D215" s="3"/>
      <c r="E215" s="3"/>
      <c r="F215" s="3"/>
      <c r="G215" s="3"/>
      <c r="H215" s="3"/>
      <c r="I215" s="3"/>
    </row>
    <row r="216" spans="1:9" x14ac:dyDescent="0.25">
      <c r="A216" s="3"/>
      <c r="B216" s="3"/>
      <c r="C216" s="3"/>
      <c r="D216" s="3"/>
      <c r="E216" s="3"/>
      <c r="F216" s="3"/>
      <c r="G216" s="3"/>
      <c r="H216" s="3"/>
      <c r="I216" s="3"/>
    </row>
    <row r="217" spans="1:9" x14ac:dyDescent="0.25">
      <c r="A217" s="3"/>
      <c r="B217" s="3"/>
      <c r="C217" s="3"/>
      <c r="D217" s="3"/>
      <c r="E217" s="3"/>
      <c r="F217" s="3"/>
      <c r="G217" s="3"/>
      <c r="H217" s="3"/>
      <c r="I217" s="3"/>
    </row>
    <row r="218" spans="1:9" x14ac:dyDescent="0.25">
      <c r="A218" s="3"/>
      <c r="B218" s="3"/>
      <c r="C218" s="3"/>
      <c r="D218" s="3"/>
      <c r="E218" s="3"/>
      <c r="F218" s="3"/>
      <c r="G218" s="3"/>
      <c r="H218" s="3"/>
      <c r="I218" s="3"/>
    </row>
    <row r="219" spans="1:9" x14ac:dyDescent="0.25">
      <c r="A219" s="3"/>
      <c r="B219" s="3"/>
      <c r="C219" s="3"/>
      <c r="D219" s="3"/>
      <c r="E219" s="3"/>
      <c r="F219" s="3"/>
      <c r="G219" s="3"/>
      <c r="H219" s="3"/>
      <c r="I219" s="3"/>
    </row>
    <row r="220" spans="1:9" x14ac:dyDescent="0.25">
      <c r="A220" s="3"/>
      <c r="B220" s="3"/>
      <c r="C220" s="3"/>
      <c r="D220" s="3"/>
      <c r="E220" s="3"/>
      <c r="F220" s="3"/>
      <c r="G220" s="3"/>
      <c r="H220" s="3"/>
      <c r="I220" s="3"/>
    </row>
    <row r="221" spans="1:9" x14ac:dyDescent="0.25">
      <c r="A221" s="3"/>
      <c r="B221" s="3"/>
      <c r="C221" s="3"/>
      <c r="D221" s="3"/>
      <c r="E221" s="3"/>
      <c r="F221" s="3"/>
      <c r="G221" s="3"/>
      <c r="H221" s="3"/>
      <c r="I221" s="3"/>
    </row>
    <row r="222" spans="1:9" x14ac:dyDescent="0.25">
      <c r="A222" s="3"/>
      <c r="B222" s="3"/>
      <c r="C222" s="3"/>
      <c r="D222" s="3"/>
      <c r="E222" s="3"/>
      <c r="F222" s="3"/>
      <c r="G222" s="3"/>
      <c r="H222" s="3"/>
      <c r="I222" s="3"/>
    </row>
    <row r="223" spans="1:9" x14ac:dyDescent="0.25">
      <c r="A223" s="3"/>
      <c r="B223" s="3"/>
      <c r="C223" s="3"/>
      <c r="D223" s="3"/>
      <c r="E223" s="3"/>
      <c r="F223" s="3"/>
      <c r="G223" s="3"/>
      <c r="H223" s="3"/>
      <c r="I223" s="3"/>
    </row>
    <row r="224" spans="1:9" x14ac:dyDescent="0.25">
      <c r="A224" s="3"/>
      <c r="B224" s="3"/>
      <c r="C224" s="3"/>
      <c r="D224" s="3"/>
      <c r="E224" s="3"/>
      <c r="F224" s="3"/>
      <c r="G224" s="3"/>
      <c r="H224" s="3"/>
      <c r="I224" s="3"/>
    </row>
    <row r="225" spans="1:9" x14ac:dyDescent="0.25">
      <c r="A225" s="3"/>
      <c r="B225" s="3"/>
      <c r="C225" s="3"/>
      <c r="D225" s="3"/>
      <c r="E225" s="3"/>
      <c r="F225" s="3"/>
      <c r="G225" s="3"/>
      <c r="H225" s="3"/>
      <c r="I225" s="3"/>
    </row>
    <row r="226" spans="1:9" x14ac:dyDescent="0.25">
      <c r="A226" s="3"/>
      <c r="B226" s="3"/>
      <c r="C226" s="3"/>
      <c r="D226" s="3"/>
      <c r="E226" s="3"/>
      <c r="F226" s="3"/>
      <c r="G226" s="3"/>
      <c r="H226" s="3"/>
      <c r="I226" s="3"/>
    </row>
    <row r="227" spans="1:9" x14ac:dyDescent="0.25">
      <c r="A227" s="3"/>
      <c r="B227" s="3"/>
      <c r="C227" s="3"/>
      <c r="D227" s="3"/>
      <c r="E227" s="3"/>
      <c r="F227" s="3"/>
      <c r="G227" s="3"/>
      <c r="H227" s="3"/>
      <c r="I227" s="3"/>
    </row>
    <row r="228" spans="1:9" x14ac:dyDescent="0.25">
      <c r="A228" s="3"/>
      <c r="B228" s="3"/>
      <c r="C228" s="3"/>
      <c r="D228" s="3"/>
      <c r="E228" s="3"/>
      <c r="F228" s="3"/>
      <c r="G228" s="3"/>
      <c r="H228" s="3"/>
      <c r="I228" s="3"/>
    </row>
    <row r="229" spans="1:9" x14ac:dyDescent="0.25">
      <c r="A229" s="3"/>
      <c r="B229" s="3"/>
      <c r="C229" s="3"/>
      <c r="D229" s="3"/>
      <c r="E229" s="3"/>
      <c r="F229" s="3"/>
      <c r="G229" s="3"/>
      <c r="H229" s="3"/>
      <c r="I229" s="3"/>
    </row>
    <row r="230" spans="1:9" x14ac:dyDescent="0.25">
      <c r="A230" s="3"/>
      <c r="B230" s="3"/>
      <c r="C230" s="3"/>
      <c r="D230" s="3"/>
      <c r="E230" s="3"/>
      <c r="F230" s="3"/>
      <c r="G230" s="3"/>
      <c r="H230" s="3"/>
      <c r="I230" s="3"/>
    </row>
    <row r="231" spans="1:9" x14ac:dyDescent="0.25">
      <c r="A231" s="3"/>
      <c r="B231" s="3"/>
      <c r="C231" s="3"/>
      <c r="D231" s="3"/>
      <c r="E231" s="3"/>
      <c r="F231" s="3"/>
      <c r="G231" s="3"/>
      <c r="H231" s="3"/>
      <c r="I231" s="3"/>
    </row>
    <row r="232" spans="1:9" x14ac:dyDescent="0.25">
      <c r="A232" s="3"/>
      <c r="B232" s="3"/>
      <c r="C232" s="3"/>
      <c r="D232" s="3"/>
      <c r="E232" s="3"/>
      <c r="F232" s="3"/>
      <c r="G232" s="3"/>
      <c r="H232" s="3"/>
      <c r="I232" s="3"/>
    </row>
    <row r="233" spans="1:9" x14ac:dyDescent="0.25">
      <c r="A233" s="3"/>
      <c r="B233" s="3"/>
      <c r="C233" s="3"/>
      <c r="D233" s="3"/>
      <c r="E233" s="3"/>
      <c r="F233" s="3"/>
      <c r="G233" s="3"/>
      <c r="H233" s="3"/>
      <c r="I233" s="3"/>
    </row>
    <row r="234" spans="1:9" x14ac:dyDescent="0.25">
      <c r="A234" s="3"/>
      <c r="B234" s="3"/>
      <c r="C234" s="3"/>
      <c r="D234" s="3"/>
      <c r="E234" s="3"/>
      <c r="F234" s="3"/>
      <c r="G234" s="3"/>
      <c r="H234" s="3"/>
      <c r="I234" s="3"/>
    </row>
    <row r="235" spans="1:9" x14ac:dyDescent="0.25">
      <c r="A235" s="3"/>
      <c r="B235" s="3"/>
      <c r="C235" s="3"/>
      <c r="D235" s="3"/>
      <c r="E235" s="3"/>
      <c r="F235" s="3"/>
      <c r="G235" s="3"/>
      <c r="H235" s="3"/>
      <c r="I235" s="3"/>
    </row>
    <row r="236" spans="1:9" x14ac:dyDescent="0.25">
      <c r="A236" s="3"/>
      <c r="B236" s="3"/>
      <c r="C236" s="3"/>
      <c r="D236" s="3"/>
      <c r="E236" s="3"/>
      <c r="F236" s="3"/>
      <c r="G236" s="3"/>
      <c r="H236" s="3"/>
      <c r="I236" s="3"/>
    </row>
    <row r="237" spans="1:9" x14ac:dyDescent="0.25">
      <c r="A237" s="3"/>
      <c r="B237" s="3"/>
      <c r="C237" s="3"/>
      <c r="D237" s="3"/>
      <c r="E237" s="3"/>
      <c r="F237" s="3"/>
      <c r="G237" s="3"/>
      <c r="H237" s="3"/>
      <c r="I237" s="3"/>
    </row>
    <row r="238" spans="1:9" x14ac:dyDescent="0.25">
      <c r="A238" s="3"/>
      <c r="B238" s="3"/>
      <c r="C238" s="3"/>
      <c r="D238" s="3"/>
      <c r="E238" s="3"/>
      <c r="F238" s="3"/>
      <c r="G238" s="3"/>
      <c r="H238" s="3"/>
      <c r="I238" s="3"/>
    </row>
    <row r="239" spans="1:9" x14ac:dyDescent="0.25">
      <c r="A239" s="3"/>
      <c r="B239" s="3"/>
      <c r="C239" s="3"/>
      <c r="D239" s="3"/>
      <c r="E239" s="3"/>
      <c r="F239" s="3"/>
      <c r="G239" s="3"/>
      <c r="H239" s="3"/>
      <c r="I239" s="3"/>
    </row>
    <row r="240" spans="1:9" x14ac:dyDescent="0.25">
      <c r="A240" s="3"/>
      <c r="B240" s="3"/>
      <c r="C240" s="3"/>
      <c r="D240" s="3"/>
      <c r="E240" s="3"/>
      <c r="F240" s="3"/>
      <c r="G240" s="3"/>
      <c r="H240" s="3"/>
      <c r="I240" s="3"/>
    </row>
    <row r="241" spans="1:9" x14ac:dyDescent="0.25">
      <c r="A241" s="3"/>
      <c r="B241" s="3"/>
      <c r="C241" s="3"/>
      <c r="D241" s="3"/>
      <c r="E241" s="3"/>
      <c r="F241" s="3"/>
      <c r="G241" s="3"/>
      <c r="H241" s="3"/>
      <c r="I241" s="3"/>
    </row>
    <row r="242" spans="1:9" x14ac:dyDescent="0.25">
      <c r="A242" s="3"/>
      <c r="B242" s="3"/>
      <c r="C242" s="3"/>
      <c r="D242" s="3"/>
      <c r="E242" s="3"/>
      <c r="F242" s="3"/>
      <c r="G242" s="3"/>
      <c r="H242" s="3"/>
      <c r="I242" s="3"/>
    </row>
    <row r="243" spans="1:9" x14ac:dyDescent="0.25">
      <c r="A243" s="3"/>
      <c r="B243" s="3"/>
      <c r="C243" s="3"/>
      <c r="D243" s="3"/>
      <c r="E243" s="3"/>
      <c r="F243" s="3"/>
      <c r="G243" s="3"/>
      <c r="H243" s="3"/>
      <c r="I243" s="3"/>
    </row>
    <row r="244" spans="1:9" x14ac:dyDescent="0.25">
      <c r="A244" s="3"/>
      <c r="B244" s="3"/>
      <c r="C244" s="3"/>
      <c r="D244" s="3"/>
      <c r="E244" s="3"/>
      <c r="F244" s="3"/>
      <c r="G244" s="3"/>
      <c r="H244" s="3"/>
      <c r="I244" s="3"/>
    </row>
    <row r="245" spans="1:9" x14ac:dyDescent="0.25">
      <c r="A245" s="3"/>
      <c r="B245" s="3"/>
      <c r="C245" s="3"/>
      <c r="D245" s="3"/>
      <c r="E245" s="3"/>
      <c r="F245" s="3"/>
      <c r="G245" s="3"/>
      <c r="H245" s="3"/>
      <c r="I245" s="3"/>
    </row>
    <row r="246" spans="1:9" x14ac:dyDescent="0.25">
      <c r="A246" s="3"/>
      <c r="B246" s="3"/>
      <c r="C246" s="3"/>
      <c r="D246" s="3"/>
      <c r="E246" s="3"/>
      <c r="F246" s="3"/>
      <c r="G246" s="3"/>
      <c r="H246" s="3"/>
      <c r="I246" s="3"/>
    </row>
    <row r="247" spans="1:9" x14ac:dyDescent="0.25">
      <c r="A247" s="3"/>
      <c r="B247" s="3"/>
      <c r="C247" s="3"/>
      <c r="D247" s="3"/>
      <c r="E247" s="3"/>
      <c r="F247" s="3"/>
      <c r="G247" s="3"/>
      <c r="H247" s="3"/>
      <c r="I247" s="3"/>
    </row>
    <row r="248" spans="1:9" x14ac:dyDescent="0.25">
      <c r="A248" s="3"/>
      <c r="B248" s="3"/>
      <c r="C248" s="3"/>
      <c r="D248" s="3"/>
      <c r="E248" s="3"/>
      <c r="F248" s="3"/>
      <c r="G248" s="3"/>
      <c r="H248" s="3"/>
      <c r="I248" s="3"/>
    </row>
    <row r="249" spans="1:9" x14ac:dyDescent="0.25">
      <c r="A249" s="3"/>
      <c r="B249" s="3"/>
      <c r="C249" s="3"/>
      <c r="D249" s="3"/>
      <c r="E249" s="3"/>
      <c r="F249" s="3"/>
      <c r="G249" s="3"/>
      <c r="H249" s="3"/>
      <c r="I249" s="3"/>
    </row>
    <row r="250" spans="1:9" x14ac:dyDescent="0.25">
      <c r="A250" s="3"/>
      <c r="B250" s="3"/>
      <c r="C250" s="3"/>
      <c r="D250" s="3"/>
      <c r="E250" s="3"/>
      <c r="F250" s="3"/>
      <c r="G250" s="3"/>
      <c r="H250" s="3"/>
      <c r="I250" s="3"/>
    </row>
    <row r="251" spans="1:9" x14ac:dyDescent="0.25">
      <c r="A251" s="3"/>
      <c r="B251" s="3"/>
      <c r="C251" s="3"/>
      <c r="D251" s="3"/>
      <c r="E251" s="3"/>
      <c r="F251" s="3"/>
      <c r="G251" s="3"/>
      <c r="H251" s="3"/>
      <c r="I251" s="3"/>
    </row>
    <row r="252" spans="1:9" x14ac:dyDescent="0.25">
      <c r="A252" s="3"/>
      <c r="B252" s="3"/>
      <c r="C252" s="3"/>
      <c r="D252" s="3"/>
      <c r="E252" s="3"/>
      <c r="F252" s="3"/>
      <c r="G252" s="3"/>
      <c r="H252" s="3"/>
      <c r="I252" s="3"/>
    </row>
    <row r="253" spans="1:9" x14ac:dyDescent="0.25">
      <c r="A253" s="3"/>
      <c r="B253" s="3"/>
      <c r="C253" s="3"/>
      <c r="D253" s="3"/>
      <c r="E253" s="3"/>
      <c r="F253" s="3"/>
      <c r="G253" s="3"/>
      <c r="H253" s="3"/>
      <c r="I253" s="3"/>
    </row>
    <row r="254" spans="1:9" x14ac:dyDescent="0.25">
      <c r="A254" s="3"/>
      <c r="B254" s="3"/>
      <c r="C254" s="3"/>
      <c r="D254" s="3"/>
      <c r="E254" s="3"/>
      <c r="F254" s="3"/>
      <c r="G254" s="3"/>
      <c r="H254" s="3"/>
      <c r="I254" s="3"/>
    </row>
    <row r="255" spans="1:9" x14ac:dyDescent="0.25">
      <c r="A255" s="3"/>
      <c r="B255" s="3"/>
      <c r="C255" s="3"/>
      <c r="D255" s="3"/>
      <c r="E255" s="3"/>
      <c r="F255" s="3"/>
      <c r="G255" s="3"/>
      <c r="H255" s="3"/>
      <c r="I255" s="3"/>
    </row>
    <row r="256" spans="1:9" x14ac:dyDescent="0.25">
      <c r="A256" s="3"/>
      <c r="B256" s="3"/>
      <c r="C256" s="3"/>
      <c r="D256" s="3"/>
      <c r="E256" s="3"/>
      <c r="F256" s="3"/>
      <c r="G256" s="3"/>
      <c r="H256" s="3"/>
      <c r="I256" s="3"/>
    </row>
    <row r="257" spans="1:9" x14ac:dyDescent="0.25">
      <c r="A257" s="3"/>
      <c r="B257" s="3"/>
      <c r="C257" s="3"/>
      <c r="D257" s="3"/>
      <c r="E257" s="3"/>
      <c r="F257" s="3"/>
      <c r="G257" s="3"/>
      <c r="H257" s="3"/>
      <c r="I257" s="3"/>
    </row>
    <row r="258" spans="1:9" x14ac:dyDescent="0.25">
      <c r="A258" s="3"/>
      <c r="B258" s="3"/>
      <c r="C258" s="3"/>
      <c r="D258" s="3"/>
      <c r="E258" s="3"/>
      <c r="F258" s="3"/>
      <c r="G258" s="3"/>
      <c r="H258" s="3"/>
      <c r="I258" s="3"/>
    </row>
    <row r="259" spans="1:9" x14ac:dyDescent="0.25">
      <c r="A259" s="3"/>
      <c r="B259" s="3"/>
      <c r="C259" s="3"/>
      <c r="D259" s="3"/>
      <c r="E259" s="3"/>
      <c r="F259" s="3"/>
      <c r="G259" s="3"/>
      <c r="H259" s="3"/>
      <c r="I259" s="3"/>
    </row>
    <row r="260" spans="1:9" x14ac:dyDescent="0.25">
      <c r="A260" s="3"/>
      <c r="B260" s="3"/>
      <c r="C260" s="3"/>
      <c r="D260" s="3"/>
      <c r="E260" s="3"/>
      <c r="F260" s="3"/>
      <c r="G260" s="3"/>
      <c r="H260" s="3"/>
      <c r="I260" s="3"/>
    </row>
    <row r="261" spans="1:9" x14ac:dyDescent="0.25">
      <c r="A261" s="3"/>
      <c r="B261" s="3"/>
      <c r="C261" s="3"/>
      <c r="D261" s="3"/>
      <c r="E261" s="3"/>
      <c r="F261" s="3"/>
      <c r="G261" s="3"/>
      <c r="H261" s="3"/>
      <c r="I261" s="3"/>
    </row>
    <row r="262" spans="1:9" x14ac:dyDescent="0.25">
      <c r="A262" s="3"/>
      <c r="B262" s="3"/>
      <c r="C262" s="3"/>
      <c r="D262" s="3"/>
      <c r="E262" s="3"/>
      <c r="F262" s="3"/>
      <c r="G262" s="3"/>
      <c r="H262" s="3"/>
      <c r="I262" s="3"/>
    </row>
    <row r="263" spans="1:9" x14ac:dyDescent="0.25">
      <c r="A263" s="3"/>
      <c r="B263" s="3"/>
      <c r="C263" s="3"/>
      <c r="D263" s="3"/>
      <c r="E263" s="3"/>
      <c r="F263" s="3"/>
      <c r="G263" s="3"/>
      <c r="H263" s="3"/>
      <c r="I263" s="3"/>
    </row>
    <row r="264" spans="1:9" x14ac:dyDescent="0.25">
      <c r="A264" s="3"/>
      <c r="B264" s="3"/>
      <c r="C264" s="3"/>
      <c r="D264" s="3"/>
      <c r="E264" s="3"/>
      <c r="F264" s="3"/>
      <c r="G264" s="3"/>
      <c r="H264" s="3"/>
      <c r="I264" s="3"/>
    </row>
    <row r="265" spans="1:9" x14ac:dyDescent="0.25">
      <c r="A265" s="3"/>
      <c r="B265" s="3"/>
      <c r="C265" s="3"/>
      <c r="D265" s="3"/>
      <c r="E265" s="3"/>
      <c r="F265" s="3"/>
      <c r="G265" s="3"/>
      <c r="H265" s="3"/>
      <c r="I265" s="3"/>
    </row>
    <row r="266" spans="1:9" x14ac:dyDescent="0.25">
      <c r="A266" s="3"/>
      <c r="B266" s="3"/>
      <c r="C266" s="3"/>
      <c r="D266" s="3"/>
      <c r="E266" s="3"/>
      <c r="F266" s="3"/>
      <c r="G266" s="3"/>
      <c r="H266" s="3"/>
      <c r="I266" s="3"/>
    </row>
    <row r="267" spans="1:9" x14ac:dyDescent="0.25">
      <c r="A267" s="3"/>
      <c r="B267" s="3"/>
      <c r="C267" s="3"/>
      <c r="D267" s="3"/>
      <c r="E267" s="3"/>
      <c r="F267" s="3"/>
      <c r="G267" s="3"/>
      <c r="H267" s="3"/>
      <c r="I267" s="3"/>
    </row>
    <row r="268" spans="1:9" x14ac:dyDescent="0.25">
      <c r="A268" s="3"/>
      <c r="B268" s="3"/>
      <c r="C268" s="3"/>
      <c r="D268" s="3"/>
      <c r="E268" s="3"/>
      <c r="F268" s="3"/>
      <c r="G268" s="3"/>
      <c r="H268" s="3"/>
      <c r="I268" s="3"/>
    </row>
    <row r="269" spans="1:9" x14ac:dyDescent="0.25">
      <c r="A269" s="3"/>
      <c r="B269" s="3"/>
      <c r="C269" s="3"/>
      <c r="D269" s="3"/>
      <c r="E269" s="3"/>
      <c r="F269" s="3"/>
      <c r="G269" s="3"/>
      <c r="H269" s="3"/>
      <c r="I269" s="3"/>
    </row>
    <row r="270" spans="1:9" x14ac:dyDescent="0.25">
      <c r="A270" s="3"/>
      <c r="B270" s="3"/>
      <c r="C270" s="3"/>
      <c r="D270" s="3"/>
      <c r="E270" s="3"/>
      <c r="F270" s="3"/>
      <c r="G270" s="3"/>
      <c r="H270" s="3"/>
      <c r="I270" s="3"/>
    </row>
    <row r="271" spans="1:9" x14ac:dyDescent="0.25">
      <c r="A271" s="3"/>
      <c r="B271" s="3"/>
      <c r="C271" s="3"/>
      <c r="D271" s="3"/>
      <c r="E271" s="3"/>
      <c r="F271" s="3"/>
      <c r="G271" s="3"/>
      <c r="H271" s="3"/>
      <c r="I271" s="3"/>
    </row>
    <row r="272" spans="1:9" x14ac:dyDescent="0.25">
      <c r="A272" s="3"/>
      <c r="B272" s="3"/>
      <c r="C272" s="3"/>
      <c r="D272" s="3"/>
      <c r="E272" s="3"/>
      <c r="F272" s="3"/>
      <c r="G272" s="3"/>
      <c r="H272" s="3"/>
      <c r="I272" s="3"/>
    </row>
    <row r="273" spans="1:9" x14ac:dyDescent="0.25">
      <c r="A273" s="3"/>
      <c r="B273" s="3"/>
      <c r="C273" s="3"/>
      <c r="D273" s="3"/>
      <c r="E273" s="3"/>
      <c r="F273" s="3"/>
      <c r="G273" s="3"/>
      <c r="H273" s="3"/>
      <c r="I273" s="3"/>
    </row>
    <row r="274" spans="1:9" x14ac:dyDescent="0.25">
      <c r="A274" s="3"/>
      <c r="B274" s="3"/>
      <c r="C274" s="3"/>
      <c r="D274" s="3"/>
      <c r="E274" s="3"/>
      <c r="F274" s="3"/>
      <c r="G274" s="3"/>
      <c r="H274" s="3"/>
      <c r="I274" s="3"/>
    </row>
    <row r="275" spans="1:9" x14ac:dyDescent="0.25">
      <c r="A275" s="3"/>
      <c r="B275" s="3"/>
      <c r="C275" s="3"/>
      <c r="D275" s="3"/>
      <c r="E275" s="3"/>
      <c r="F275" s="3"/>
      <c r="G275" s="3"/>
      <c r="H275" s="3"/>
      <c r="I275" s="3"/>
    </row>
    <row r="276" spans="1:9" x14ac:dyDescent="0.25">
      <c r="A276" s="3"/>
      <c r="B276" s="3"/>
      <c r="C276" s="3"/>
      <c r="D276" s="3"/>
      <c r="E276" s="3"/>
      <c r="F276" s="3"/>
      <c r="G276" s="3"/>
      <c r="H276" s="3"/>
      <c r="I276" s="3"/>
    </row>
    <row r="277" spans="1:9" x14ac:dyDescent="0.25">
      <c r="A277" s="3"/>
      <c r="B277" s="3"/>
      <c r="C277" s="3"/>
      <c r="D277" s="3"/>
      <c r="E277" s="3"/>
      <c r="F277" s="3"/>
      <c r="G277" s="3"/>
      <c r="H277" s="3"/>
      <c r="I277" s="3"/>
    </row>
    <row r="278" spans="1:9" x14ac:dyDescent="0.25">
      <c r="A278" s="3"/>
      <c r="B278" s="3"/>
      <c r="C278" s="3"/>
      <c r="D278" s="3"/>
      <c r="E278" s="3"/>
      <c r="F278" s="3"/>
      <c r="G278" s="3"/>
      <c r="H278" s="3"/>
      <c r="I278" s="3"/>
    </row>
    <row r="279" spans="1:9" x14ac:dyDescent="0.25">
      <c r="A279" s="3"/>
      <c r="B279" s="3"/>
      <c r="C279" s="3"/>
      <c r="D279" s="3"/>
      <c r="E279" s="3"/>
      <c r="F279" s="3"/>
      <c r="G279" s="3"/>
      <c r="H279" s="3"/>
      <c r="I279" s="3"/>
    </row>
    <row r="280" spans="1:9" x14ac:dyDescent="0.25">
      <c r="A280" s="3"/>
      <c r="B280" s="3"/>
      <c r="C280" s="3"/>
      <c r="D280" s="3"/>
      <c r="E280" s="3"/>
      <c r="F280" s="3"/>
      <c r="G280" s="3"/>
      <c r="H280" s="3"/>
      <c r="I280" s="3"/>
    </row>
    <row r="281" spans="1:9" x14ac:dyDescent="0.25">
      <c r="A281" s="3"/>
      <c r="B281" s="3"/>
      <c r="C281" s="3"/>
      <c r="D281" s="3"/>
      <c r="E281" s="3"/>
      <c r="F281" s="3"/>
      <c r="G281" s="3"/>
      <c r="H281" s="3"/>
      <c r="I281" s="3"/>
    </row>
    <row r="282" spans="1:9" x14ac:dyDescent="0.25">
      <c r="A282" s="3"/>
      <c r="B282" s="3"/>
      <c r="C282" s="3"/>
      <c r="D282" s="3"/>
      <c r="E282" s="3"/>
      <c r="F282" s="3"/>
      <c r="G282" s="3"/>
      <c r="H282" s="3"/>
      <c r="I282" s="3"/>
    </row>
    <row r="283" spans="1:9" x14ac:dyDescent="0.25">
      <c r="A283" s="3"/>
      <c r="B283" s="3"/>
      <c r="C283" s="3"/>
      <c r="D283" s="3"/>
      <c r="E283" s="3"/>
      <c r="F283" s="3"/>
      <c r="G283" s="3"/>
      <c r="H283" s="3"/>
      <c r="I283" s="3"/>
    </row>
    <row r="284" spans="1:9" x14ac:dyDescent="0.25">
      <c r="A284" s="3"/>
      <c r="B284" s="3"/>
      <c r="C284" s="3"/>
      <c r="D284" s="3"/>
      <c r="E284" s="3"/>
      <c r="F284" s="3"/>
      <c r="G284" s="3"/>
      <c r="H284" s="3"/>
      <c r="I284" s="3"/>
    </row>
    <row r="285" spans="1:9" x14ac:dyDescent="0.25">
      <c r="A285" s="3"/>
      <c r="B285" s="3"/>
      <c r="C285" s="3"/>
      <c r="D285" s="3"/>
      <c r="E285" s="3"/>
      <c r="F285" s="3"/>
      <c r="G285" s="3"/>
      <c r="H285" s="3"/>
      <c r="I285" s="3"/>
    </row>
    <row r="286" spans="1:9" x14ac:dyDescent="0.25">
      <c r="A286" s="3"/>
      <c r="B286" s="3"/>
      <c r="C286" s="3"/>
      <c r="D286" s="3"/>
      <c r="E286" s="3"/>
      <c r="F286" s="3"/>
      <c r="G286" s="3"/>
      <c r="H286" s="3"/>
      <c r="I286" s="3"/>
    </row>
    <row r="287" spans="1:9" x14ac:dyDescent="0.25">
      <c r="A287" s="3"/>
      <c r="B287" s="3"/>
      <c r="C287" s="3"/>
      <c r="D287" s="3"/>
      <c r="E287" s="3"/>
      <c r="F287" s="3"/>
      <c r="G287" s="3"/>
      <c r="H287" s="3"/>
      <c r="I287" s="3"/>
    </row>
    <row r="288" spans="1:9" x14ac:dyDescent="0.25">
      <c r="A288" s="3"/>
      <c r="B288" s="3"/>
      <c r="C288" s="3"/>
      <c r="D288" s="3"/>
      <c r="E288" s="3"/>
      <c r="F288" s="3"/>
      <c r="G288" s="3"/>
      <c r="H288" s="3"/>
      <c r="I288" s="3"/>
    </row>
    <row r="289" spans="1:9" x14ac:dyDescent="0.25">
      <c r="A289" s="3"/>
      <c r="B289" s="3"/>
      <c r="C289" s="3"/>
      <c r="D289" s="3"/>
      <c r="E289" s="3"/>
      <c r="F289" s="3"/>
      <c r="G289" s="3"/>
      <c r="H289" s="3"/>
      <c r="I289" s="3"/>
    </row>
    <row r="290" spans="1:9" x14ac:dyDescent="0.25">
      <c r="A290" s="3"/>
      <c r="B290" s="3"/>
      <c r="C290" s="3"/>
      <c r="D290" s="3"/>
      <c r="E290" s="3"/>
      <c r="F290" s="3"/>
      <c r="G290" s="3"/>
      <c r="H290" s="3"/>
      <c r="I290" s="3"/>
    </row>
    <row r="291" spans="1:9" x14ac:dyDescent="0.25">
      <c r="A291" s="3"/>
      <c r="B291" s="3"/>
      <c r="C291" s="3"/>
      <c r="D291" s="3"/>
      <c r="E291" s="3"/>
      <c r="F291" s="3"/>
      <c r="G291" s="3"/>
      <c r="H291" s="3"/>
      <c r="I291" s="3"/>
    </row>
    <row r="292" spans="1:9" x14ac:dyDescent="0.25">
      <c r="A292" s="3"/>
      <c r="B292" s="3"/>
      <c r="C292" s="3"/>
      <c r="D292" s="3"/>
      <c r="E292" s="3"/>
      <c r="F292" s="3"/>
      <c r="G292" s="3"/>
      <c r="H292" s="3"/>
      <c r="I292" s="3"/>
    </row>
    <row r="293" spans="1:9" x14ac:dyDescent="0.25">
      <c r="A293" s="3"/>
      <c r="B293" s="3"/>
      <c r="C293" s="3"/>
      <c r="D293" s="3"/>
      <c r="E293" s="3"/>
      <c r="F293" s="3"/>
      <c r="G293" s="3"/>
      <c r="H293" s="3"/>
      <c r="I293" s="3"/>
    </row>
    <row r="294" spans="1:9" x14ac:dyDescent="0.25">
      <c r="A294" s="3"/>
      <c r="B294" s="3"/>
      <c r="C294" s="3"/>
      <c r="D294" s="3"/>
      <c r="E294" s="3"/>
      <c r="F294" s="3"/>
      <c r="G294" s="3"/>
      <c r="H294" s="3"/>
      <c r="I294" s="3"/>
    </row>
    <row r="295" spans="1:9" x14ac:dyDescent="0.25">
      <c r="A295" s="3"/>
      <c r="B295" s="3"/>
      <c r="C295" s="3"/>
      <c r="D295" s="3"/>
      <c r="E295" s="3"/>
      <c r="F295" s="3"/>
      <c r="G295" s="3"/>
      <c r="H295" s="3"/>
      <c r="I295" s="3"/>
    </row>
    <row r="296" spans="1:9" x14ac:dyDescent="0.25">
      <c r="A296" s="3"/>
      <c r="B296" s="3"/>
      <c r="C296" s="3"/>
      <c r="D296" s="3"/>
      <c r="E296" s="3"/>
      <c r="F296" s="3"/>
      <c r="G296" s="3"/>
      <c r="H296" s="3"/>
      <c r="I296" s="3"/>
    </row>
    <row r="297" spans="1:9" x14ac:dyDescent="0.25">
      <c r="A297" s="3"/>
      <c r="B297" s="3"/>
      <c r="C297" s="3"/>
      <c r="D297" s="3"/>
      <c r="E297" s="3"/>
      <c r="F297" s="3"/>
      <c r="G297" s="3"/>
      <c r="H297" s="3"/>
      <c r="I297" s="3"/>
    </row>
    <row r="298" spans="1:9" x14ac:dyDescent="0.25">
      <c r="A298" s="3"/>
      <c r="B298" s="3"/>
      <c r="C298" s="3"/>
      <c r="D298" s="3"/>
      <c r="E298" s="3"/>
      <c r="F298" s="3"/>
      <c r="G298" s="3"/>
      <c r="H298" s="3"/>
      <c r="I298" s="3"/>
    </row>
    <row r="299" spans="1:9" x14ac:dyDescent="0.25">
      <c r="A299" s="3"/>
      <c r="B299" s="3"/>
      <c r="C299" s="3"/>
      <c r="D299" s="3"/>
      <c r="E299" s="3"/>
      <c r="F299" s="3"/>
      <c r="G299" s="3"/>
      <c r="H299" s="3"/>
      <c r="I299" s="3"/>
    </row>
    <row r="300" spans="1:9" x14ac:dyDescent="0.25">
      <c r="A300" s="3"/>
      <c r="B300" s="3"/>
      <c r="C300" s="3"/>
      <c r="D300" s="3"/>
      <c r="E300" s="3"/>
      <c r="F300" s="3"/>
      <c r="G300" s="3"/>
      <c r="H300" s="3"/>
      <c r="I300" s="3"/>
    </row>
    <row r="301" spans="1:9" x14ac:dyDescent="0.25">
      <c r="A301" s="3"/>
      <c r="B301" s="3"/>
      <c r="C301" s="3"/>
      <c r="D301" s="3"/>
      <c r="E301" s="3"/>
      <c r="F301" s="3"/>
      <c r="G301" s="3"/>
      <c r="H301" s="3"/>
      <c r="I301" s="3"/>
    </row>
    <row r="302" spans="1:9" x14ac:dyDescent="0.25">
      <c r="A302" s="3"/>
      <c r="B302" s="3"/>
      <c r="C302" s="3"/>
      <c r="D302" s="3"/>
      <c r="E302" s="3"/>
      <c r="F302" s="3"/>
      <c r="G302" s="3"/>
      <c r="H302" s="3"/>
      <c r="I302" s="3"/>
    </row>
    <row r="303" spans="1:9" x14ac:dyDescent="0.25">
      <c r="A303" s="3"/>
      <c r="B303" s="3"/>
      <c r="C303" s="3"/>
      <c r="D303" s="3"/>
      <c r="E303" s="3"/>
      <c r="F303" s="3"/>
      <c r="G303" s="3"/>
      <c r="H303" s="3"/>
      <c r="I303" s="3"/>
    </row>
    <row r="304" spans="1:9" x14ac:dyDescent="0.25">
      <c r="A304" s="3"/>
      <c r="B304" s="3"/>
      <c r="C304" s="3"/>
      <c r="D304" s="3"/>
      <c r="E304" s="3"/>
      <c r="F304" s="3"/>
      <c r="G304" s="3"/>
      <c r="H304" s="3"/>
      <c r="I304" s="3"/>
    </row>
    <row r="305" spans="1:9" x14ac:dyDescent="0.25">
      <c r="A305" s="3"/>
      <c r="B305" s="3"/>
      <c r="C305" s="3"/>
      <c r="D305" s="3"/>
      <c r="E305" s="3"/>
      <c r="F305" s="3"/>
      <c r="G305" s="3"/>
      <c r="H305" s="3"/>
      <c r="I305" s="3"/>
    </row>
    <row r="306" spans="1:9" x14ac:dyDescent="0.25">
      <c r="A306" s="3"/>
      <c r="B306" s="3"/>
      <c r="C306" s="3"/>
      <c r="D306" s="3"/>
      <c r="E306" s="3"/>
      <c r="F306" s="3"/>
      <c r="G306" s="3"/>
      <c r="H306" s="3"/>
      <c r="I306" s="3"/>
    </row>
    <row r="307" spans="1:9" x14ac:dyDescent="0.25">
      <c r="A307" s="3"/>
      <c r="B307" s="3"/>
      <c r="C307" s="3"/>
      <c r="D307" s="3"/>
      <c r="E307" s="3"/>
      <c r="F307" s="3"/>
      <c r="G307" s="3"/>
      <c r="H307" s="3"/>
      <c r="I307" s="3"/>
    </row>
    <row r="308" spans="1:9" x14ac:dyDescent="0.25">
      <c r="A308" s="3"/>
      <c r="B308" s="3"/>
      <c r="C308" s="3"/>
      <c r="D308" s="3"/>
      <c r="E308" s="3"/>
      <c r="F308" s="3"/>
      <c r="G308" s="3"/>
      <c r="H308" s="3"/>
      <c r="I308" s="3"/>
    </row>
    <row r="309" spans="1:9" x14ac:dyDescent="0.25">
      <c r="A309" s="3"/>
      <c r="B309" s="3"/>
      <c r="C309" s="3"/>
      <c r="D309" s="3"/>
      <c r="E309" s="3"/>
      <c r="F309" s="3"/>
      <c r="G309" s="3"/>
      <c r="H309" s="3"/>
      <c r="I309" s="3"/>
    </row>
    <row r="310" spans="1:9" x14ac:dyDescent="0.25">
      <c r="A310" s="3"/>
      <c r="B310" s="3"/>
      <c r="C310" s="3"/>
      <c r="D310" s="3"/>
      <c r="E310" s="3"/>
      <c r="F310" s="3"/>
      <c r="G310" s="3"/>
      <c r="H310" s="3"/>
      <c r="I310" s="3"/>
    </row>
    <row r="311" spans="1:9" x14ac:dyDescent="0.25">
      <c r="A311" s="3"/>
      <c r="B311" s="3"/>
      <c r="C311" s="3"/>
      <c r="D311" s="3"/>
      <c r="E311" s="3"/>
      <c r="F311" s="3"/>
      <c r="G311" s="3"/>
      <c r="H311" s="3"/>
      <c r="I311" s="3"/>
    </row>
    <row r="312" spans="1:9" x14ac:dyDescent="0.25">
      <c r="A312" s="3"/>
      <c r="B312" s="3"/>
      <c r="C312" s="3"/>
      <c r="D312" s="3"/>
      <c r="E312" s="3"/>
      <c r="F312" s="3"/>
      <c r="G312" s="3"/>
      <c r="H312" s="3"/>
      <c r="I312" s="3"/>
    </row>
    <row r="313" spans="1:9" x14ac:dyDescent="0.25">
      <c r="A313" s="3"/>
      <c r="B313" s="3"/>
      <c r="C313" s="3"/>
      <c r="D313" s="3"/>
      <c r="E313" s="3"/>
      <c r="F313" s="3"/>
      <c r="G313" s="3"/>
      <c r="H313" s="3"/>
      <c r="I313" s="3"/>
    </row>
    <row r="314" spans="1:9" x14ac:dyDescent="0.25">
      <c r="A314" s="3"/>
      <c r="B314" s="3"/>
      <c r="C314" s="3"/>
      <c r="D314" s="3"/>
      <c r="E314" s="3"/>
      <c r="F314" s="3"/>
      <c r="G314" s="3"/>
      <c r="H314" s="3"/>
      <c r="I314" s="3"/>
    </row>
    <row r="315" spans="1:9" x14ac:dyDescent="0.25">
      <c r="A315" s="3"/>
      <c r="B315" s="3"/>
      <c r="C315" s="3"/>
      <c r="D315" s="3"/>
      <c r="E315" s="3"/>
      <c r="F315" s="3"/>
      <c r="G315" s="3"/>
      <c r="H315" s="3"/>
      <c r="I315" s="3"/>
    </row>
    <row r="316" spans="1:9" x14ac:dyDescent="0.25">
      <c r="A316" s="3"/>
      <c r="B316" s="3"/>
      <c r="C316" s="3"/>
      <c r="D316" s="3"/>
      <c r="E316" s="3"/>
      <c r="F316" s="3"/>
      <c r="G316" s="3"/>
      <c r="H316" s="3"/>
      <c r="I316" s="3"/>
    </row>
    <row r="317" spans="1:9" x14ac:dyDescent="0.25">
      <c r="A317" s="3"/>
      <c r="B317" s="3"/>
      <c r="C317" s="3"/>
      <c r="D317" s="3"/>
      <c r="E317" s="3"/>
      <c r="F317" s="3"/>
      <c r="G317" s="3"/>
      <c r="H317" s="3"/>
      <c r="I317" s="3"/>
    </row>
    <row r="318" spans="1:9" x14ac:dyDescent="0.25">
      <c r="A318" s="3"/>
      <c r="B318" s="3"/>
      <c r="C318" s="3"/>
      <c r="D318" s="3"/>
      <c r="E318" s="3"/>
      <c r="F318" s="3"/>
      <c r="G318" s="3"/>
      <c r="H318" s="3"/>
      <c r="I318" s="3"/>
    </row>
    <row r="319" spans="1:9" x14ac:dyDescent="0.25">
      <c r="A319" s="3"/>
      <c r="B319" s="3"/>
      <c r="C319" s="3"/>
      <c r="D319" s="3"/>
      <c r="E319" s="3"/>
      <c r="F319" s="3"/>
      <c r="G319" s="3"/>
      <c r="H319" s="3"/>
      <c r="I319" s="3"/>
    </row>
    <row r="320" spans="1:9" x14ac:dyDescent="0.25">
      <c r="A320" s="3"/>
      <c r="B320" s="3"/>
      <c r="C320" s="3"/>
      <c r="D320" s="3"/>
      <c r="E320" s="3"/>
      <c r="F320" s="3"/>
      <c r="G320" s="3"/>
      <c r="H320" s="3"/>
      <c r="I320" s="3"/>
    </row>
    <row r="321" spans="1:9" x14ac:dyDescent="0.25">
      <c r="A321" s="3"/>
      <c r="B321" s="3"/>
      <c r="C321" s="3"/>
      <c r="D321" s="3"/>
      <c r="E321" s="3"/>
      <c r="F321" s="3"/>
      <c r="G321" s="3"/>
      <c r="H321" s="3"/>
      <c r="I321" s="3"/>
    </row>
    <row r="322" spans="1:9" x14ac:dyDescent="0.25">
      <c r="A322" s="3"/>
      <c r="B322" s="3"/>
      <c r="C322" s="3"/>
      <c r="D322" s="3"/>
      <c r="E322" s="3"/>
      <c r="F322" s="3"/>
      <c r="G322" s="3"/>
      <c r="H322" s="3"/>
      <c r="I322" s="3"/>
    </row>
    <row r="323" spans="1:9" x14ac:dyDescent="0.25">
      <c r="A323" s="3"/>
      <c r="B323" s="3"/>
      <c r="C323" s="3"/>
      <c r="D323" s="3"/>
      <c r="E323" s="3"/>
      <c r="F323" s="3"/>
      <c r="G323" s="3"/>
      <c r="H323" s="3"/>
      <c r="I323" s="3"/>
    </row>
    <row r="324" spans="1:9" x14ac:dyDescent="0.25">
      <c r="A324" s="3"/>
      <c r="B324" s="3"/>
      <c r="C324" s="3"/>
      <c r="D324" s="3"/>
      <c r="E324" s="3"/>
      <c r="F324" s="3"/>
      <c r="G324" s="3"/>
      <c r="H324" s="3"/>
      <c r="I324" s="3"/>
    </row>
    <row r="325" spans="1:9" x14ac:dyDescent="0.25">
      <c r="A325" s="3"/>
      <c r="B325" s="3"/>
      <c r="C325" s="3"/>
      <c r="D325" s="3"/>
      <c r="E325" s="3"/>
      <c r="F325" s="3"/>
      <c r="G325" s="3"/>
      <c r="H325" s="3"/>
      <c r="I325" s="3"/>
    </row>
    <row r="326" spans="1:9" x14ac:dyDescent="0.25">
      <c r="A326" s="3"/>
      <c r="B326" s="3"/>
      <c r="C326" s="3"/>
      <c r="D326" s="3"/>
      <c r="E326" s="3"/>
      <c r="F326" s="3"/>
      <c r="G326" s="3"/>
      <c r="H326" s="3"/>
      <c r="I326" s="3"/>
    </row>
    <row r="327" spans="1:9" x14ac:dyDescent="0.25">
      <c r="A327" s="3"/>
      <c r="B327" s="3"/>
      <c r="C327" s="3"/>
      <c r="D327" s="3"/>
      <c r="E327" s="3"/>
      <c r="F327" s="3"/>
      <c r="G327" s="3"/>
      <c r="H327" s="3"/>
      <c r="I327" s="3"/>
    </row>
    <row r="328" spans="1:9" x14ac:dyDescent="0.25">
      <c r="A328" s="3"/>
      <c r="B328" s="3"/>
      <c r="C328" s="3"/>
      <c r="D328" s="3"/>
      <c r="E328" s="3"/>
      <c r="F328" s="3"/>
      <c r="G328" s="3"/>
      <c r="H328" s="3"/>
      <c r="I328" s="3"/>
    </row>
    <row r="329" spans="1:9" x14ac:dyDescent="0.25">
      <c r="A329" s="3"/>
      <c r="B329" s="3"/>
      <c r="C329" s="3"/>
      <c r="D329" s="3"/>
      <c r="E329" s="3"/>
      <c r="F329" s="3"/>
      <c r="G329" s="3"/>
      <c r="H329" s="3"/>
      <c r="I329" s="3"/>
    </row>
    <row r="330" spans="1:9" x14ac:dyDescent="0.25">
      <c r="A330" s="3"/>
      <c r="B330" s="3"/>
      <c r="C330" s="3"/>
      <c r="D330" s="3"/>
      <c r="E330" s="3"/>
      <c r="F330" s="3"/>
      <c r="G330" s="3"/>
      <c r="H330" s="3"/>
      <c r="I330" s="3"/>
    </row>
    <row r="331" spans="1:9" x14ac:dyDescent="0.25">
      <c r="A331" s="3"/>
      <c r="B331" s="3"/>
      <c r="C331" s="3"/>
      <c r="D331" s="3"/>
      <c r="E331" s="3"/>
      <c r="F331" s="3"/>
      <c r="G331" s="3"/>
      <c r="H331" s="3"/>
      <c r="I331" s="3"/>
    </row>
    <row r="332" spans="1:9" x14ac:dyDescent="0.25">
      <c r="A332" s="3"/>
      <c r="B332" s="3"/>
      <c r="C332" s="3"/>
      <c r="D332" s="3"/>
      <c r="E332" s="3"/>
      <c r="F332" s="3"/>
      <c r="G332" s="3"/>
      <c r="H332" s="3"/>
      <c r="I332" s="3"/>
    </row>
    <row r="333" spans="1:9" x14ac:dyDescent="0.25">
      <c r="A333" s="3"/>
      <c r="B333" s="3"/>
      <c r="C333" s="3"/>
      <c r="D333" s="3"/>
      <c r="E333" s="3"/>
      <c r="F333" s="3"/>
      <c r="G333" s="3"/>
      <c r="H333" s="3"/>
      <c r="I333" s="3"/>
    </row>
    <row r="334" spans="1:9" x14ac:dyDescent="0.25">
      <c r="A334" s="3"/>
      <c r="B334" s="3"/>
      <c r="C334" s="3"/>
      <c r="D334" s="3"/>
      <c r="E334" s="3"/>
      <c r="F334" s="3"/>
      <c r="G334" s="3"/>
      <c r="H334" s="3"/>
      <c r="I334" s="3"/>
    </row>
    <row r="335" spans="1:9" x14ac:dyDescent="0.25">
      <c r="A335" s="3"/>
      <c r="B335" s="3"/>
      <c r="C335" s="3"/>
      <c r="D335" s="3"/>
      <c r="E335" s="3"/>
      <c r="F335" s="3"/>
      <c r="G335" s="3"/>
      <c r="H335" s="3"/>
      <c r="I335" s="3"/>
    </row>
    <row r="336" spans="1:9" x14ac:dyDescent="0.25">
      <c r="A336" s="3"/>
      <c r="B336" s="3"/>
      <c r="C336" s="3"/>
      <c r="D336" s="3"/>
      <c r="E336" s="3"/>
      <c r="F336" s="3"/>
      <c r="G336" s="3"/>
      <c r="H336" s="3"/>
      <c r="I336" s="3"/>
    </row>
    <row r="337" spans="1:9" x14ac:dyDescent="0.25">
      <c r="A337" s="3"/>
      <c r="B337" s="3"/>
      <c r="C337" s="3"/>
      <c r="D337" s="3"/>
      <c r="E337" s="3"/>
      <c r="F337" s="3"/>
      <c r="G337" s="3"/>
      <c r="H337" s="3"/>
      <c r="I337" s="3"/>
    </row>
    <row r="338" spans="1:9" x14ac:dyDescent="0.25">
      <c r="A338" s="3"/>
      <c r="B338" s="3"/>
      <c r="C338" s="3"/>
      <c r="D338" s="3"/>
      <c r="E338" s="3"/>
      <c r="F338" s="3"/>
      <c r="G338" s="3"/>
      <c r="H338" s="3"/>
      <c r="I338" s="3"/>
    </row>
    <row r="339" spans="1:9" x14ac:dyDescent="0.25">
      <c r="A339" s="3"/>
      <c r="B339" s="3"/>
      <c r="C339" s="3"/>
      <c r="D339" s="3"/>
      <c r="E339" s="3"/>
      <c r="F339" s="3"/>
      <c r="G339" s="3"/>
      <c r="H339" s="3"/>
      <c r="I339" s="3"/>
    </row>
    <row r="340" spans="1:9" x14ac:dyDescent="0.25">
      <c r="A340" s="3"/>
      <c r="B340" s="3"/>
      <c r="C340" s="3"/>
      <c r="D340" s="3"/>
      <c r="E340" s="3"/>
      <c r="F340" s="3"/>
      <c r="G340" s="3"/>
      <c r="H340" s="3"/>
      <c r="I340" s="3"/>
    </row>
    <row r="341" spans="1:9" x14ac:dyDescent="0.25">
      <c r="A341" s="3"/>
      <c r="B341" s="3"/>
      <c r="C341" s="3"/>
      <c r="D341" s="3"/>
      <c r="E341" s="3"/>
      <c r="F341" s="3"/>
      <c r="G341" s="3"/>
      <c r="H341" s="3"/>
      <c r="I341" s="3"/>
    </row>
    <row r="342" spans="1:9" x14ac:dyDescent="0.25">
      <c r="A342" s="3"/>
      <c r="B342" s="3"/>
      <c r="C342" s="3"/>
      <c r="D342" s="3"/>
      <c r="E342" s="3"/>
      <c r="F342" s="3"/>
      <c r="G342" s="3"/>
      <c r="H342" s="3"/>
      <c r="I342" s="3"/>
    </row>
    <row r="343" spans="1:9" x14ac:dyDescent="0.25">
      <c r="A343" s="3"/>
      <c r="B343" s="3"/>
      <c r="C343" s="3"/>
      <c r="D343" s="3"/>
      <c r="E343" s="3"/>
      <c r="F343" s="3"/>
      <c r="G343" s="3"/>
      <c r="H343" s="3"/>
      <c r="I343" s="3"/>
    </row>
    <row r="344" spans="1:9" x14ac:dyDescent="0.25">
      <c r="A344" s="3"/>
      <c r="B344" s="3"/>
      <c r="C344" s="3"/>
      <c r="D344" s="3"/>
      <c r="E344" s="3"/>
      <c r="F344" s="3"/>
      <c r="G344" s="3"/>
      <c r="H344" s="3"/>
      <c r="I344" s="3"/>
    </row>
    <row r="345" spans="1:9" x14ac:dyDescent="0.25">
      <c r="A345" s="3"/>
      <c r="B345" s="3"/>
      <c r="C345" s="3"/>
      <c r="D345" s="3"/>
      <c r="E345" s="3"/>
      <c r="F345" s="3"/>
      <c r="G345" s="3"/>
      <c r="H345" s="3"/>
      <c r="I345" s="3"/>
    </row>
    <row r="346" spans="1:9" x14ac:dyDescent="0.25">
      <c r="A346" s="3"/>
      <c r="B346" s="3"/>
      <c r="C346" s="3"/>
      <c r="D346" s="3"/>
      <c r="E346" s="3"/>
      <c r="F346" s="3"/>
      <c r="G346" s="3"/>
      <c r="H346" s="3"/>
      <c r="I346" s="3"/>
    </row>
    <row r="347" spans="1:9" x14ac:dyDescent="0.25">
      <c r="A347" s="3"/>
      <c r="B347" s="3"/>
      <c r="C347" s="3"/>
      <c r="D347" s="3"/>
      <c r="E347" s="3"/>
      <c r="F347" s="3"/>
      <c r="G347" s="3"/>
      <c r="H347" s="3"/>
      <c r="I347" s="3"/>
    </row>
    <row r="348" spans="1:9" x14ac:dyDescent="0.25">
      <c r="A348" s="3"/>
      <c r="B348" s="3"/>
      <c r="C348" s="3"/>
      <c r="D348" s="3"/>
      <c r="E348" s="3"/>
      <c r="F348" s="3"/>
      <c r="G348" s="3"/>
      <c r="H348" s="3"/>
      <c r="I348" s="3"/>
    </row>
    <row r="349" spans="1:9" x14ac:dyDescent="0.25">
      <c r="A349" s="3"/>
      <c r="B349" s="3"/>
      <c r="C349" s="3"/>
      <c r="D349" s="3"/>
      <c r="E349" s="3"/>
      <c r="F349" s="3"/>
      <c r="G349" s="3"/>
      <c r="H349" s="3"/>
      <c r="I349" s="3"/>
    </row>
    <row r="350" spans="1:9" x14ac:dyDescent="0.25">
      <c r="A350" s="3"/>
      <c r="B350" s="3"/>
      <c r="C350" s="3"/>
      <c r="D350" s="3"/>
      <c r="E350" s="3"/>
      <c r="F350" s="3"/>
      <c r="G350" s="3"/>
      <c r="H350" s="3"/>
      <c r="I350" s="3"/>
    </row>
    <row r="351" spans="1:9" x14ac:dyDescent="0.25">
      <c r="A351" s="3"/>
      <c r="B351" s="3"/>
      <c r="C351" s="3"/>
      <c r="D351" s="3"/>
      <c r="E351" s="3"/>
      <c r="F351" s="3"/>
      <c r="G351" s="3"/>
      <c r="H351" s="3"/>
      <c r="I351" s="3"/>
    </row>
    <row r="352" spans="1:9" x14ac:dyDescent="0.25">
      <c r="A352" s="3"/>
      <c r="B352" s="3"/>
      <c r="C352" s="3"/>
      <c r="D352" s="3"/>
      <c r="E352" s="3"/>
      <c r="F352" s="3"/>
      <c r="G352" s="3"/>
      <c r="H352" s="3"/>
      <c r="I352" s="3"/>
    </row>
    <row r="353" spans="1:9" x14ac:dyDescent="0.25">
      <c r="A353" s="3"/>
      <c r="B353" s="3"/>
      <c r="C353" s="3"/>
      <c r="D353" s="3"/>
      <c r="E353" s="3"/>
      <c r="F353" s="3"/>
      <c r="G353" s="3"/>
      <c r="H353" s="3"/>
      <c r="I353" s="3"/>
    </row>
    <row r="354" spans="1:9" x14ac:dyDescent="0.25">
      <c r="A354" s="3"/>
      <c r="B354" s="3"/>
      <c r="C354" s="3"/>
      <c r="D354" s="3"/>
      <c r="E354" s="3"/>
      <c r="F354" s="3"/>
      <c r="G354" s="3"/>
      <c r="H354" s="3"/>
      <c r="I354" s="3"/>
    </row>
    <row r="355" spans="1:9" x14ac:dyDescent="0.25">
      <c r="A355" s="3"/>
      <c r="B355" s="3"/>
      <c r="C355" s="3"/>
      <c r="D355" s="3"/>
      <c r="E355" s="3"/>
      <c r="F355" s="3"/>
      <c r="G355" s="3"/>
      <c r="H355" s="3"/>
      <c r="I355" s="3"/>
    </row>
    <row r="356" spans="1:9" x14ac:dyDescent="0.25">
      <c r="A356" s="3"/>
      <c r="B356" s="3"/>
      <c r="C356" s="3"/>
      <c r="D356" s="3"/>
      <c r="E356" s="3"/>
      <c r="F356" s="3"/>
      <c r="G356" s="3"/>
      <c r="H356" s="3"/>
      <c r="I356" s="3"/>
    </row>
    <row r="357" spans="1:9" x14ac:dyDescent="0.25">
      <c r="A357" s="3"/>
      <c r="B357" s="3"/>
      <c r="C357" s="3"/>
      <c r="D357" s="3"/>
      <c r="E357" s="3"/>
      <c r="F357" s="3"/>
      <c r="G357" s="3"/>
      <c r="H357" s="3"/>
      <c r="I357" s="3"/>
    </row>
    <row r="358" spans="1:9" x14ac:dyDescent="0.25">
      <c r="A358" s="3"/>
      <c r="B358" s="3"/>
      <c r="C358" s="3"/>
      <c r="D358" s="3"/>
      <c r="E358" s="3"/>
      <c r="F358" s="3"/>
      <c r="G358" s="3"/>
      <c r="H358" s="3"/>
      <c r="I358" s="3"/>
    </row>
    <row r="359" spans="1:9" x14ac:dyDescent="0.25">
      <c r="A359" s="3"/>
      <c r="B359" s="3"/>
      <c r="C359" s="3"/>
      <c r="D359" s="3"/>
      <c r="E359" s="3"/>
      <c r="F359" s="3"/>
      <c r="G359" s="3"/>
      <c r="H359" s="3"/>
      <c r="I359" s="3"/>
    </row>
    <row r="360" spans="1:9" x14ac:dyDescent="0.25">
      <c r="A360" s="3"/>
      <c r="B360" s="3"/>
      <c r="C360" s="3"/>
      <c r="D360" s="3"/>
      <c r="E360" s="3"/>
      <c r="F360" s="3"/>
      <c r="G360" s="3"/>
      <c r="H360" s="3"/>
      <c r="I360" s="3"/>
    </row>
    <row r="361" spans="1:9" x14ac:dyDescent="0.25">
      <c r="A361" s="3"/>
      <c r="B361" s="3"/>
      <c r="C361" s="3"/>
      <c r="D361" s="3"/>
      <c r="E361" s="3"/>
      <c r="F361" s="3"/>
      <c r="G361" s="3"/>
      <c r="H361" s="3"/>
      <c r="I361" s="3"/>
    </row>
    <row r="362" spans="1:9" x14ac:dyDescent="0.25">
      <c r="A362" s="3"/>
      <c r="B362" s="3"/>
      <c r="C362" s="3"/>
      <c r="D362" s="3"/>
      <c r="E362" s="3"/>
      <c r="F362" s="3"/>
      <c r="G362" s="3"/>
      <c r="H362" s="3"/>
      <c r="I362" s="3"/>
    </row>
    <row r="363" spans="1:9" x14ac:dyDescent="0.25">
      <c r="A363" s="3"/>
      <c r="B363" s="3"/>
      <c r="C363" s="3"/>
      <c r="D363" s="3"/>
      <c r="E363" s="3"/>
      <c r="F363" s="3"/>
      <c r="G363" s="3"/>
      <c r="H363" s="3"/>
      <c r="I363" s="3"/>
    </row>
    <row r="364" spans="1:9" x14ac:dyDescent="0.25">
      <c r="A364" s="3"/>
      <c r="B364" s="3"/>
      <c r="C364" s="3"/>
      <c r="D364" s="3"/>
      <c r="E364" s="3"/>
      <c r="F364" s="3"/>
      <c r="G364" s="3"/>
      <c r="H364" s="3"/>
      <c r="I364" s="3"/>
    </row>
    <row r="365" spans="1:9" x14ac:dyDescent="0.25">
      <c r="A365" s="3"/>
      <c r="B365" s="3"/>
      <c r="C365" s="3"/>
      <c r="D365" s="3"/>
      <c r="E365" s="3"/>
      <c r="F365" s="3"/>
      <c r="G365" s="3"/>
      <c r="H365" s="3"/>
      <c r="I365" s="3"/>
    </row>
    <row r="366" spans="1:9" x14ac:dyDescent="0.25">
      <c r="A366" s="3"/>
      <c r="B366" s="3"/>
      <c r="C366" s="3"/>
      <c r="D366" s="3"/>
      <c r="E366" s="3"/>
      <c r="F366" s="3"/>
      <c r="G366" s="3"/>
      <c r="H366" s="3"/>
      <c r="I366" s="3"/>
    </row>
    <row r="367" spans="1:9" x14ac:dyDescent="0.25">
      <c r="A367" s="3"/>
      <c r="B367" s="3"/>
      <c r="C367" s="3"/>
      <c r="D367" s="3"/>
      <c r="E367" s="3"/>
      <c r="F367" s="3"/>
      <c r="G367" s="3"/>
      <c r="H367" s="3"/>
      <c r="I367" s="3"/>
    </row>
    <row r="368" spans="1:9" x14ac:dyDescent="0.25">
      <c r="A368" s="3"/>
      <c r="B368" s="3"/>
      <c r="C368" s="3"/>
      <c r="D368" s="3"/>
      <c r="E368" s="3"/>
      <c r="F368" s="3"/>
      <c r="G368" s="3"/>
      <c r="H368" s="3"/>
      <c r="I368" s="3"/>
    </row>
    <row r="369" spans="1:9" x14ac:dyDescent="0.25">
      <c r="A369" s="3"/>
      <c r="B369" s="3"/>
      <c r="C369" s="3"/>
      <c r="D369" s="3"/>
      <c r="E369" s="3"/>
      <c r="F369" s="3"/>
      <c r="G369" s="3"/>
      <c r="H369" s="3"/>
      <c r="I369" s="3"/>
    </row>
    <row r="370" spans="1:9" x14ac:dyDescent="0.25">
      <c r="A370" s="3"/>
      <c r="B370" s="3"/>
      <c r="C370" s="3"/>
      <c r="D370" s="3"/>
      <c r="E370" s="3"/>
      <c r="F370" s="3"/>
      <c r="G370" s="3"/>
      <c r="H370" s="3"/>
      <c r="I370" s="3"/>
    </row>
    <row r="371" spans="1:9" x14ac:dyDescent="0.25">
      <c r="A371" s="3"/>
      <c r="B371" s="3"/>
      <c r="C371" s="3"/>
      <c r="D371" s="3"/>
      <c r="E371" s="3"/>
      <c r="F371" s="3"/>
      <c r="G371" s="3"/>
      <c r="H371" s="3"/>
      <c r="I371" s="3"/>
    </row>
    <row r="372" spans="1:9" x14ac:dyDescent="0.25">
      <c r="A372" s="3"/>
      <c r="B372" s="3"/>
      <c r="C372" s="3"/>
      <c r="D372" s="3"/>
      <c r="E372" s="3"/>
      <c r="F372" s="3"/>
      <c r="G372" s="3"/>
      <c r="H372" s="3"/>
      <c r="I372" s="3"/>
    </row>
    <row r="373" spans="1:9" x14ac:dyDescent="0.25">
      <c r="A373" s="3"/>
      <c r="B373" s="3"/>
      <c r="C373" s="3"/>
      <c r="D373" s="3"/>
      <c r="E373" s="3"/>
      <c r="F373" s="3"/>
      <c r="G373" s="3"/>
      <c r="H373" s="3"/>
      <c r="I373" s="3"/>
    </row>
    <row r="374" spans="1:9" x14ac:dyDescent="0.25">
      <c r="A374" s="3"/>
      <c r="B374" s="3"/>
      <c r="C374" s="3"/>
      <c r="D374" s="3"/>
      <c r="E374" s="3"/>
      <c r="F374" s="3"/>
      <c r="G374" s="3"/>
      <c r="H374" s="3"/>
      <c r="I374" s="3"/>
    </row>
    <row r="375" spans="1:9" x14ac:dyDescent="0.25">
      <c r="A375" s="3"/>
      <c r="B375" s="3"/>
      <c r="C375" s="3"/>
      <c r="D375" s="3"/>
      <c r="E375" s="3"/>
      <c r="F375" s="3"/>
      <c r="G375" s="3"/>
      <c r="H375" s="3"/>
      <c r="I375" s="3"/>
    </row>
    <row r="376" spans="1:9" x14ac:dyDescent="0.25">
      <c r="A376" s="3"/>
      <c r="B376" s="3"/>
      <c r="C376" s="3"/>
      <c r="D376" s="3"/>
      <c r="E376" s="3"/>
      <c r="F376" s="3"/>
      <c r="G376" s="3"/>
      <c r="H376" s="3"/>
      <c r="I376" s="3"/>
    </row>
    <row r="377" spans="1:9" x14ac:dyDescent="0.25">
      <c r="A377" s="3"/>
      <c r="B377" s="3"/>
      <c r="C377" s="3"/>
      <c r="D377" s="3"/>
      <c r="E377" s="3"/>
      <c r="F377" s="3"/>
      <c r="G377" s="3"/>
      <c r="H377" s="3"/>
      <c r="I377" s="3"/>
    </row>
    <row r="378" spans="1:9" x14ac:dyDescent="0.25">
      <c r="A378" s="3"/>
      <c r="B378" s="3"/>
      <c r="C378" s="3"/>
      <c r="D378" s="3"/>
      <c r="E378" s="3"/>
      <c r="F378" s="3"/>
      <c r="G378" s="3"/>
      <c r="H378" s="3"/>
      <c r="I378" s="3"/>
    </row>
    <row r="379" spans="1:9" x14ac:dyDescent="0.25">
      <c r="A379" s="3"/>
      <c r="B379" s="3"/>
      <c r="C379" s="3"/>
      <c r="D379" s="3"/>
      <c r="E379" s="3"/>
      <c r="F379" s="3"/>
      <c r="G379" s="3"/>
      <c r="H379" s="3"/>
      <c r="I379" s="3"/>
    </row>
    <row r="380" spans="1:9" x14ac:dyDescent="0.25">
      <c r="A380" s="3"/>
      <c r="B380" s="3"/>
      <c r="C380" s="3"/>
      <c r="D380" s="3"/>
      <c r="E380" s="3"/>
      <c r="F380" s="3"/>
      <c r="G380" s="3"/>
      <c r="H380" s="3"/>
      <c r="I380" s="3"/>
    </row>
    <row r="381" spans="1:9" x14ac:dyDescent="0.25">
      <c r="A381" s="3"/>
      <c r="B381" s="3"/>
      <c r="C381" s="3"/>
      <c r="D381" s="3"/>
      <c r="E381" s="3"/>
      <c r="F381" s="3"/>
      <c r="G381" s="3"/>
      <c r="H381" s="3"/>
      <c r="I381" s="3"/>
    </row>
    <row r="382" spans="1:9" x14ac:dyDescent="0.25">
      <c r="A382" s="3"/>
      <c r="B382" s="3"/>
      <c r="C382" s="3"/>
      <c r="D382" s="3"/>
      <c r="E382" s="3"/>
      <c r="F382" s="3"/>
      <c r="G382" s="3"/>
      <c r="H382" s="3"/>
      <c r="I382" s="3"/>
    </row>
    <row r="383" spans="1:9" x14ac:dyDescent="0.25">
      <c r="A383" s="3"/>
      <c r="B383" s="3"/>
      <c r="C383" s="3"/>
      <c r="D383" s="3"/>
      <c r="E383" s="3"/>
      <c r="F383" s="3"/>
      <c r="G383" s="3"/>
      <c r="H383" s="3"/>
      <c r="I383" s="3"/>
    </row>
    <row r="384" spans="1:9" x14ac:dyDescent="0.25">
      <c r="A384" s="3"/>
      <c r="B384" s="3"/>
      <c r="C384" s="3"/>
      <c r="D384" s="3"/>
      <c r="E384" s="3"/>
      <c r="F384" s="3"/>
      <c r="G384" s="3"/>
      <c r="H384" s="3"/>
      <c r="I384" s="3"/>
    </row>
    <row r="385" spans="1:9" x14ac:dyDescent="0.25">
      <c r="A385" s="3"/>
      <c r="B385" s="3"/>
      <c r="C385" s="3"/>
      <c r="D385" s="3"/>
      <c r="E385" s="3"/>
      <c r="F385" s="3"/>
      <c r="G385" s="3"/>
      <c r="H385" s="3"/>
      <c r="I385" s="3"/>
    </row>
    <row r="386" spans="1:9" x14ac:dyDescent="0.25">
      <c r="A386" s="3"/>
      <c r="B386" s="3"/>
      <c r="C386" s="3"/>
      <c r="D386" s="3"/>
      <c r="E386" s="3"/>
      <c r="F386" s="3"/>
      <c r="G386" s="3"/>
      <c r="H386" s="3"/>
      <c r="I386" s="3"/>
    </row>
    <row r="387" spans="1:9" x14ac:dyDescent="0.25">
      <c r="A387" s="3"/>
      <c r="B387" s="3"/>
      <c r="C387" s="3"/>
      <c r="D387" s="3"/>
      <c r="E387" s="3"/>
      <c r="F387" s="3"/>
      <c r="G387" s="3"/>
      <c r="H387" s="3"/>
      <c r="I387" s="3"/>
    </row>
    <row r="388" spans="1:9" x14ac:dyDescent="0.25">
      <c r="A388" s="3"/>
      <c r="B388" s="3"/>
      <c r="C388" s="3"/>
      <c r="D388" s="3"/>
      <c r="E388" s="3"/>
      <c r="F388" s="3"/>
      <c r="G388" s="3"/>
      <c r="H388" s="3"/>
      <c r="I388" s="3"/>
    </row>
    <row r="389" spans="1:9" x14ac:dyDescent="0.25">
      <c r="A389" s="3"/>
      <c r="B389" s="3"/>
      <c r="C389" s="3"/>
      <c r="D389" s="3"/>
      <c r="E389" s="3"/>
      <c r="F389" s="3"/>
      <c r="G389" s="3"/>
      <c r="H389" s="3"/>
      <c r="I389" s="3"/>
    </row>
    <row r="390" spans="1:9" x14ac:dyDescent="0.25">
      <c r="A390" s="3"/>
      <c r="B390" s="3"/>
      <c r="C390" s="3"/>
      <c r="D390" s="3"/>
      <c r="E390" s="3"/>
      <c r="F390" s="3"/>
      <c r="G390" s="3"/>
      <c r="H390" s="3"/>
      <c r="I390" s="3"/>
    </row>
    <row r="391" spans="1:9" x14ac:dyDescent="0.25">
      <c r="A391" s="3"/>
      <c r="B391" s="3"/>
      <c r="C391" s="3"/>
      <c r="D391" s="3"/>
      <c r="E391" s="3"/>
      <c r="F391" s="3"/>
      <c r="G391" s="3"/>
      <c r="H391" s="3"/>
      <c r="I391" s="3"/>
    </row>
    <row r="392" spans="1:9" x14ac:dyDescent="0.25">
      <c r="A392" s="3"/>
      <c r="B392" s="3"/>
      <c r="C392" s="3"/>
      <c r="D392" s="3"/>
      <c r="E392" s="3"/>
      <c r="F392" s="3"/>
      <c r="G392" s="3"/>
      <c r="H392" s="3"/>
      <c r="I392" s="3"/>
    </row>
    <row r="393" spans="1:9" x14ac:dyDescent="0.25">
      <c r="A393" s="3"/>
      <c r="B393" s="3"/>
      <c r="C393" s="3"/>
      <c r="D393" s="3"/>
      <c r="E393" s="3"/>
      <c r="F393" s="3"/>
      <c r="G393" s="3"/>
      <c r="H393" s="3"/>
      <c r="I393" s="3"/>
    </row>
    <row r="394" spans="1:9" x14ac:dyDescent="0.25">
      <c r="A394" s="3"/>
      <c r="B394" s="3"/>
      <c r="C394" s="3"/>
      <c r="D394" s="3"/>
      <c r="E394" s="3"/>
      <c r="F394" s="3"/>
      <c r="G394" s="3"/>
      <c r="H394" s="3"/>
      <c r="I394" s="3"/>
    </row>
    <row r="395" spans="1:9" x14ac:dyDescent="0.25">
      <c r="A395" s="3"/>
      <c r="B395" s="3"/>
      <c r="C395" s="3"/>
      <c r="D395" s="3"/>
      <c r="E395" s="3"/>
      <c r="F395" s="3"/>
      <c r="G395" s="3"/>
      <c r="H395" s="3"/>
      <c r="I395" s="3"/>
    </row>
    <row r="396" spans="1:9" x14ac:dyDescent="0.25">
      <c r="A396" s="3"/>
      <c r="B396" s="3"/>
      <c r="C396" s="3"/>
      <c r="D396" s="3"/>
      <c r="E396" s="3"/>
      <c r="F396" s="3"/>
      <c r="G396" s="3"/>
      <c r="H396" s="3"/>
      <c r="I396" s="3"/>
    </row>
    <row r="397" spans="1:9" x14ac:dyDescent="0.25">
      <c r="A397" s="3"/>
      <c r="B397" s="3"/>
      <c r="C397" s="3"/>
      <c r="D397" s="3"/>
      <c r="E397" s="3"/>
      <c r="F397" s="3"/>
      <c r="G397" s="3"/>
      <c r="H397" s="3"/>
      <c r="I397" s="3"/>
    </row>
    <row r="398" spans="1:9" x14ac:dyDescent="0.25">
      <c r="A398" s="3"/>
      <c r="B398" s="3"/>
      <c r="C398" s="3"/>
      <c r="D398" s="3"/>
      <c r="E398" s="3"/>
      <c r="F398" s="3"/>
      <c r="G398" s="3"/>
      <c r="H398" s="3"/>
      <c r="I398" s="3"/>
    </row>
    <row r="399" spans="1:9" x14ac:dyDescent="0.25">
      <c r="A399" s="3"/>
      <c r="B399" s="3"/>
      <c r="C399" s="3"/>
      <c r="D399" s="3"/>
      <c r="E399" s="3"/>
      <c r="F399" s="3"/>
      <c r="G399" s="3"/>
      <c r="H399" s="3"/>
      <c r="I399" s="3"/>
    </row>
    <row r="400" spans="1:9" x14ac:dyDescent="0.25">
      <c r="A400" s="3"/>
      <c r="B400" s="3"/>
      <c r="C400" s="3"/>
      <c r="D400" s="3"/>
      <c r="E400" s="3"/>
      <c r="F400" s="3"/>
      <c r="G400" s="3"/>
      <c r="H400" s="3"/>
      <c r="I400" s="3"/>
    </row>
    <row r="401" spans="1:9" x14ac:dyDescent="0.25">
      <c r="A401" s="3"/>
      <c r="B401" s="3"/>
      <c r="C401" s="3"/>
      <c r="D401" s="3"/>
      <c r="E401" s="3"/>
      <c r="F401" s="3"/>
      <c r="G401" s="3"/>
      <c r="H401" s="3"/>
      <c r="I401" s="3"/>
    </row>
    <row r="402" spans="1:9" x14ac:dyDescent="0.25">
      <c r="A402" s="3"/>
      <c r="B402" s="3"/>
      <c r="C402" s="3"/>
      <c r="D402" s="3"/>
      <c r="E402" s="3"/>
      <c r="F402" s="3"/>
      <c r="G402" s="3"/>
      <c r="H402" s="3"/>
      <c r="I402" s="3"/>
    </row>
    <row r="403" spans="1:9" x14ac:dyDescent="0.25">
      <c r="A403" s="3"/>
      <c r="B403" s="3"/>
      <c r="C403" s="3"/>
      <c r="D403" s="3"/>
      <c r="E403" s="3"/>
      <c r="F403" s="3"/>
      <c r="G403" s="3"/>
      <c r="H403" s="3"/>
      <c r="I403" s="3"/>
    </row>
    <row r="404" spans="1:9" x14ac:dyDescent="0.25">
      <c r="A404" s="3"/>
      <c r="B404" s="3"/>
      <c r="C404" s="3"/>
      <c r="D404" s="3"/>
      <c r="E404" s="3"/>
      <c r="F404" s="3"/>
      <c r="G404" s="3"/>
      <c r="H404" s="3"/>
      <c r="I404" s="3"/>
    </row>
    <row r="405" spans="1:9" x14ac:dyDescent="0.25">
      <c r="A405" s="3"/>
      <c r="B405" s="3"/>
      <c r="C405" s="3"/>
      <c r="D405" s="3"/>
      <c r="E405" s="3"/>
      <c r="F405" s="3"/>
      <c r="G405" s="3"/>
      <c r="H405" s="3"/>
      <c r="I405" s="3"/>
    </row>
    <row r="406" spans="1:9" x14ac:dyDescent="0.25">
      <c r="A406" s="3"/>
      <c r="B406" s="3"/>
      <c r="C406" s="3"/>
      <c r="D406" s="3"/>
      <c r="E406" s="3"/>
      <c r="F406" s="3"/>
      <c r="G406" s="3"/>
      <c r="H406" s="3"/>
      <c r="I406" s="3"/>
    </row>
    <row r="407" spans="1:9" x14ac:dyDescent="0.25">
      <c r="A407" s="3"/>
      <c r="B407" s="3"/>
      <c r="C407" s="3"/>
      <c r="D407" s="3"/>
      <c r="E407" s="3"/>
      <c r="F407" s="3"/>
      <c r="G407" s="3"/>
      <c r="H407" s="3"/>
      <c r="I407" s="3"/>
    </row>
    <row r="408" spans="1:9" x14ac:dyDescent="0.25">
      <c r="A408" s="3"/>
      <c r="B408" s="3"/>
      <c r="C408" s="3"/>
      <c r="D408" s="3"/>
      <c r="E408" s="3"/>
      <c r="F408" s="3"/>
      <c r="G408" s="3"/>
      <c r="H408" s="3"/>
      <c r="I408" s="3"/>
    </row>
    <row r="409" spans="1:9" x14ac:dyDescent="0.25">
      <c r="A409" s="3"/>
      <c r="B409" s="3"/>
      <c r="C409" s="3"/>
      <c r="D409" s="3"/>
      <c r="E409" s="3"/>
      <c r="F409" s="3"/>
      <c r="G409" s="3"/>
      <c r="H409" s="3"/>
      <c r="I409" s="3"/>
    </row>
    <row r="410" spans="1:9" x14ac:dyDescent="0.25">
      <c r="A410" s="3"/>
      <c r="B410" s="3"/>
      <c r="C410" s="3"/>
      <c r="D410" s="3"/>
      <c r="E410" s="3"/>
      <c r="F410" s="3"/>
      <c r="G410" s="3"/>
      <c r="H410" s="3"/>
      <c r="I410" s="3"/>
    </row>
    <row r="411" spans="1:9" x14ac:dyDescent="0.25">
      <c r="A411" s="3"/>
      <c r="B411" s="3"/>
      <c r="C411" s="3"/>
      <c r="D411" s="3"/>
      <c r="E411" s="3"/>
      <c r="F411" s="3"/>
      <c r="G411" s="3"/>
      <c r="H411" s="3"/>
      <c r="I411" s="3"/>
    </row>
    <row r="412" spans="1:9" x14ac:dyDescent="0.25">
      <c r="A412" s="3"/>
      <c r="B412" s="3"/>
      <c r="C412" s="3"/>
      <c r="D412" s="3"/>
      <c r="E412" s="3"/>
      <c r="F412" s="3"/>
      <c r="G412" s="3"/>
      <c r="H412" s="3"/>
      <c r="I412" s="3"/>
    </row>
    <row r="413" spans="1:9" x14ac:dyDescent="0.25">
      <c r="A413" s="3"/>
      <c r="B413" s="3"/>
      <c r="C413" s="3"/>
      <c r="D413" s="3"/>
      <c r="E413" s="3"/>
      <c r="F413" s="3"/>
      <c r="G413" s="3"/>
      <c r="H413" s="3"/>
      <c r="I413" s="3"/>
    </row>
    <row r="414" spans="1:9" x14ac:dyDescent="0.25">
      <c r="A414" s="3"/>
      <c r="B414" s="3"/>
      <c r="C414" s="3"/>
      <c r="D414" s="3"/>
      <c r="E414" s="3"/>
      <c r="F414" s="3"/>
      <c r="G414" s="3"/>
      <c r="H414" s="3"/>
      <c r="I414" s="3"/>
    </row>
    <row r="415" spans="1:9" x14ac:dyDescent="0.25">
      <c r="A415" s="3"/>
      <c r="B415" s="3"/>
      <c r="C415" s="3"/>
      <c r="D415" s="3"/>
      <c r="E415" s="3"/>
      <c r="F415" s="3"/>
      <c r="G415" s="3"/>
      <c r="H415" s="3"/>
      <c r="I415" s="3"/>
    </row>
    <row r="416" spans="1:9" x14ac:dyDescent="0.25">
      <c r="A416" s="3"/>
      <c r="B416" s="3"/>
      <c r="C416" s="3"/>
      <c r="D416" s="3"/>
      <c r="E416" s="3"/>
      <c r="F416" s="3"/>
      <c r="G416" s="3"/>
      <c r="H416" s="3"/>
      <c r="I416" s="3"/>
    </row>
    <row r="417" spans="1:9" x14ac:dyDescent="0.25">
      <c r="A417" s="3"/>
      <c r="B417" s="3"/>
      <c r="C417" s="3"/>
      <c r="D417" s="3"/>
      <c r="E417" s="3"/>
      <c r="F417" s="3"/>
      <c r="G417" s="3"/>
      <c r="H417" s="3"/>
      <c r="I417" s="3"/>
    </row>
    <row r="418" spans="1:9" x14ac:dyDescent="0.25">
      <c r="A418" s="3"/>
      <c r="B418" s="3"/>
      <c r="C418" s="3"/>
      <c r="D418" s="3"/>
      <c r="E418" s="3"/>
      <c r="F418" s="3"/>
      <c r="G418" s="3"/>
      <c r="H418" s="3"/>
      <c r="I418" s="3"/>
    </row>
    <row r="419" spans="1:9" x14ac:dyDescent="0.25">
      <c r="A419" s="3"/>
      <c r="B419" s="3"/>
      <c r="C419" s="3"/>
      <c r="D419" s="3"/>
      <c r="E419" s="3"/>
      <c r="F419" s="3"/>
      <c r="G419" s="3"/>
      <c r="H419" s="3"/>
      <c r="I419" s="3"/>
    </row>
    <row r="420" spans="1:9" x14ac:dyDescent="0.25">
      <c r="A420" s="3"/>
      <c r="B420" s="3"/>
      <c r="C420" s="3"/>
      <c r="D420" s="3"/>
      <c r="E420" s="3"/>
      <c r="F420" s="3"/>
      <c r="G420" s="3"/>
      <c r="H420" s="3"/>
      <c r="I420" s="3"/>
    </row>
    <row r="421" spans="1:9" x14ac:dyDescent="0.25">
      <c r="A421" s="3"/>
      <c r="B421" s="3"/>
      <c r="C421" s="3"/>
      <c r="D421" s="3"/>
      <c r="E421" s="3"/>
      <c r="F421" s="3"/>
      <c r="G421" s="3"/>
      <c r="H421" s="3"/>
      <c r="I421" s="3"/>
    </row>
    <row r="422" spans="1:9" x14ac:dyDescent="0.25">
      <c r="A422" s="3"/>
      <c r="B422" s="3"/>
      <c r="C422" s="3"/>
      <c r="D422" s="3"/>
      <c r="E422" s="3"/>
      <c r="F422" s="3"/>
      <c r="G422" s="3"/>
      <c r="H422" s="3"/>
      <c r="I422" s="3"/>
    </row>
    <row r="423" spans="1:9" x14ac:dyDescent="0.25">
      <c r="A423" s="3"/>
      <c r="B423" s="3"/>
      <c r="C423" s="3"/>
      <c r="D423" s="3"/>
      <c r="E423" s="3"/>
      <c r="F423" s="3"/>
      <c r="G423" s="3"/>
      <c r="H423" s="3"/>
      <c r="I423" s="3"/>
    </row>
    <row r="424" spans="1:9" x14ac:dyDescent="0.25">
      <c r="A424" s="3"/>
      <c r="B424" s="3"/>
      <c r="C424" s="3"/>
      <c r="D424" s="3"/>
      <c r="E424" s="3"/>
      <c r="F424" s="3"/>
      <c r="G424" s="3"/>
      <c r="H424" s="3"/>
      <c r="I424" s="3"/>
    </row>
    <row r="425" spans="1:9" x14ac:dyDescent="0.25">
      <c r="A425" s="3"/>
      <c r="B425" s="3"/>
      <c r="C425" s="3"/>
      <c r="D425" s="3"/>
      <c r="E425" s="3"/>
      <c r="F425" s="3"/>
      <c r="G425" s="3"/>
      <c r="H425" s="3"/>
      <c r="I425" s="3"/>
    </row>
    <row r="426" spans="1:9" x14ac:dyDescent="0.25">
      <c r="A426" s="3"/>
      <c r="B426" s="3"/>
      <c r="C426" s="3"/>
      <c r="D426" s="3"/>
      <c r="E426" s="3"/>
      <c r="F426" s="3"/>
      <c r="G426" s="3"/>
      <c r="H426" s="3"/>
      <c r="I426" s="3"/>
    </row>
    <row r="427" spans="1:9" x14ac:dyDescent="0.25">
      <c r="A427" s="3"/>
      <c r="B427" s="3"/>
      <c r="C427" s="3"/>
      <c r="D427" s="3"/>
      <c r="E427" s="3"/>
      <c r="F427" s="3"/>
      <c r="G427" s="3"/>
      <c r="H427" s="3"/>
      <c r="I427" s="3"/>
    </row>
    <row r="428" spans="1:9" x14ac:dyDescent="0.25">
      <c r="A428" s="3"/>
      <c r="B428" s="3"/>
      <c r="C428" s="3"/>
      <c r="D428" s="3"/>
      <c r="E428" s="3"/>
      <c r="F428" s="3"/>
      <c r="G428" s="3"/>
      <c r="H428" s="3"/>
      <c r="I428" s="3"/>
    </row>
    <row r="429" spans="1:9" x14ac:dyDescent="0.25">
      <c r="A429" s="3"/>
      <c r="B429" s="3"/>
      <c r="C429" s="3"/>
      <c r="D429" s="3"/>
      <c r="E429" s="3"/>
      <c r="F429" s="3"/>
      <c r="G429" s="3"/>
      <c r="H429" s="3"/>
      <c r="I429" s="3"/>
    </row>
    <row r="430" spans="1:9" x14ac:dyDescent="0.25">
      <c r="A430" s="3"/>
      <c r="B430" s="3"/>
      <c r="C430" s="3"/>
      <c r="D430" s="3"/>
      <c r="E430" s="3"/>
      <c r="F430" s="3"/>
      <c r="G430" s="3"/>
      <c r="H430" s="3"/>
      <c r="I430" s="3"/>
    </row>
    <row r="431" spans="1:9" x14ac:dyDescent="0.25">
      <c r="A431" s="3"/>
      <c r="B431" s="3"/>
      <c r="C431" s="3"/>
      <c r="D431" s="3"/>
      <c r="E431" s="3"/>
      <c r="F431" s="3"/>
      <c r="G431" s="3"/>
      <c r="H431" s="3"/>
      <c r="I431" s="3"/>
    </row>
    <row r="432" spans="1:9" x14ac:dyDescent="0.25">
      <c r="A432" s="3"/>
      <c r="B432" s="3"/>
      <c r="C432" s="3"/>
      <c r="D432" s="3"/>
      <c r="E432" s="3"/>
      <c r="F432" s="3"/>
      <c r="G432" s="3"/>
      <c r="H432" s="3"/>
      <c r="I432" s="3"/>
    </row>
    <row r="433" spans="1:9" x14ac:dyDescent="0.25">
      <c r="A433" s="3"/>
      <c r="B433" s="3"/>
      <c r="C433" s="3"/>
      <c r="D433" s="3"/>
      <c r="E433" s="3"/>
      <c r="F433" s="3"/>
      <c r="G433" s="3"/>
      <c r="H433" s="3"/>
      <c r="I433" s="3"/>
    </row>
    <row r="434" spans="1:9" x14ac:dyDescent="0.25">
      <c r="A434" s="3"/>
      <c r="B434" s="3"/>
      <c r="C434" s="3"/>
      <c r="D434" s="3"/>
      <c r="E434" s="3"/>
      <c r="F434" s="3"/>
      <c r="G434" s="3"/>
      <c r="H434" s="3"/>
      <c r="I434" s="3"/>
    </row>
    <row r="435" spans="1:9" x14ac:dyDescent="0.25">
      <c r="A435" s="3"/>
      <c r="B435" s="3"/>
      <c r="C435" s="3"/>
      <c r="D435" s="3"/>
      <c r="E435" s="3"/>
      <c r="F435" s="3"/>
      <c r="G435" s="3"/>
      <c r="H435" s="3"/>
      <c r="I435" s="3"/>
    </row>
    <row r="436" spans="1:9" x14ac:dyDescent="0.25">
      <c r="A436" s="3"/>
      <c r="B436" s="3"/>
      <c r="C436" s="3"/>
      <c r="D436" s="3"/>
      <c r="E436" s="3"/>
      <c r="F436" s="3"/>
      <c r="G436" s="3"/>
      <c r="H436" s="3"/>
      <c r="I436" s="3"/>
    </row>
    <row r="437" spans="1:9" x14ac:dyDescent="0.25">
      <c r="A437" s="3"/>
      <c r="B437" s="3"/>
      <c r="C437" s="3"/>
      <c r="D437" s="3"/>
      <c r="E437" s="3"/>
      <c r="F437" s="3"/>
      <c r="G437" s="3"/>
      <c r="H437" s="3"/>
      <c r="I437" s="3"/>
    </row>
    <row r="438" spans="1:9" x14ac:dyDescent="0.25">
      <c r="A438" s="3"/>
      <c r="B438" s="3"/>
      <c r="C438" s="3"/>
      <c r="D438" s="3"/>
      <c r="E438" s="3"/>
      <c r="F438" s="3"/>
      <c r="G438" s="3"/>
      <c r="H438" s="3"/>
      <c r="I438" s="3"/>
    </row>
    <row r="439" spans="1:9" x14ac:dyDescent="0.25">
      <c r="A439" s="3"/>
      <c r="B439" s="3"/>
      <c r="C439" s="3"/>
      <c r="D439" s="3"/>
      <c r="E439" s="3"/>
      <c r="F439" s="3"/>
      <c r="G439" s="3"/>
      <c r="H439" s="3"/>
      <c r="I439" s="3"/>
    </row>
    <row r="440" spans="1:9" x14ac:dyDescent="0.25">
      <c r="A440" s="3"/>
      <c r="B440" s="3"/>
      <c r="C440" s="3"/>
      <c r="D440" s="3"/>
      <c r="E440" s="3"/>
      <c r="F440" s="3"/>
      <c r="G440" s="3"/>
      <c r="H440" s="3"/>
      <c r="I440" s="3"/>
    </row>
    <row r="441" spans="1:9" x14ac:dyDescent="0.25">
      <c r="A441" s="3"/>
      <c r="B441" s="3"/>
      <c r="C441" s="3"/>
      <c r="D441" s="3"/>
      <c r="E441" s="3"/>
      <c r="F441" s="3"/>
      <c r="G441" s="3"/>
      <c r="H441" s="3"/>
      <c r="I441" s="3"/>
    </row>
    <row r="442" spans="1:9" x14ac:dyDescent="0.25">
      <c r="A442" s="3"/>
      <c r="B442" s="3"/>
      <c r="C442" s="3"/>
      <c r="D442" s="3"/>
      <c r="E442" s="3"/>
      <c r="F442" s="3"/>
      <c r="G442" s="3"/>
      <c r="H442" s="3"/>
      <c r="I442" s="3"/>
    </row>
    <row r="443" spans="1:9" x14ac:dyDescent="0.25">
      <c r="A443" s="3"/>
      <c r="B443" s="3"/>
      <c r="C443" s="3"/>
      <c r="D443" s="3"/>
      <c r="E443" s="3"/>
      <c r="F443" s="3"/>
      <c r="G443" s="3"/>
      <c r="H443" s="3"/>
      <c r="I443" s="3"/>
    </row>
    <row r="444" spans="1:9" x14ac:dyDescent="0.25">
      <c r="A444" s="3"/>
      <c r="B444" s="3"/>
      <c r="C444" s="3"/>
      <c r="D444" s="3"/>
      <c r="E444" s="3"/>
      <c r="F444" s="3"/>
      <c r="G444" s="3"/>
      <c r="H444" s="3"/>
      <c r="I444" s="3"/>
    </row>
    <row r="445" spans="1:9" x14ac:dyDescent="0.25">
      <c r="A445" s="3"/>
      <c r="B445" s="3"/>
      <c r="C445" s="3"/>
      <c r="D445" s="3"/>
      <c r="E445" s="3"/>
      <c r="F445" s="3"/>
      <c r="G445" s="3"/>
      <c r="H445" s="3"/>
      <c r="I445" s="3"/>
    </row>
    <row r="446" spans="1:9" x14ac:dyDescent="0.25">
      <c r="A446" s="3"/>
      <c r="B446" s="3"/>
      <c r="C446" s="3"/>
      <c r="D446" s="3"/>
      <c r="E446" s="3"/>
      <c r="F446" s="3"/>
      <c r="G446" s="3"/>
      <c r="H446" s="3"/>
      <c r="I446" s="3"/>
    </row>
    <row r="447" spans="1:9" x14ac:dyDescent="0.25">
      <c r="A447" s="3"/>
      <c r="B447" s="3"/>
      <c r="C447" s="3"/>
      <c r="D447" s="3"/>
      <c r="E447" s="3"/>
      <c r="F447" s="3"/>
      <c r="G447" s="3"/>
      <c r="H447" s="3"/>
      <c r="I447" s="3"/>
    </row>
    <row r="448" spans="1:9" x14ac:dyDescent="0.25">
      <c r="A448" s="3"/>
      <c r="B448" s="3"/>
      <c r="C448" s="3"/>
      <c r="D448" s="3"/>
      <c r="E448" s="3"/>
      <c r="F448" s="3"/>
      <c r="G448" s="3"/>
      <c r="H448" s="3"/>
      <c r="I448" s="3"/>
    </row>
    <row r="449" spans="1:9" x14ac:dyDescent="0.25">
      <c r="A449" s="3"/>
      <c r="B449" s="3"/>
      <c r="C449" s="3"/>
      <c r="D449" s="3"/>
      <c r="E449" s="3"/>
      <c r="F449" s="3"/>
      <c r="G449" s="3"/>
      <c r="H449" s="3"/>
      <c r="I449" s="3"/>
    </row>
    <row r="450" spans="1:9" x14ac:dyDescent="0.25">
      <c r="A450" s="3"/>
      <c r="B450" s="3"/>
      <c r="C450" s="3"/>
      <c r="D450" s="3"/>
      <c r="E450" s="3"/>
      <c r="F450" s="3"/>
      <c r="G450" s="3"/>
      <c r="H450" s="3"/>
      <c r="I450" s="3"/>
    </row>
    <row r="451" spans="1:9" x14ac:dyDescent="0.25">
      <c r="A451" s="3"/>
      <c r="B451" s="3"/>
      <c r="C451" s="3"/>
      <c r="D451" s="3"/>
      <c r="E451" s="3"/>
      <c r="F451" s="3"/>
      <c r="G451" s="3"/>
      <c r="H451" s="3"/>
      <c r="I451" s="3"/>
    </row>
    <row r="452" spans="1:9" x14ac:dyDescent="0.25">
      <c r="A452" s="3"/>
      <c r="B452" s="3"/>
      <c r="C452" s="3"/>
      <c r="D452" s="3"/>
      <c r="E452" s="3"/>
      <c r="F452" s="3"/>
      <c r="G452" s="3"/>
      <c r="H452" s="3"/>
      <c r="I452" s="3"/>
    </row>
    <row r="453" spans="1:9" x14ac:dyDescent="0.25">
      <c r="A453" s="3"/>
      <c r="B453" s="3"/>
      <c r="C453" s="3"/>
      <c r="D453" s="3"/>
      <c r="E453" s="3"/>
      <c r="F453" s="3"/>
      <c r="G453" s="3"/>
      <c r="H453" s="3"/>
      <c r="I453" s="3"/>
    </row>
    <row r="454" spans="1:9" x14ac:dyDescent="0.25">
      <c r="A454" s="3"/>
      <c r="B454" s="3"/>
      <c r="C454" s="3"/>
      <c r="D454" s="3"/>
      <c r="E454" s="3"/>
      <c r="F454" s="3"/>
      <c r="G454" s="3"/>
      <c r="H454" s="3"/>
      <c r="I454" s="3"/>
    </row>
    <row r="455" spans="1:9" x14ac:dyDescent="0.25">
      <c r="A455" s="3"/>
      <c r="B455" s="3"/>
      <c r="C455" s="3"/>
      <c r="D455" s="3"/>
      <c r="E455" s="3"/>
      <c r="F455" s="3"/>
      <c r="G455" s="3"/>
      <c r="H455" s="3"/>
      <c r="I455" s="3"/>
    </row>
    <row r="456" spans="1:9" x14ac:dyDescent="0.25">
      <c r="A456" s="3"/>
      <c r="B456" s="3"/>
      <c r="C456" s="3"/>
      <c r="D456" s="3"/>
      <c r="E456" s="3"/>
      <c r="F456" s="3"/>
      <c r="G456" s="3"/>
      <c r="H456" s="3"/>
      <c r="I456" s="3"/>
    </row>
    <row r="457" spans="1:9" x14ac:dyDescent="0.25">
      <c r="A457" s="3"/>
      <c r="B457" s="3"/>
      <c r="C457" s="3"/>
      <c r="D457" s="3"/>
      <c r="E457" s="3"/>
      <c r="F457" s="3"/>
      <c r="G457" s="3"/>
      <c r="H457" s="3"/>
      <c r="I457" s="3"/>
    </row>
    <row r="458" spans="1:9" x14ac:dyDescent="0.25">
      <c r="A458" s="3"/>
      <c r="B458" s="3"/>
      <c r="C458" s="3"/>
      <c r="D458" s="3"/>
      <c r="E458" s="3"/>
      <c r="F458" s="3"/>
      <c r="G458" s="3"/>
      <c r="H458" s="3"/>
      <c r="I458" s="3"/>
    </row>
    <row r="459" spans="1:9" x14ac:dyDescent="0.25">
      <c r="A459" s="3"/>
      <c r="B459" s="3"/>
      <c r="C459" s="3"/>
      <c r="D459" s="3"/>
      <c r="E459" s="3"/>
      <c r="F459" s="3"/>
      <c r="G459" s="3"/>
      <c r="H459" s="3"/>
      <c r="I459" s="3"/>
    </row>
    <row r="460" spans="1:9" x14ac:dyDescent="0.25">
      <c r="A460" s="3"/>
      <c r="B460" s="3"/>
      <c r="C460" s="3"/>
      <c r="D460" s="3"/>
      <c r="E460" s="3"/>
      <c r="F460" s="3"/>
      <c r="G460" s="3"/>
      <c r="H460" s="3"/>
      <c r="I460" s="3"/>
    </row>
    <row r="461" spans="1:9" x14ac:dyDescent="0.25">
      <c r="A461" s="3"/>
      <c r="B461" s="3"/>
      <c r="C461" s="3"/>
      <c r="D461" s="3"/>
      <c r="E461" s="3"/>
      <c r="F461" s="3"/>
      <c r="G461" s="3"/>
      <c r="H461" s="3"/>
      <c r="I461" s="3"/>
    </row>
    <row r="462" spans="1:9" x14ac:dyDescent="0.25">
      <c r="A462" s="3"/>
      <c r="B462" s="3"/>
      <c r="C462" s="3"/>
      <c r="D462" s="3"/>
      <c r="E462" s="3"/>
      <c r="F462" s="3"/>
      <c r="G462" s="3"/>
      <c r="H462" s="3"/>
      <c r="I462" s="3"/>
    </row>
    <row r="463" spans="1:9" x14ac:dyDescent="0.25">
      <c r="A463" s="3"/>
      <c r="B463" s="3"/>
      <c r="C463" s="3"/>
      <c r="D463" s="3"/>
      <c r="E463" s="3"/>
      <c r="F463" s="3"/>
      <c r="G463" s="3"/>
      <c r="H463" s="3"/>
      <c r="I463" s="3"/>
    </row>
    <row r="464" spans="1:9" x14ac:dyDescent="0.25">
      <c r="A464" s="3"/>
      <c r="B464" s="3"/>
      <c r="C464" s="3"/>
      <c r="D464" s="3"/>
      <c r="E464" s="3"/>
      <c r="F464" s="3"/>
      <c r="G464" s="3"/>
      <c r="H464" s="3"/>
      <c r="I464" s="3"/>
    </row>
    <row r="465" spans="1:9" x14ac:dyDescent="0.25">
      <c r="A465" s="3"/>
      <c r="B465" s="3"/>
      <c r="C465" s="3"/>
      <c r="D465" s="3"/>
      <c r="E465" s="3"/>
      <c r="F465" s="3"/>
      <c r="G465" s="3"/>
      <c r="H465" s="3"/>
      <c r="I465" s="3"/>
    </row>
    <row r="466" spans="1:9" x14ac:dyDescent="0.25">
      <c r="A466" s="3"/>
      <c r="B466" s="3"/>
      <c r="C466" s="3"/>
      <c r="D466" s="3"/>
      <c r="E466" s="3"/>
      <c r="F466" s="3"/>
      <c r="G466" s="3"/>
      <c r="H466" s="3"/>
      <c r="I466" s="3"/>
    </row>
    <row r="467" spans="1:9" x14ac:dyDescent="0.25">
      <c r="A467" s="3"/>
      <c r="B467" s="3"/>
      <c r="C467" s="3"/>
      <c r="D467" s="3"/>
      <c r="E467" s="3"/>
      <c r="F467" s="3"/>
      <c r="G467" s="3"/>
      <c r="H467" s="3"/>
      <c r="I467" s="3"/>
    </row>
    <row r="468" spans="1:9" x14ac:dyDescent="0.25">
      <c r="A468" s="3"/>
      <c r="B468" s="3"/>
      <c r="C468" s="3"/>
      <c r="D468" s="3"/>
      <c r="E468" s="3"/>
      <c r="F468" s="3"/>
      <c r="G468" s="3"/>
      <c r="H468" s="3"/>
      <c r="I468" s="3"/>
    </row>
    <row r="469" spans="1:9" x14ac:dyDescent="0.25">
      <c r="A469" s="3"/>
      <c r="B469" s="3"/>
      <c r="C469" s="3"/>
      <c r="D469" s="3"/>
      <c r="E469" s="3"/>
      <c r="F469" s="3"/>
      <c r="G469" s="3"/>
      <c r="H469" s="3"/>
      <c r="I469" s="3"/>
    </row>
    <row r="470" spans="1:9" x14ac:dyDescent="0.25">
      <c r="A470" s="3"/>
      <c r="B470" s="3"/>
      <c r="C470" s="3"/>
      <c r="D470" s="3"/>
      <c r="E470" s="3"/>
      <c r="F470" s="3"/>
      <c r="G470" s="3"/>
      <c r="H470" s="3"/>
      <c r="I470" s="3"/>
    </row>
    <row r="471" spans="1:9" x14ac:dyDescent="0.25">
      <c r="A471" s="3"/>
      <c r="B471" s="3"/>
      <c r="C471" s="3"/>
      <c r="D471" s="3"/>
      <c r="E471" s="3"/>
      <c r="F471" s="3"/>
      <c r="G471" s="3"/>
      <c r="H471" s="3"/>
      <c r="I471" s="3"/>
    </row>
    <row r="472" spans="1:9" x14ac:dyDescent="0.25">
      <c r="A472" s="3"/>
      <c r="B472" s="3"/>
      <c r="C472" s="3"/>
      <c r="D472" s="3"/>
      <c r="E472" s="3"/>
      <c r="F472" s="3"/>
      <c r="G472" s="3"/>
      <c r="H472" s="3"/>
      <c r="I472" s="3"/>
    </row>
    <row r="473" spans="1:9" x14ac:dyDescent="0.25">
      <c r="A473" s="3"/>
      <c r="B473" s="3"/>
      <c r="C473" s="3"/>
      <c r="D473" s="3"/>
      <c r="E473" s="3"/>
      <c r="F473" s="3"/>
      <c r="G473" s="3"/>
      <c r="H473" s="3"/>
      <c r="I473" s="3"/>
    </row>
    <row r="474" spans="1:9" x14ac:dyDescent="0.25">
      <c r="A474" s="3"/>
      <c r="B474" s="3"/>
      <c r="C474" s="3"/>
      <c r="D474" s="3"/>
      <c r="E474" s="3"/>
      <c r="F474" s="3"/>
      <c r="G474" s="3"/>
      <c r="H474" s="3"/>
      <c r="I474" s="3"/>
    </row>
    <row r="475" spans="1:9" x14ac:dyDescent="0.25">
      <c r="A475" s="3"/>
      <c r="B475" s="3"/>
      <c r="C475" s="3"/>
      <c r="D475" s="3"/>
      <c r="E475" s="3"/>
      <c r="F475" s="3"/>
      <c r="G475" s="3"/>
      <c r="H475" s="3"/>
      <c r="I475" s="3"/>
    </row>
    <row r="476" spans="1:9" x14ac:dyDescent="0.25">
      <c r="A476" s="3"/>
      <c r="B476" s="3"/>
      <c r="C476" s="3"/>
      <c r="D476" s="3"/>
      <c r="E476" s="3"/>
      <c r="F476" s="3"/>
      <c r="G476" s="3"/>
      <c r="H476" s="3"/>
      <c r="I476" s="3"/>
    </row>
    <row r="477" spans="1:9" x14ac:dyDescent="0.25">
      <c r="A477" s="3"/>
      <c r="B477" s="3"/>
      <c r="C477" s="3"/>
      <c r="D477" s="3"/>
      <c r="E477" s="3"/>
      <c r="F477" s="3"/>
      <c r="G477" s="3"/>
      <c r="H477" s="3"/>
      <c r="I477" s="3"/>
    </row>
    <row r="478" spans="1:9" x14ac:dyDescent="0.25">
      <c r="A478" s="3"/>
      <c r="B478" s="3"/>
      <c r="C478" s="3"/>
      <c r="D478" s="3"/>
      <c r="E478" s="3"/>
      <c r="F478" s="3"/>
      <c r="G478" s="3"/>
      <c r="H478" s="3"/>
      <c r="I478" s="3"/>
    </row>
    <row r="479" spans="1:9" x14ac:dyDescent="0.25">
      <c r="A479" s="3"/>
      <c r="B479" s="3"/>
      <c r="C479" s="3"/>
      <c r="D479" s="3"/>
      <c r="E479" s="3"/>
      <c r="F479" s="3"/>
      <c r="G479" s="3"/>
      <c r="H479" s="3"/>
      <c r="I479" s="3"/>
    </row>
    <row r="480" spans="1:9" x14ac:dyDescent="0.25">
      <c r="A480" s="3"/>
      <c r="B480" s="3"/>
      <c r="C480" s="3"/>
      <c r="D480" s="3"/>
      <c r="E480" s="3"/>
      <c r="F480" s="3"/>
      <c r="G480" s="3"/>
      <c r="H480" s="3"/>
      <c r="I480" s="3"/>
    </row>
    <row r="481" spans="1:9" x14ac:dyDescent="0.25">
      <c r="A481" s="3"/>
      <c r="B481" s="3"/>
      <c r="C481" s="3"/>
      <c r="D481" s="3"/>
      <c r="E481" s="3"/>
      <c r="F481" s="3"/>
      <c r="G481" s="3"/>
      <c r="H481" s="3"/>
      <c r="I481" s="3"/>
    </row>
    <row r="482" spans="1:9" x14ac:dyDescent="0.25">
      <c r="A482" s="3"/>
      <c r="B482" s="3"/>
      <c r="C482" s="3"/>
      <c r="D482" s="3"/>
      <c r="E482" s="3"/>
      <c r="F482" s="3"/>
      <c r="G482" s="3"/>
      <c r="H482" s="3"/>
      <c r="I482" s="3"/>
    </row>
    <row r="483" spans="1:9" x14ac:dyDescent="0.25">
      <c r="A483" s="3"/>
      <c r="B483" s="3"/>
      <c r="C483" s="3"/>
      <c r="D483" s="3"/>
      <c r="E483" s="3"/>
      <c r="F483" s="3"/>
      <c r="G483" s="3"/>
      <c r="H483" s="3"/>
      <c r="I483" s="3"/>
    </row>
    <row r="484" spans="1:9" x14ac:dyDescent="0.25">
      <c r="A484" s="3"/>
      <c r="B484" s="3"/>
      <c r="C484" s="3"/>
      <c r="D484" s="3"/>
      <c r="E484" s="3"/>
      <c r="F484" s="3"/>
      <c r="G484" s="3"/>
      <c r="H484" s="3"/>
      <c r="I484" s="3"/>
    </row>
    <row r="485" spans="1:9" x14ac:dyDescent="0.25">
      <c r="A485" s="3"/>
      <c r="B485" s="3"/>
      <c r="C485" s="3"/>
      <c r="D485" s="3"/>
      <c r="E485" s="3"/>
      <c r="F485" s="3"/>
      <c r="G485" s="3"/>
      <c r="H485" s="3"/>
      <c r="I485" s="3"/>
    </row>
    <row r="486" spans="1:9" x14ac:dyDescent="0.25">
      <c r="A486" s="3"/>
      <c r="B486" s="3"/>
      <c r="C486" s="3"/>
      <c r="D486" s="3"/>
      <c r="E486" s="3"/>
      <c r="F486" s="3"/>
      <c r="G486" s="3"/>
      <c r="H486" s="3"/>
      <c r="I486" s="3"/>
    </row>
    <row r="487" spans="1:9" x14ac:dyDescent="0.25">
      <c r="A487" s="3"/>
      <c r="B487" s="3"/>
      <c r="C487" s="3"/>
      <c r="D487" s="3"/>
      <c r="E487" s="3"/>
      <c r="F487" s="3"/>
      <c r="G487" s="3"/>
      <c r="H487" s="3"/>
      <c r="I487" s="3"/>
    </row>
    <row r="488" spans="1:9" x14ac:dyDescent="0.25">
      <c r="A488" s="3"/>
      <c r="B488" s="3"/>
      <c r="C488" s="3"/>
      <c r="D488" s="3"/>
      <c r="E488" s="3"/>
      <c r="F488" s="3"/>
      <c r="G488" s="3"/>
      <c r="H488" s="3"/>
      <c r="I488" s="3"/>
    </row>
    <row r="489" spans="1:9" x14ac:dyDescent="0.25">
      <c r="A489" s="3"/>
      <c r="B489" s="3"/>
      <c r="C489" s="3"/>
      <c r="D489" s="3"/>
      <c r="E489" s="3"/>
      <c r="F489" s="3"/>
      <c r="G489" s="3"/>
      <c r="H489" s="3"/>
      <c r="I489" s="3"/>
    </row>
    <row r="490" spans="1:9" x14ac:dyDescent="0.25">
      <c r="A490" s="3"/>
      <c r="B490" s="3"/>
      <c r="C490" s="3"/>
      <c r="D490" s="3"/>
      <c r="E490" s="3"/>
      <c r="F490" s="3"/>
      <c r="G490" s="3"/>
      <c r="H490" s="3"/>
      <c r="I490" s="3"/>
    </row>
    <row r="491" spans="1:9" x14ac:dyDescent="0.25">
      <c r="A491" s="3"/>
      <c r="B491" s="3"/>
      <c r="C491" s="3"/>
      <c r="D491" s="3"/>
      <c r="E491" s="3"/>
      <c r="F491" s="3"/>
      <c r="G491" s="3"/>
      <c r="H491" s="3"/>
      <c r="I491" s="3"/>
    </row>
    <row r="492" spans="1:9" x14ac:dyDescent="0.25">
      <c r="A492" s="3"/>
      <c r="B492" s="3"/>
      <c r="C492" s="3"/>
      <c r="D492" s="3"/>
      <c r="E492" s="3"/>
      <c r="F492" s="3"/>
      <c r="G492" s="3"/>
      <c r="H492" s="3"/>
      <c r="I492" s="3"/>
    </row>
    <row r="493" spans="1:9" x14ac:dyDescent="0.25">
      <c r="A493" s="3"/>
      <c r="B493" s="3"/>
      <c r="C493" s="3"/>
      <c r="D493" s="3"/>
      <c r="E493" s="3"/>
      <c r="F493" s="3"/>
      <c r="G493" s="3"/>
      <c r="H493" s="3"/>
      <c r="I493" s="3"/>
    </row>
    <row r="494" spans="1:9" x14ac:dyDescent="0.25">
      <c r="A494" s="3"/>
      <c r="B494" s="3"/>
      <c r="C494" s="3"/>
      <c r="D494" s="3"/>
      <c r="E494" s="3"/>
      <c r="F494" s="3"/>
      <c r="G494" s="3"/>
      <c r="H494" s="3"/>
      <c r="I494" s="3"/>
    </row>
    <row r="495" spans="1:9" x14ac:dyDescent="0.25">
      <c r="A495" s="3"/>
      <c r="B495" s="3"/>
      <c r="C495" s="3"/>
      <c r="D495" s="3"/>
      <c r="E495" s="3"/>
      <c r="F495" s="3"/>
      <c r="G495" s="3"/>
      <c r="H495" s="3"/>
      <c r="I495" s="3"/>
    </row>
    <row r="496" spans="1:9" x14ac:dyDescent="0.25">
      <c r="A496" s="3"/>
      <c r="B496" s="3"/>
      <c r="C496" s="3"/>
      <c r="D496" s="3"/>
      <c r="E496" s="3"/>
      <c r="F496" s="3"/>
      <c r="G496" s="3"/>
      <c r="H496" s="3"/>
      <c r="I496" s="3"/>
    </row>
    <row r="497" spans="1:9" x14ac:dyDescent="0.25">
      <c r="A497" s="3"/>
      <c r="B497" s="3"/>
      <c r="C497" s="3"/>
      <c r="D497" s="3"/>
      <c r="E497" s="3"/>
      <c r="F497" s="3"/>
      <c r="G497" s="3"/>
      <c r="H497" s="3"/>
      <c r="I497" s="3"/>
    </row>
    <row r="498" spans="1:9" x14ac:dyDescent="0.25">
      <c r="A498" s="3"/>
      <c r="B498" s="3"/>
      <c r="C498" s="3"/>
      <c r="D498" s="3"/>
      <c r="E498" s="3"/>
      <c r="F498" s="3"/>
      <c r="G498" s="3"/>
      <c r="H498" s="3"/>
      <c r="I498" s="3"/>
    </row>
    <row r="499" spans="1:9" x14ac:dyDescent="0.25">
      <c r="A499" s="3"/>
      <c r="B499" s="3"/>
      <c r="C499" s="3"/>
      <c r="D499" s="3"/>
      <c r="E499" s="3"/>
      <c r="F499" s="3"/>
      <c r="G499" s="3"/>
      <c r="H499" s="3"/>
      <c r="I499" s="3"/>
    </row>
    <row r="500" spans="1:9" x14ac:dyDescent="0.25">
      <c r="A500" s="3"/>
      <c r="B500" s="3"/>
      <c r="C500" s="3"/>
      <c r="D500" s="3"/>
      <c r="E500" s="3"/>
      <c r="F500" s="3"/>
      <c r="G500" s="3"/>
      <c r="H500" s="3"/>
      <c r="I500" s="3"/>
    </row>
    <row r="501" spans="1:9" x14ac:dyDescent="0.25">
      <c r="A501" s="3"/>
      <c r="B501" s="3"/>
      <c r="C501" s="3"/>
      <c r="D501" s="3"/>
      <c r="E501" s="3"/>
      <c r="F501" s="3"/>
      <c r="G501" s="3"/>
      <c r="H501" s="3"/>
      <c r="I501" s="3"/>
    </row>
    <row r="502" spans="1:9" x14ac:dyDescent="0.25">
      <c r="A502" s="3"/>
      <c r="B502" s="3"/>
      <c r="C502" s="3"/>
      <c r="D502" s="3"/>
      <c r="E502" s="3"/>
      <c r="F502" s="3"/>
      <c r="G502" s="3"/>
      <c r="H502" s="3"/>
      <c r="I502" s="3"/>
    </row>
    <row r="503" spans="1:9" x14ac:dyDescent="0.25">
      <c r="A503" s="3"/>
      <c r="B503" s="3"/>
      <c r="C503" s="3"/>
      <c r="D503" s="3"/>
      <c r="E503" s="3"/>
      <c r="F503" s="3"/>
      <c r="G503" s="3"/>
      <c r="H503" s="3"/>
      <c r="I503" s="3"/>
    </row>
    <row r="504" spans="1:9" x14ac:dyDescent="0.25">
      <c r="A504" s="3"/>
      <c r="B504" s="3"/>
      <c r="C504" s="3"/>
      <c r="D504" s="3"/>
      <c r="E504" s="3"/>
      <c r="F504" s="3"/>
      <c r="G504" s="3"/>
      <c r="H504" s="3"/>
      <c r="I504" s="3"/>
    </row>
    <row r="505" spans="1:9" x14ac:dyDescent="0.25">
      <c r="A505" s="3"/>
      <c r="B505" s="3"/>
      <c r="C505" s="3"/>
      <c r="D505" s="3"/>
      <c r="E505" s="3"/>
      <c r="F505" s="3"/>
      <c r="G505" s="3"/>
      <c r="H505" s="3"/>
      <c r="I505" s="3"/>
    </row>
    <row r="506" spans="1:9" x14ac:dyDescent="0.25">
      <c r="A506" s="3"/>
      <c r="B506" s="3"/>
      <c r="C506" s="3"/>
      <c r="D506" s="3"/>
      <c r="E506" s="3"/>
      <c r="F506" s="3"/>
      <c r="G506" s="3"/>
      <c r="H506" s="3"/>
      <c r="I506" s="3"/>
    </row>
    <row r="507" spans="1:9" x14ac:dyDescent="0.25">
      <c r="A507" s="3"/>
      <c r="B507" s="3"/>
      <c r="C507" s="3"/>
      <c r="D507" s="3"/>
      <c r="E507" s="3"/>
      <c r="F507" s="3"/>
      <c r="G507" s="3"/>
      <c r="H507" s="3"/>
      <c r="I507" s="3"/>
    </row>
    <row r="508" spans="1:9" x14ac:dyDescent="0.25">
      <c r="A508" s="3"/>
      <c r="B508" s="3"/>
      <c r="C508" s="3"/>
      <c r="D508" s="3"/>
      <c r="E508" s="3"/>
      <c r="F508" s="3"/>
      <c r="G508" s="3"/>
      <c r="H508" s="3"/>
      <c r="I508" s="3"/>
    </row>
    <row r="509" spans="1:9" x14ac:dyDescent="0.25">
      <c r="A509" s="3"/>
      <c r="B509" s="3"/>
      <c r="C509" s="3"/>
      <c r="D509" s="3"/>
      <c r="E509" s="3"/>
      <c r="F509" s="3"/>
      <c r="G509" s="3"/>
      <c r="H509" s="3"/>
      <c r="I509" s="3"/>
    </row>
    <row r="510" spans="1:9" x14ac:dyDescent="0.25">
      <c r="A510" s="3"/>
      <c r="B510" s="3"/>
      <c r="C510" s="3"/>
      <c r="D510" s="3"/>
      <c r="E510" s="3"/>
      <c r="F510" s="3"/>
      <c r="G510" s="3"/>
      <c r="H510" s="3"/>
      <c r="I510" s="3"/>
    </row>
    <row r="511" spans="1:9" x14ac:dyDescent="0.25">
      <c r="A511" s="3"/>
      <c r="B511" s="3"/>
      <c r="C511" s="3"/>
      <c r="D511" s="3"/>
      <c r="E511" s="3"/>
      <c r="F511" s="3"/>
      <c r="G511" s="3"/>
      <c r="H511" s="3"/>
      <c r="I511" s="3"/>
    </row>
    <row r="512" spans="1:9" x14ac:dyDescent="0.25">
      <c r="A512" s="3"/>
      <c r="B512" s="3"/>
      <c r="C512" s="3"/>
      <c r="D512" s="3"/>
      <c r="E512" s="3"/>
      <c r="F512" s="3"/>
      <c r="G512" s="3"/>
      <c r="H512" s="3"/>
      <c r="I512" s="3"/>
    </row>
    <row r="513" spans="1:9" x14ac:dyDescent="0.25">
      <c r="A513" s="3"/>
      <c r="B513" s="3"/>
      <c r="C513" s="3"/>
      <c r="D513" s="3"/>
      <c r="E513" s="3"/>
      <c r="F513" s="3"/>
      <c r="G513" s="3"/>
      <c r="H513" s="3"/>
      <c r="I513" s="3"/>
    </row>
    <row r="514" spans="1:9" x14ac:dyDescent="0.25">
      <c r="A514" s="3"/>
      <c r="B514" s="3"/>
      <c r="C514" s="3"/>
      <c r="D514" s="3"/>
      <c r="E514" s="3"/>
      <c r="F514" s="3"/>
      <c r="G514" s="3"/>
      <c r="H514" s="3"/>
      <c r="I514" s="3"/>
    </row>
    <row r="515" spans="1:9" x14ac:dyDescent="0.25">
      <c r="A515" s="3"/>
      <c r="B515" s="3"/>
      <c r="C515" s="3"/>
      <c r="D515" s="3"/>
      <c r="E515" s="3"/>
      <c r="F515" s="3"/>
      <c r="G515" s="3"/>
      <c r="H515" s="3"/>
      <c r="I515" s="3"/>
    </row>
    <row r="516" spans="1:9" x14ac:dyDescent="0.25">
      <c r="A516" s="3"/>
      <c r="B516" s="3"/>
      <c r="C516" s="3"/>
      <c r="D516" s="3"/>
      <c r="E516" s="3"/>
      <c r="F516" s="3"/>
      <c r="G516" s="3"/>
      <c r="H516" s="3"/>
      <c r="I516" s="3"/>
    </row>
    <row r="517" spans="1:9" x14ac:dyDescent="0.25">
      <c r="A517" s="3"/>
      <c r="B517" s="3"/>
      <c r="C517" s="3"/>
      <c r="D517" s="3"/>
      <c r="E517" s="3"/>
      <c r="F517" s="3"/>
      <c r="G517" s="3"/>
      <c r="H517" s="3"/>
      <c r="I517" s="3"/>
    </row>
    <row r="518" spans="1:9" x14ac:dyDescent="0.25">
      <c r="A518" s="3"/>
      <c r="B518" s="3"/>
      <c r="C518" s="3"/>
      <c r="D518" s="3"/>
      <c r="E518" s="3"/>
      <c r="F518" s="3"/>
      <c r="G518" s="3"/>
      <c r="H518" s="3"/>
      <c r="I518" s="3"/>
    </row>
    <row r="519" spans="1:9" x14ac:dyDescent="0.25">
      <c r="A519" s="3"/>
      <c r="B519" s="3"/>
      <c r="C519" s="3"/>
      <c r="D519" s="3"/>
      <c r="E519" s="3"/>
      <c r="F519" s="3"/>
      <c r="G519" s="3"/>
      <c r="H519" s="3"/>
      <c r="I519" s="3"/>
    </row>
    <row r="520" spans="1:9" x14ac:dyDescent="0.25">
      <c r="A520" s="3"/>
      <c r="B520" s="3"/>
      <c r="C520" s="3"/>
      <c r="D520" s="3"/>
      <c r="E520" s="3"/>
      <c r="F520" s="3"/>
      <c r="G520" s="3"/>
      <c r="H520" s="3"/>
      <c r="I520" s="3"/>
    </row>
    <row r="521" spans="1:9" x14ac:dyDescent="0.25">
      <c r="A521" s="3"/>
      <c r="B521" s="3"/>
      <c r="C521" s="3"/>
      <c r="D521" s="3"/>
      <c r="E521" s="3"/>
      <c r="F521" s="3"/>
      <c r="G521" s="3"/>
      <c r="H521" s="3"/>
      <c r="I521" s="3"/>
    </row>
    <row r="522" spans="1:9" x14ac:dyDescent="0.25">
      <c r="A522" s="3"/>
      <c r="B522" s="3"/>
      <c r="C522" s="3"/>
      <c r="D522" s="3"/>
      <c r="E522" s="3"/>
      <c r="F522" s="3"/>
      <c r="G522" s="3"/>
      <c r="H522" s="3"/>
      <c r="I522" s="3"/>
    </row>
    <row r="523" spans="1:9" x14ac:dyDescent="0.25">
      <c r="A523" s="3"/>
      <c r="B523" s="3"/>
      <c r="C523" s="3"/>
      <c r="D523" s="3"/>
      <c r="E523" s="3"/>
      <c r="F523" s="3"/>
      <c r="G523" s="3"/>
      <c r="H523" s="3"/>
      <c r="I523" s="3"/>
    </row>
    <row r="524" spans="1:9" x14ac:dyDescent="0.25">
      <c r="A524" s="3"/>
      <c r="B524" s="3"/>
      <c r="C524" s="3"/>
      <c r="D524" s="3"/>
      <c r="E524" s="3"/>
      <c r="F524" s="3"/>
      <c r="G524" s="3"/>
      <c r="H524" s="3"/>
      <c r="I524" s="3"/>
    </row>
    <row r="525" spans="1:9" x14ac:dyDescent="0.25">
      <c r="A525" s="3"/>
      <c r="B525" s="3"/>
      <c r="C525" s="3"/>
      <c r="D525" s="3"/>
      <c r="E525" s="3"/>
      <c r="F525" s="3"/>
      <c r="G525" s="3"/>
      <c r="H525" s="3"/>
      <c r="I525" s="3"/>
    </row>
    <row r="526" spans="1:9" x14ac:dyDescent="0.25">
      <c r="A526" s="3"/>
      <c r="B526" s="3"/>
      <c r="C526" s="3"/>
      <c r="D526" s="3"/>
      <c r="E526" s="3"/>
      <c r="F526" s="3"/>
      <c r="G526" s="3"/>
      <c r="H526" s="3"/>
      <c r="I526" s="3"/>
    </row>
    <row r="527" spans="1:9" x14ac:dyDescent="0.25">
      <c r="A527" s="3"/>
      <c r="B527" s="3"/>
      <c r="C527" s="3"/>
      <c r="D527" s="3"/>
      <c r="E527" s="3"/>
      <c r="F527" s="3"/>
      <c r="G527" s="3"/>
      <c r="H527" s="3"/>
      <c r="I527" s="3"/>
    </row>
    <row r="528" spans="1:9" x14ac:dyDescent="0.25">
      <c r="A528" s="3"/>
      <c r="B528" s="3"/>
      <c r="C528" s="3"/>
      <c r="D528" s="3"/>
      <c r="E528" s="3"/>
      <c r="F528" s="3"/>
      <c r="G528" s="3"/>
      <c r="H528" s="3"/>
      <c r="I528" s="3"/>
    </row>
    <row r="529" spans="1:9" x14ac:dyDescent="0.25">
      <c r="A529" s="3"/>
      <c r="B529" s="3"/>
      <c r="C529" s="3"/>
      <c r="D529" s="3"/>
      <c r="E529" s="3"/>
      <c r="F529" s="3"/>
      <c r="G529" s="3"/>
      <c r="H529" s="3"/>
      <c r="I529" s="3"/>
    </row>
    <row r="530" spans="1:9" x14ac:dyDescent="0.25">
      <c r="A530" s="3"/>
      <c r="B530" s="3"/>
      <c r="C530" s="3"/>
      <c r="D530" s="3"/>
      <c r="E530" s="3"/>
      <c r="F530" s="3"/>
      <c r="G530" s="3"/>
      <c r="H530" s="3"/>
      <c r="I530" s="3"/>
    </row>
    <row r="531" spans="1:9" x14ac:dyDescent="0.25">
      <c r="A531" s="3"/>
      <c r="B531" s="3"/>
      <c r="C531" s="3"/>
      <c r="D531" s="3"/>
      <c r="E531" s="3"/>
      <c r="F531" s="3"/>
      <c r="G531" s="3"/>
      <c r="H531" s="3"/>
      <c r="I531" s="3"/>
    </row>
    <row r="532" spans="1:9" x14ac:dyDescent="0.25">
      <c r="A532" s="3"/>
      <c r="B532" s="3"/>
      <c r="C532" s="3"/>
      <c r="D532" s="3"/>
      <c r="E532" s="3"/>
      <c r="F532" s="3"/>
      <c r="G532" s="3"/>
      <c r="H532" s="3"/>
      <c r="I532" s="3"/>
    </row>
    <row r="533" spans="1:9" x14ac:dyDescent="0.25">
      <c r="A533" s="3"/>
      <c r="B533" s="3"/>
      <c r="C533" s="3"/>
      <c r="D533" s="3"/>
      <c r="E533" s="3"/>
      <c r="F533" s="3"/>
      <c r="G533" s="3"/>
      <c r="H533" s="3"/>
      <c r="I533" s="3"/>
    </row>
    <row r="534" spans="1:9" x14ac:dyDescent="0.25">
      <c r="A534" s="3"/>
      <c r="B534" s="3"/>
      <c r="C534" s="3"/>
      <c r="D534" s="3"/>
      <c r="E534" s="3"/>
      <c r="F534" s="3"/>
      <c r="G534" s="3"/>
      <c r="H534" s="3"/>
      <c r="I534" s="3"/>
    </row>
    <row r="535" spans="1:9" x14ac:dyDescent="0.25">
      <c r="A535" s="3"/>
      <c r="B535" s="3"/>
      <c r="C535" s="3"/>
      <c r="D535" s="3"/>
      <c r="E535" s="3"/>
      <c r="F535" s="3"/>
      <c r="G535" s="3"/>
      <c r="H535" s="3"/>
      <c r="I535" s="3"/>
    </row>
    <row r="536" spans="1:9" x14ac:dyDescent="0.25">
      <c r="A536" s="3"/>
      <c r="B536" s="3"/>
      <c r="C536" s="3"/>
      <c r="D536" s="3"/>
      <c r="E536" s="3"/>
      <c r="F536" s="3"/>
      <c r="G536" s="3"/>
      <c r="H536" s="3"/>
      <c r="I536" s="3"/>
    </row>
    <row r="537" spans="1:9" x14ac:dyDescent="0.25">
      <c r="A537" s="3"/>
      <c r="B537" s="3"/>
      <c r="C537" s="3"/>
      <c r="D537" s="3"/>
      <c r="E537" s="3"/>
      <c r="F537" s="3"/>
      <c r="G537" s="3"/>
      <c r="H537" s="3"/>
      <c r="I537" s="3"/>
    </row>
    <row r="538" spans="1:9" x14ac:dyDescent="0.25">
      <c r="A538" s="3"/>
      <c r="B538" s="3"/>
      <c r="C538" s="3"/>
      <c r="D538" s="3"/>
      <c r="E538" s="3"/>
      <c r="F538" s="3"/>
      <c r="G538" s="3"/>
      <c r="H538" s="3"/>
      <c r="I538" s="3"/>
    </row>
    <row r="539" spans="1:9" x14ac:dyDescent="0.25">
      <c r="A539" s="3"/>
      <c r="B539" s="3"/>
      <c r="C539" s="3"/>
      <c r="D539" s="3"/>
      <c r="E539" s="3"/>
      <c r="F539" s="3"/>
      <c r="G539" s="3"/>
      <c r="H539" s="3"/>
      <c r="I539" s="3"/>
    </row>
    <row r="540" spans="1:9" x14ac:dyDescent="0.25">
      <c r="A540" s="3"/>
      <c r="B540" s="3"/>
      <c r="C540" s="3"/>
      <c r="D540" s="3"/>
      <c r="E540" s="3"/>
      <c r="F540" s="3"/>
      <c r="G540" s="3"/>
      <c r="H540" s="3"/>
      <c r="I540" s="3"/>
    </row>
    <row r="541" spans="1:9" x14ac:dyDescent="0.25">
      <c r="A541" s="3"/>
      <c r="B541" s="3"/>
      <c r="C541" s="3"/>
      <c r="D541" s="3"/>
      <c r="E541" s="3"/>
      <c r="F541" s="3"/>
      <c r="G541" s="3"/>
      <c r="H541" s="3"/>
      <c r="I541" s="3"/>
    </row>
    <row r="542" spans="1:9" x14ac:dyDescent="0.25">
      <c r="A542" s="3"/>
      <c r="B542" s="3"/>
      <c r="C542" s="3"/>
      <c r="D542" s="3"/>
      <c r="E542" s="3"/>
      <c r="F542" s="3"/>
      <c r="G542" s="3"/>
      <c r="H542" s="3"/>
      <c r="I542" s="3"/>
    </row>
    <row r="543" spans="1:9" x14ac:dyDescent="0.25">
      <c r="A543" s="3"/>
      <c r="B543" s="3"/>
      <c r="C543" s="3"/>
      <c r="D543" s="3"/>
      <c r="E543" s="3"/>
      <c r="F543" s="3"/>
      <c r="G543" s="3"/>
      <c r="H543" s="3"/>
      <c r="I543" s="3"/>
    </row>
    <row r="544" spans="1:9" x14ac:dyDescent="0.25">
      <c r="A544" s="3"/>
      <c r="B544" s="3"/>
      <c r="C544" s="3"/>
      <c r="D544" s="3"/>
      <c r="E544" s="3"/>
      <c r="F544" s="3"/>
      <c r="G544" s="3"/>
      <c r="H544" s="3"/>
      <c r="I544" s="3"/>
    </row>
    <row r="545" spans="1:9" x14ac:dyDescent="0.25">
      <c r="A545" s="3"/>
      <c r="B545" s="3"/>
      <c r="C545" s="3"/>
      <c r="D545" s="3"/>
      <c r="E545" s="3"/>
      <c r="F545" s="3"/>
      <c r="G545" s="3"/>
      <c r="H545" s="3"/>
      <c r="I545" s="3"/>
    </row>
    <row r="546" spans="1:9" x14ac:dyDescent="0.25">
      <c r="A546" s="3"/>
      <c r="B546" s="3"/>
      <c r="C546" s="3"/>
      <c r="D546" s="3"/>
      <c r="E546" s="3"/>
      <c r="F546" s="3"/>
      <c r="G546" s="3"/>
      <c r="H546" s="3"/>
      <c r="I546" s="3"/>
    </row>
    <row r="547" spans="1:9" x14ac:dyDescent="0.25">
      <c r="A547" s="3"/>
      <c r="B547" s="3"/>
      <c r="C547" s="3"/>
      <c r="D547" s="3"/>
      <c r="E547" s="3"/>
      <c r="F547" s="3"/>
      <c r="G547" s="3"/>
      <c r="H547" s="3"/>
      <c r="I547" s="3"/>
    </row>
    <row r="548" spans="1:9" x14ac:dyDescent="0.25">
      <c r="A548" s="3"/>
      <c r="B548" s="3"/>
      <c r="C548" s="3"/>
      <c r="D548" s="3"/>
      <c r="E548" s="3"/>
      <c r="F548" s="3"/>
      <c r="G548" s="3"/>
      <c r="H548" s="3"/>
      <c r="I548" s="3"/>
    </row>
    <row r="549" spans="1:9" x14ac:dyDescent="0.25">
      <c r="A549" s="3"/>
      <c r="B549" s="3"/>
      <c r="C549" s="3"/>
      <c r="D549" s="3"/>
      <c r="E549" s="3"/>
      <c r="F549" s="3"/>
      <c r="G549" s="3"/>
      <c r="H549" s="3"/>
      <c r="I549" s="3"/>
    </row>
    <row r="550" spans="1:9" x14ac:dyDescent="0.25">
      <c r="A550" s="3"/>
      <c r="B550" s="3"/>
      <c r="C550" s="3"/>
      <c r="D550" s="3"/>
      <c r="E550" s="3"/>
      <c r="F550" s="3"/>
      <c r="G550" s="3"/>
      <c r="H550" s="3"/>
      <c r="I550" s="3"/>
    </row>
    <row r="551" spans="1:9" x14ac:dyDescent="0.25">
      <c r="A551" s="3"/>
      <c r="B551" s="3"/>
      <c r="C551" s="3"/>
      <c r="D551" s="3"/>
      <c r="E551" s="3"/>
      <c r="F551" s="3"/>
      <c r="G551" s="3"/>
      <c r="H551" s="3"/>
      <c r="I551" s="3"/>
    </row>
    <row r="552" spans="1:9" x14ac:dyDescent="0.25">
      <c r="A552" s="3"/>
      <c r="B552" s="3"/>
      <c r="C552" s="3"/>
      <c r="D552" s="3"/>
      <c r="E552" s="3"/>
      <c r="F552" s="3"/>
      <c r="G552" s="3"/>
      <c r="H552" s="3"/>
      <c r="I552" s="3"/>
    </row>
    <row r="553" spans="1:9" x14ac:dyDescent="0.25">
      <c r="A553" s="3"/>
      <c r="B553" s="3"/>
      <c r="C553" s="3"/>
      <c r="D553" s="3"/>
      <c r="E553" s="3"/>
      <c r="F553" s="3"/>
      <c r="G553" s="3"/>
      <c r="H553" s="3"/>
      <c r="I553" s="3"/>
    </row>
    <row r="554" spans="1:9" x14ac:dyDescent="0.25">
      <c r="A554" s="3"/>
      <c r="B554" s="3"/>
      <c r="C554" s="3"/>
      <c r="D554" s="3"/>
      <c r="E554" s="3"/>
      <c r="F554" s="3"/>
      <c r="G554" s="3"/>
      <c r="H554" s="3"/>
      <c r="I554" s="3"/>
    </row>
    <row r="555" spans="1:9" x14ac:dyDescent="0.25">
      <c r="A555" s="3"/>
      <c r="B555" s="3"/>
      <c r="C555" s="3"/>
      <c r="D555" s="3"/>
      <c r="E555" s="3"/>
      <c r="F555" s="3"/>
      <c r="G555" s="3"/>
      <c r="H555" s="3"/>
      <c r="I555" s="3"/>
    </row>
    <row r="556" spans="1:9" x14ac:dyDescent="0.25">
      <c r="A556" s="3"/>
      <c r="B556" s="3"/>
      <c r="C556" s="3"/>
      <c r="D556" s="3"/>
      <c r="E556" s="3"/>
      <c r="F556" s="3"/>
      <c r="G556" s="3"/>
      <c r="H556" s="3"/>
      <c r="I556" s="3"/>
    </row>
    <row r="557" spans="1:9" x14ac:dyDescent="0.25">
      <c r="A557" s="3"/>
      <c r="B557" s="3"/>
      <c r="C557" s="3"/>
      <c r="D557" s="3"/>
      <c r="E557" s="3"/>
      <c r="F557" s="3"/>
      <c r="G557" s="3"/>
      <c r="H557" s="3"/>
      <c r="I557" s="3"/>
    </row>
    <row r="558" spans="1:9" x14ac:dyDescent="0.25">
      <c r="A558" s="3"/>
      <c r="B558" s="3"/>
      <c r="C558" s="3"/>
      <c r="D558" s="3"/>
      <c r="E558" s="3"/>
      <c r="F558" s="3"/>
      <c r="G558" s="3"/>
      <c r="H558" s="3"/>
      <c r="I558" s="3"/>
    </row>
    <row r="559" spans="1:9" x14ac:dyDescent="0.25">
      <c r="A559" s="3"/>
      <c r="B559" s="3"/>
      <c r="C559" s="3"/>
      <c r="D559" s="3"/>
      <c r="E559" s="3"/>
      <c r="F559" s="3"/>
      <c r="G559" s="3"/>
      <c r="H559" s="3"/>
      <c r="I559" s="3"/>
    </row>
    <row r="560" spans="1:9" x14ac:dyDescent="0.25">
      <c r="A560" s="3"/>
      <c r="B560" s="3"/>
      <c r="C560" s="3"/>
      <c r="D560" s="3"/>
      <c r="E560" s="3"/>
      <c r="F560" s="3"/>
      <c r="G560" s="3"/>
      <c r="H560" s="3"/>
      <c r="I560" s="3"/>
    </row>
    <row r="561" spans="1:9" x14ac:dyDescent="0.25">
      <c r="A561" s="3"/>
      <c r="B561" s="3"/>
      <c r="C561" s="3"/>
      <c r="D561" s="3"/>
      <c r="E561" s="3"/>
      <c r="F561" s="3"/>
      <c r="G561" s="3"/>
      <c r="H561" s="3"/>
      <c r="I561" s="3"/>
    </row>
    <row r="562" spans="1:9" x14ac:dyDescent="0.25">
      <c r="A562" s="3"/>
      <c r="B562" s="3"/>
      <c r="C562" s="3"/>
      <c r="D562" s="3"/>
      <c r="E562" s="3"/>
      <c r="F562" s="3"/>
      <c r="G562" s="3"/>
      <c r="H562" s="3"/>
      <c r="I562" s="3"/>
    </row>
    <row r="563" spans="1:9" x14ac:dyDescent="0.25">
      <c r="A563" s="3"/>
      <c r="B563" s="3"/>
      <c r="C563" s="3"/>
      <c r="D563" s="3"/>
      <c r="E563" s="3"/>
      <c r="F563" s="3"/>
      <c r="G563" s="3"/>
      <c r="H563" s="3"/>
      <c r="I563" s="3"/>
    </row>
    <row r="564" spans="1:9" x14ac:dyDescent="0.25">
      <c r="A564" s="3"/>
      <c r="B564" s="3"/>
      <c r="C564" s="3"/>
      <c r="D564" s="3"/>
      <c r="E564" s="3"/>
      <c r="F564" s="3"/>
      <c r="G564" s="3"/>
      <c r="H564" s="3"/>
      <c r="I564" s="3"/>
    </row>
    <row r="565" spans="1:9" x14ac:dyDescent="0.25">
      <c r="A565" s="3"/>
      <c r="B565" s="3"/>
      <c r="C565" s="3"/>
      <c r="D565" s="3"/>
      <c r="E565" s="3"/>
      <c r="F565" s="3"/>
      <c r="G565" s="3"/>
      <c r="H565" s="3"/>
      <c r="I565" s="3"/>
    </row>
    <row r="566" spans="1:9" x14ac:dyDescent="0.25">
      <c r="A566" s="3"/>
      <c r="B566" s="3"/>
      <c r="C566" s="3"/>
      <c r="D566" s="3"/>
      <c r="E566" s="3"/>
      <c r="F566" s="3"/>
      <c r="G566" s="3"/>
      <c r="H566" s="3"/>
      <c r="I566" s="3"/>
    </row>
    <row r="567" spans="1:9" x14ac:dyDescent="0.25">
      <c r="A567" s="3"/>
      <c r="B567" s="3"/>
      <c r="C567" s="3"/>
      <c r="D567" s="3"/>
      <c r="E567" s="3"/>
      <c r="F567" s="3"/>
      <c r="G567" s="3"/>
      <c r="H567" s="3"/>
      <c r="I567" s="3"/>
    </row>
    <row r="568" spans="1:9" x14ac:dyDescent="0.25">
      <c r="A568" s="3"/>
      <c r="B568" s="3"/>
      <c r="C568" s="3"/>
      <c r="D568" s="3"/>
      <c r="E568" s="3"/>
      <c r="F568" s="3"/>
      <c r="G568" s="3"/>
      <c r="H568" s="3"/>
      <c r="I568" s="3"/>
    </row>
    <row r="569" spans="1:9" x14ac:dyDescent="0.25">
      <c r="A569" s="3"/>
      <c r="B569" s="3"/>
      <c r="C569" s="3"/>
      <c r="D569" s="3"/>
      <c r="E569" s="3"/>
      <c r="F569" s="3"/>
      <c r="G569" s="3"/>
      <c r="H569" s="3"/>
      <c r="I569" s="3"/>
    </row>
    <row r="570" spans="1:9" x14ac:dyDescent="0.25">
      <c r="A570" s="3"/>
      <c r="B570" s="3"/>
      <c r="C570" s="3"/>
      <c r="D570" s="3"/>
      <c r="E570" s="3"/>
      <c r="F570" s="3"/>
      <c r="G570" s="3"/>
      <c r="H570" s="3"/>
      <c r="I570" s="3"/>
    </row>
    <row r="571" spans="1:9" x14ac:dyDescent="0.25">
      <c r="A571" s="3"/>
      <c r="B571" s="3"/>
      <c r="C571" s="3"/>
      <c r="D571" s="3"/>
      <c r="E571" s="3"/>
      <c r="F571" s="3"/>
      <c r="G571" s="3"/>
      <c r="H571" s="3"/>
      <c r="I571" s="3"/>
    </row>
    <row r="572" spans="1:9" x14ac:dyDescent="0.25">
      <c r="A572" s="3"/>
      <c r="B572" s="3"/>
      <c r="C572" s="3"/>
      <c r="D572" s="3"/>
      <c r="E572" s="3"/>
      <c r="F572" s="3"/>
      <c r="G572" s="3"/>
      <c r="H572" s="3"/>
      <c r="I572" s="3"/>
    </row>
    <row r="573" spans="1:9" x14ac:dyDescent="0.25">
      <c r="A573" s="3"/>
      <c r="B573" s="3"/>
      <c r="C573" s="3"/>
      <c r="D573" s="3"/>
      <c r="E573" s="3"/>
      <c r="F573" s="3"/>
      <c r="G573" s="3"/>
      <c r="H573" s="3"/>
      <c r="I573" s="3"/>
    </row>
    <row r="574" spans="1:9" x14ac:dyDescent="0.25">
      <c r="A574" s="3"/>
      <c r="B574" s="3"/>
      <c r="C574" s="3"/>
      <c r="D574" s="3"/>
      <c r="E574" s="3"/>
      <c r="F574" s="3"/>
      <c r="G574" s="3"/>
      <c r="H574" s="3"/>
      <c r="I574" s="3"/>
    </row>
    <row r="575" spans="1:9" x14ac:dyDescent="0.25">
      <c r="A575" s="3"/>
      <c r="B575" s="3"/>
      <c r="C575" s="3"/>
      <c r="D575" s="3"/>
      <c r="E575" s="3"/>
      <c r="F575" s="3"/>
      <c r="G575" s="3"/>
      <c r="H575" s="3"/>
      <c r="I575" s="3"/>
    </row>
    <row r="576" spans="1:9" x14ac:dyDescent="0.25">
      <c r="A576" s="3"/>
      <c r="B576" s="3"/>
      <c r="C576" s="3"/>
      <c r="D576" s="3"/>
      <c r="E576" s="3"/>
      <c r="F576" s="3"/>
      <c r="G576" s="3"/>
      <c r="H576" s="3"/>
      <c r="I576" s="3"/>
    </row>
    <row r="577" spans="1:9" x14ac:dyDescent="0.25">
      <c r="A577" s="3"/>
      <c r="B577" s="3"/>
      <c r="C577" s="3"/>
      <c r="D577" s="3"/>
      <c r="E577" s="3"/>
      <c r="F577" s="3"/>
      <c r="G577" s="3"/>
      <c r="H577" s="3"/>
      <c r="I577" s="3"/>
    </row>
    <row r="578" spans="1:9" x14ac:dyDescent="0.25">
      <c r="A578" s="3"/>
      <c r="B578" s="3"/>
      <c r="C578" s="3"/>
      <c r="D578" s="3"/>
      <c r="E578" s="3"/>
      <c r="F578" s="3"/>
      <c r="G578" s="3"/>
      <c r="H578" s="3"/>
      <c r="I578" s="3"/>
    </row>
    <row r="579" spans="1:9" x14ac:dyDescent="0.25">
      <c r="A579" s="3"/>
      <c r="B579" s="3"/>
      <c r="C579" s="3"/>
      <c r="D579" s="3"/>
      <c r="E579" s="3"/>
      <c r="F579" s="3"/>
      <c r="G579" s="3"/>
      <c r="H579" s="3"/>
      <c r="I579" s="3"/>
    </row>
    <row r="580" spans="1:9" x14ac:dyDescent="0.25">
      <c r="A580" s="3"/>
      <c r="B580" s="3"/>
      <c r="C580" s="3"/>
      <c r="D580" s="3"/>
      <c r="E580" s="3"/>
      <c r="F580" s="3"/>
      <c r="G580" s="3"/>
      <c r="H580" s="3"/>
      <c r="I580" s="3"/>
    </row>
    <row r="581" spans="1:9" x14ac:dyDescent="0.25">
      <c r="A581" s="3"/>
      <c r="B581" s="3"/>
      <c r="C581" s="3"/>
      <c r="D581" s="3"/>
      <c r="E581" s="3"/>
      <c r="F581" s="3"/>
      <c r="G581" s="3"/>
      <c r="H581" s="3"/>
      <c r="I581" s="3"/>
    </row>
    <row r="582" spans="1:9" x14ac:dyDescent="0.25">
      <c r="A582" s="3"/>
      <c r="B582" s="3"/>
      <c r="C582" s="3"/>
      <c r="D582" s="3"/>
      <c r="E582" s="3"/>
      <c r="F582" s="3"/>
      <c r="G582" s="3"/>
      <c r="H582" s="3"/>
      <c r="I582" s="3"/>
    </row>
    <row r="583" spans="1:9" x14ac:dyDescent="0.25">
      <c r="A583" s="3"/>
      <c r="B583" s="3"/>
      <c r="C583" s="3"/>
      <c r="D583" s="3"/>
      <c r="E583" s="3"/>
      <c r="F583" s="3"/>
      <c r="G583" s="3"/>
      <c r="H583" s="3"/>
      <c r="I583" s="3"/>
    </row>
    <row r="584" spans="1:9" x14ac:dyDescent="0.25">
      <c r="A584" s="3"/>
      <c r="B584" s="3"/>
      <c r="C584" s="3"/>
      <c r="D584" s="3"/>
      <c r="E584" s="3"/>
      <c r="F584" s="3"/>
      <c r="G584" s="3"/>
      <c r="H584" s="3"/>
      <c r="I584" s="3"/>
    </row>
    <row r="585" spans="1:9" x14ac:dyDescent="0.25">
      <c r="A585" s="3"/>
      <c r="B585" s="3"/>
      <c r="C585" s="3"/>
      <c r="D585" s="3"/>
      <c r="E585" s="3"/>
      <c r="F585" s="3"/>
      <c r="G585" s="3"/>
      <c r="H585" s="3"/>
      <c r="I585" s="3"/>
    </row>
    <row r="586" spans="1:9" x14ac:dyDescent="0.25">
      <c r="A586" s="3"/>
      <c r="B586" s="3"/>
      <c r="C586" s="3"/>
      <c r="D586" s="3"/>
      <c r="E586" s="3"/>
      <c r="F586" s="3"/>
      <c r="G586" s="3"/>
      <c r="H586" s="3"/>
      <c r="I586" s="3"/>
    </row>
    <row r="587" spans="1:9" x14ac:dyDescent="0.25">
      <c r="A587" s="3"/>
      <c r="B587" s="3"/>
      <c r="C587" s="3"/>
      <c r="D587" s="3"/>
      <c r="E587" s="3"/>
      <c r="F587" s="3"/>
      <c r="G587" s="3"/>
      <c r="H587" s="3"/>
      <c r="I587" s="3"/>
    </row>
    <row r="588" spans="1:9" x14ac:dyDescent="0.25">
      <c r="A588" s="3"/>
      <c r="B588" s="3"/>
      <c r="C588" s="3"/>
      <c r="D588" s="3"/>
      <c r="E588" s="3"/>
      <c r="F588" s="3"/>
      <c r="G588" s="3"/>
      <c r="H588" s="3"/>
      <c r="I588" s="3"/>
    </row>
    <row r="589" spans="1:9" x14ac:dyDescent="0.25">
      <c r="A589" s="3"/>
      <c r="B589" s="3"/>
      <c r="C589" s="3"/>
      <c r="D589" s="3"/>
      <c r="E589" s="3"/>
      <c r="F589" s="3"/>
      <c r="G589" s="3"/>
      <c r="H589" s="3"/>
      <c r="I589" s="3"/>
    </row>
    <row r="590" spans="1:9" x14ac:dyDescent="0.25">
      <c r="A590" s="3"/>
      <c r="B590" s="3"/>
      <c r="C590" s="3"/>
      <c r="D590" s="3"/>
      <c r="E590" s="3"/>
      <c r="F590" s="3"/>
      <c r="G590" s="3"/>
      <c r="H590" s="3"/>
      <c r="I590" s="3"/>
    </row>
    <row r="591" spans="1:9" x14ac:dyDescent="0.25">
      <c r="A591" s="3"/>
      <c r="B591" s="3"/>
      <c r="C591" s="3"/>
      <c r="D591" s="3"/>
      <c r="E591" s="3"/>
      <c r="F591" s="3"/>
      <c r="G591" s="3"/>
      <c r="H591" s="3"/>
      <c r="I591" s="3"/>
    </row>
    <row r="592" spans="1:9" x14ac:dyDescent="0.25">
      <c r="A592" s="3"/>
      <c r="B592" s="3"/>
      <c r="C592" s="3"/>
      <c r="D592" s="3"/>
      <c r="E592" s="3"/>
      <c r="F592" s="3"/>
      <c r="G592" s="3"/>
      <c r="H592" s="3"/>
      <c r="I592" s="3"/>
    </row>
    <row r="593" spans="1:9" x14ac:dyDescent="0.25">
      <c r="A593" s="3"/>
      <c r="B593" s="3"/>
      <c r="C593" s="3"/>
      <c r="D593" s="3"/>
      <c r="E593" s="3"/>
      <c r="F593" s="3"/>
      <c r="G593" s="3"/>
      <c r="H593" s="3"/>
      <c r="I593" s="3"/>
    </row>
    <row r="594" spans="1:9" x14ac:dyDescent="0.25">
      <c r="A594" s="3"/>
      <c r="B594" s="3"/>
      <c r="C594" s="3"/>
      <c r="D594" s="3"/>
      <c r="E594" s="3"/>
      <c r="F594" s="3"/>
      <c r="G594" s="3"/>
      <c r="H594" s="3"/>
      <c r="I594" s="3"/>
    </row>
    <row r="595" spans="1:9" x14ac:dyDescent="0.25">
      <c r="A595" s="3"/>
      <c r="B595" s="3"/>
      <c r="C595" s="3"/>
      <c r="D595" s="3"/>
      <c r="E595" s="3"/>
      <c r="F595" s="3"/>
      <c r="G595" s="3"/>
      <c r="H595" s="3"/>
      <c r="I595" s="3"/>
    </row>
    <row r="596" spans="1:9" x14ac:dyDescent="0.25">
      <c r="A596" s="3"/>
      <c r="B596" s="3"/>
      <c r="C596" s="3"/>
      <c r="D596" s="3"/>
      <c r="E596" s="3"/>
      <c r="F596" s="3"/>
      <c r="G596" s="3"/>
      <c r="H596" s="3"/>
      <c r="I596" s="3"/>
    </row>
    <row r="597" spans="1:9" x14ac:dyDescent="0.25">
      <c r="A597" s="3"/>
      <c r="B597" s="3"/>
      <c r="C597" s="3"/>
      <c r="D597" s="3"/>
      <c r="E597" s="3"/>
      <c r="F597" s="3"/>
      <c r="G597" s="3"/>
      <c r="H597" s="3"/>
      <c r="I597" s="3"/>
    </row>
    <row r="598" spans="1:9" x14ac:dyDescent="0.25">
      <c r="A598" s="3"/>
      <c r="B598" s="3"/>
      <c r="C598" s="3"/>
      <c r="D598" s="3"/>
      <c r="E598" s="3"/>
      <c r="F598" s="3"/>
      <c r="G598" s="3"/>
      <c r="H598" s="3"/>
      <c r="I598" s="3"/>
    </row>
    <row r="599" spans="1:9" x14ac:dyDescent="0.25">
      <c r="A599" s="3"/>
      <c r="B599" s="3"/>
      <c r="C599" s="3"/>
      <c r="D599" s="3"/>
      <c r="E599" s="3"/>
      <c r="F599" s="3"/>
      <c r="G599" s="3"/>
      <c r="H599" s="3"/>
      <c r="I599" s="3"/>
    </row>
    <row r="600" spans="1:9" x14ac:dyDescent="0.25">
      <c r="A600" s="3"/>
      <c r="B600" s="3"/>
      <c r="C600" s="3"/>
      <c r="D600" s="3"/>
      <c r="E600" s="3"/>
      <c r="F600" s="3"/>
      <c r="G600" s="3"/>
      <c r="H600" s="3"/>
      <c r="I600" s="3"/>
    </row>
    <row r="601" spans="1:9" x14ac:dyDescent="0.25">
      <c r="A601" s="3"/>
      <c r="B601" s="3"/>
      <c r="C601" s="3"/>
      <c r="D601" s="3"/>
      <c r="E601" s="3"/>
      <c r="F601" s="3"/>
      <c r="G601" s="3"/>
      <c r="H601" s="3"/>
      <c r="I601" s="3"/>
    </row>
    <row r="602" spans="1:9" x14ac:dyDescent="0.25">
      <c r="A602" s="3"/>
      <c r="B602" s="3"/>
      <c r="C602" s="3"/>
      <c r="D602" s="3"/>
      <c r="E602" s="3"/>
      <c r="F602" s="3"/>
      <c r="G602" s="3"/>
      <c r="H602" s="3"/>
      <c r="I602" s="3"/>
    </row>
    <row r="603" spans="1:9" x14ac:dyDescent="0.25">
      <c r="A603" s="3"/>
      <c r="B603" s="3"/>
      <c r="C603" s="3"/>
      <c r="D603" s="3"/>
      <c r="E603" s="3"/>
      <c r="F603" s="3"/>
      <c r="G603" s="3"/>
      <c r="H603" s="3"/>
      <c r="I603" s="3"/>
    </row>
    <row r="604" spans="1:9" x14ac:dyDescent="0.25">
      <c r="A604" s="3"/>
      <c r="B604" s="3"/>
      <c r="C604" s="3"/>
      <c r="D604" s="3"/>
      <c r="E604" s="3"/>
      <c r="F604" s="3"/>
      <c r="G604" s="3"/>
      <c r="H604" s="3"/>
      <c r="I604" s="3"/>
    </row>
    <row r="605" spans="1:9" x14ac:dyDescent="0.25">
      <c r="A605" s="3"/>
      <c r="B605" s="3"/>
      <c r="C605" s="3"/>
      <c r="D605" s="3"/>
      <c r="E605" s="3"/>
      <c r="F605" s="3"/>
      <c r="G605" s="3"/>
      <c r="H605" s="3"/>
      <c r="I605" s="3"/>
    </row>
    <row r="606" spans="1:9" x14ac:dyDescent="0.25">
      <c r="A606" s="3"/>
      <c r="B606" s="3"/>
      <c r="C606" s="3"/>
      <c r="D606" s="3"/>
      <c r="E606" s="3"/>
      <c r="F606" s="3"/>
      <c r="G606" s="3"/>
      <c r="H606" s="3"/>
      <c r="I606" s="3"/>
    </row>
    <row r="607" spans="1:9" x14ac:dyDescent="0.25">
      <c r="A607" s="3"/>
      <c r="B607" s="3"/>
      <c r="C607" s="3"/>
      <c r="D607" s="3"/>
      <c r="E607" s="3"/>
      <c r="F607" s="3"/>
      <c r="G607" s="3"/>
      <c r="H607" s="3"/>
      <c r="I607" s="3"/>
    </row>
    <row r="608" spans="1:9" x14ac:dyDescent="0.25">
      <c r="A608" s="3"/>
      <c r="B608" s="3"/>
      <c r="C608" s="3"/>
      <c r="D608" s="3"/>
      <c r="E608" s="3"/>
      <c r="F608" s="3"/>
      <c r="G608" s="3"/>
      <c r="H608" s="3"/>
      <c r="I608" s="3"/>
    </row>
    <row r="609" spans="1:9" x14ac:dyDescent="0.25">
      <c r="A609" s="3"/>
      <c r="B609" s="3"/>
      <c r="C609" s="3"/>
      <c r="D609" s="3"/>
      <c r="E609" s="3"/>
      <c r="F609" s="3"/>
      <c r="G609" s="3"/>
      <c r="H609" s="3"/>
      <c r="I609" s="3"/>
    </row>
    <row r="610" spans="1:9" x14ac:dyDescent="0.25">
      <c r="A610" s="3"/>
      <c r="B610" s="3"/>
      <c r="C610" s="3"/>
      <c r="D610" s="3"/>
      <c r="E610" s="3"/>
      <c r="F610" s="3"/>
      <c r="G610" s="3"/>
      <c r="H610" s="3"/>
      <c r="I610" s="3"/>
    </row>
    <row r="611" spans="1:9" x14ac:dyDescent="0.25">
      <c r="A611" s="3"/>
      <c r="B611" s="3"/>
      <c r="C611" s="3"/>
      <c r="D611" s="3"/>
      <c r="E611" s="3"/>
      <c r="F611" s="3"/>
      <c r="G611" s="3"/>
      <c r="H611" s="3"/>
      <c r="I611" s="3"/>
    </row>
    <row r="612" spans="1:9" x14ac:dyDescent="0.25">
      <c r="A612" s="3"/>
      <c r="B612" s="3"/>
      <c r="C612" s="3"/>
      <c r="D612" s="3"/>
      <c r="E612" s="3"/>
      <c r="F612" s="3"/>
      <c r="G612" s="3"/>
      <c r="H612" s="3"/>
      <c r="I612" s="3"/>
    </row>
    <row r="613" spans="1:9" x14ac:dyDescent="0.25">
      <c r="A613" s="3"/>
      <c r="B613" s="3"/>
      <c r="C613" s="3"/>
      <c r="D613" s="3"/>
      <c r="E613" s="3"/>
      <c r="F613" s="3"/>
      <c r="G613" s="3"/>
      <c r="H613" s="3"/>
      <c r="I613" s="3"/>
    </row>
    <row r="614" spans="1:9" x14ac:dyDescent="0.25">
      <c r="A614" s="3"/>
      <c r="B614" s="3"/>
      <c r="C614" s="3"/>
      <c r="D614" s="3"/>
      <c r="E614" s="3"/>
      <c r="F614" s="3"/>
      <c r="G614" s="3"/>
      <c r="H614" s="3"/>
      <c r="I614" s="3"/>
    </row>
    <row r="615" spans="1:9" x14ac:dyDescent="0.25">
      <c r="A615" s="3"/>
      <c r="B615" s="3"/>
      <c r="C615" s="3"/>
      <c r="D615" s="3"/>
      <c r="E615" s="3"/>
      <c r="F615" s="3"/>
      <c r="G615" s="3"/>
      <c r="H615" s="3"/>
      <c r="I615" s="3"/>
    </row>
    <row r="616" spans="1:9" x14ac:dyDescent="0.25">
      <c r="A616" s="3"/>
      <c r="B616" s="3"/>
      <c r="C616" s="3"/>
      <c r="D616" s="3"/>
      <c r="E616" s="3"/>
      <c r="F616" s="3"/>
      <c r="G616" s="3"/>
      <c r="H616" s="3"/>
      <c r="I616" s="3"/>
    </row>
    <row r="617" spans="1:9" x14ac:dyDescent="0.25">
      <c r="A617" s="3"/>
      <c r="B617" s="3"/>
      <c r="C617" s="3"/>
      <c r="D617" s="3"/>
      <c r="E617" s="3"/>
      <c r="F617" s="3"/>
      <c r="G617" s="3"/>
      <c r="H617" s="3"/>
      <c r="I617" s="3"/>
    </row>
    <row r="618" spans="1:9" x14ac:dyDescent="0.25">
      <c r="A618" s="3"/>
      <c r="B618" s="3"/>
      <c r="C618" s="3"/>
      <c r="D618" s="3"/>
      <c r="E618" s="3"/>
      <c r="F618" s="3"/>
      <c r="G618" s="3"/>
      <c r="H618" s="3"/>
      <c r="I618" s="3"/>
    </row>
    <row r="619" spans="1:9" x14ac:dyDescent="0.25">
      <c r="A619" s="3"/>
      <c r="B619" s="3"/>
      <c r="C619" s="3"/>
      <c r="D619" s="3"/>
      <c r="E619" s="3"/>
      <c r="F619" s="3"/>
      <c r="G619" s="3"/>
      <c r="H619" s="3"/>
      <c r="I619" s="3"/>
    </row>
    <row r="620" spans="1:9" x14ac:dyDescent="0.25">
      <c r="A620" s="3"/>
      <c r="B620" s="3"/>
      <c r="C620" s="3"/>
      <c r="D620" s="3"/>
      <c r="E620" s="3"/>
      <c r="F620" s="3"/>
      <c r="G620" s="3"/>
      <c r="H620" s="3"/>
      <c r="I620" s="3"/>
    </row>
    <row r="621" spans="1:9" x14ac:dyDescent="0.25">
      <c r="A621" s="3"/>
      <c r="B621" s="3"/>
      <c r="C621" s="3"/>
      <c r="D621" s="3"/>
      <c r="E621" s="3"/>
      <c r="F621" s="3"/>
      <c r="G621" s="3"/>
      <c r="H621" s="3"/>
      <c r="I621" s="3"/>
    </row>
    <row r="622" spans="1:9" x14ac:dyDescent="0.25">
      <c r="A622" s="3"/>
      <c r="B622" s="3"/>
      <c r="C622" s="3"/>
      <c r="D622" s="3"/>
      <c r="E622" s="3"/>
      <c r="F622" s="3"/>
      <c r="G622" s="3"/>
      <c r="H622" s="3"/>
      <c r="I622" s="3"/>
    </row>
    <row r="623" spans="1:9" x14ac:dyDescent="0.25">
      <c r="A623" s="3"/>
      <c r="B623" s="3"/>
      <c r="C623" s="3"/>
      <c r="D623" s="3"/>
      <c r="E623" s="3"/>
      <c r="F623" s="3"/>
      <c r="G623" s="3"/>
      <c r="H623" s="3"/>
      <c r="I623" s="3"/>
    </row>
    <row r="624" spans="1:9" x14ac:dyDescent="0.25">
      <c r="A624" s="3"/>
      <c r="B624" s="3"/>
      <c r="C624" s="3"/>
      <c r="D624" s="3"/>
      <c r="E624" s="3"/>
      <c r="F624" s="3"/>
      <c r="G624" s="3"/>
      <c r="H624" s="3"/>
      <c r="I624" s="3"/>
    </row>
    <row r="625" spans="1:9" x14ac:dyDescent="0.25">
      <c r="A625" s="3"/>
      <c r="B625" s="3"/>
      <c r="C625" s="3"/>
      <c r="D625" s="3"/>
      <c r="E625" s="3"/>
      <c r="F625" s="3"/>
      <c r="G625" s="3"/>
      <c r="H625" s="3"/>
      <c r="I625" s="3"/>
    </row>
    <row r="626" spans="1:9" x14ac:dyDescent="0.25">
      <c r="A626" s="3"/>
      <c r="B626" s="3"/>
      <c r="C626" s="3"/>
      <c r="D626" s="3"/>
      <c r="E626" s="3"/>
      <c r="F626" s="3"/>
      <c r="G626" s="3"/>
      <c r="H626" s="3"/>
      <c r="I626" s="3"/>
    </row>
    <row r="627" spans="1:9" x14ac:dyDescent="0.25">
      <c r="A627" s="3"/>
      <c r="B627" s="3"/>
      <c r="C627" s="3"/>
      <c r="D627" s="3"/>
      <c r="E627" s="3"/>
      <c r="F627" s="3"/>
      <c r="G627" s="3"/>
      <c r="H627" s="3"/>
      <c r="I627" s="3"/>
    </row>
    <row r="628" spans="1:9" x14ac:dyDescent="0.25">
      <c r="A628" s="3"/>
      <c r="B628" s="3"/>
      <c r="C628" s="3"/>
      <c r="D628" s="3"/>
      <c r="E628" s="3"/>
      <c r="F628" s="3"/>
      <c r="G628" s="3"/>
      <c r="H628" s="3"/>
      <c r="I628" s="3"/>
    </row>
    <row r="629" spans="1:9" x14ac:dyDescent="0.25">
      <c r="A629" s="3"/>
      <c r="B629" s="3"/>
      <c r="C629" s="3"/>
      <c r="D629" s="3"/>
      <c r="E629" s="3"/>
      <c r="F629" s="3"/>
      <c r="G629" s="3"/>
      <c r="H629" s="3"/>
      <c r="I629" s="3"/>
    </row>
    <row r="630" spans="1:9" x14ac:dyDescent="0.25">
      <c r="A630" s="3"/>
      <c r="B630" s="3"/>
      <c r="C630" s="3"/>
      <c r="D630" s="3"/>
      <c r="E630" s="3"/>
      <c r="F630" s="3"/>
      <c r="G630" s="3"/>
      <c r="H630" s="3"/>
      <c r="I630" s="3"/>
    </row>
    <row r="631" spans="1:9" x14ac:dyDescent="0.25">
      <c r="A631" s="3"/>
      <c r="B631" s="3"/>
      <c r="C631" s="3"/>
      <c r="D631" s="3"/>
      <c r="E631" s="3"/>
      <c r="F631" s="3"/>
      <c r="G631" s="3"/>
      <c r="H631" s="3"/>
      <c r="I631" s="3"/>
    </row>
    <row r="632" spans="1:9" x14ac:dyDescent="0.25">
      <c r="A632" s="3"/>
      <c r="B632" s="3"/>
      <c r="C632" s="3"/>
      <c r="D632" s="3"/>
      <c r="E632" s="3"/>
      <c r="F632" s="3"/>
      <c r="G632" s="3"/>
      <c r="H632" s="3"/>
      <c r="I632" s="3"/>
    </row>
    <row r="633" spans="1:9" x14ac:dyDescent="0.25">
      <c r="A633" s="3"/>
      <c r="B633" s="3"/>
      <c r="C633" s="3"/>
      <c r="D633" s="3"/>
      <c r="E633" s="3"/>
      <c r="F633" s="3"/>
      <c r="G633" s="3"/>
      <c r="H633" s="3"/>
      <c r="I633" s="3"/>
    </row>
    <row r="634" spans="1:9" x14ac:dyDescent="0.25">
      <c r="A634" s="3"/>
      <c r="B634" s="3"/>
      <c r="C634" s="3"/>
      <c r="D634" s="3"/>
      <c r="E634" s="3"/>
      <c r="F634" s="3"/>
      <c r="G634" s="3"/>
      <c r="H634" s="3"/>
      <c r="I634" s="3"/>
    </row>
    <row r="635" spans="1:9" x14ac:dyDescent="0.25">
      <c r="A635" s="3"/>
      <c r="B635" s="3"/>
      <c r="C635" s="3"/>
      <c r="D635" s="3"/>
      <c r="E635" s="3"/>
      <c r="F635" s="3"/>
      <c r="G635" s="3"/>
      <c r="H635" s="3"/>
      <c r="I635" s="3"/>
    </row>
    <row r="636" spans="1:9" x14ac:dyDescent="0.25">
      <c r="A636" s="3"/>
      <c r="B636" s="3"/>
      <c r="C636" s="3"/>
      <c r="D636" s="3"/>
      <c r="E636" s="3"/>
      <c r="F636" s="3"/>
      <c r="G636" s="3"/>
      <c r="H636" s="3"/>
      <c r="I636" s="3"/>
    </row>
    <row r="637" spans="1:9" x14ac:dyDescent="0.25">
      <c r="A637" s="3"/>
      <c r="B637" s="3"/>
      <c r="C637" s="3"/>
      <c r="D637" s="3"/>
      <c r="E637" s="3"/>
      <c r="F637" s="3"/>
      <c r="G637" s="3"/>
      <c r="H637" s="3"/>
      <c r="I637" s="3"/>
    </row>
    <row r="638" spans="1:9" x14ac:dyDescent="0.25">
      <c r="A638" s="3"/>
      <c r="B638" s="3"/>
      <c r="C638" s="3"/>
      <c r="D638" s="3"/>
      <c r="E638" s="3"/>
      <c r="F638" s="3"/>
      <c r="G638" s="3"/>
      <c r="H638" s="3"/>
      <c r="I638" s="3"/>
    </row>
    <row r="639" spans="1:9" x14ac:dyDescent="0.25">
      <c r="A639" s="3"/>
      <c r="B639" s="3"/>
      <c r="C639" s="3"/>
      <c r="D639" s="3"/>
      <c r="E639" s="3"/>
      <c r="F639" s="3"/>
      <c r="G639" s="3"/>
      <c r="H639" s="3"/>
      <c r="I639" s="3"/>
    </row>
    <row r="640" spans="1:9" x14ac:dyDescent="0.25">
      <c r="A640" s="3"/>
      <c r="B640" s="3"/>
      <c r="C640" s="3"/>
      <c r="D640" s="3"/>
      <c r="E640" s="3"/>
      <c r="F640" s="3"/>
      <c r="G640" s="3"/>
      <c r="H640" s="3"/>
      <c r="I640" s="3"/>
    </row>
    <row r="641" spans="1:9" x14ac:dyDescent="0.25">
      <c r="A641" s="3"/>
      <c r="B641" s="3"/>
      <c r="C641" s="3"/>
      <c r="D641" s="3"/>
      <c r="E641" s="3"/>
      <c r="F641" s="3"/>
      <c r="G641" s="3"/>
      <c r="H641" s="3"/>
      <c r="I641" s="3"/>
    </row>
    <row r="642" spans="1:9" x14ac:dyDescent="0.25">
      <c r="A642" s="3"/>
      <c r="B642" s="3"/>
      <c r="C642" s="3"/>
      <c r="D642" s="3"/>
      <c r="E642" s="3"/>
      <c r="F642" s="3"/>
      <c r="G642" s="3"/>
      <c r="H642" s="3"/>
      <c r="I642" s="3"/>
    </row>
    <row r="643" spans="1:9" x14ac:dyDescent="0.25">
      <c r="A643" s="3"/>
      <c r="B643" s="3"/>
      <c r="C643" s="3"/>
      <c r="D643" s="3"/>
      <c r="E643" s="3"/>
      <c r="F643" s="3"/>
      <c r="G643" s="3"/>
      <c r="H643" s="3"/>
      <c r="I643" s="3"/>
    </row>
    <row r="644" spans="1:9" x14ac:dyDescent="0.25">
      <c r="A644" s="3"/>
      <c r="B644" s="3"/>
      <c r="C644" s="3"/>
      <c r="D644" s="3"/>
      <c r="E644" s="3"/>
      <c r="F644" s="3"/>
      <c r="G644" s="3"/>
      <c r="H644" s="3"/>
      <c r="I644" s="3"/>
    </row>
    <row r="645" spans="1:9" x14ac:dyDescent="0.25">
      <c r="A645" s="3"/>
      <c r="B645" s="3"/>
      <c r="C645" s="3"/>
      <c r="D645" s="3"/>
      <c r="E645" s="3"/>
      <c r="F645" s="3"/>
      <c r="G645" s="3"/>
      <c r="H645" s="3"/>
      <c r="I645" s="3"/>
    </row>
    <row r="646" spans="1:9" x14ac:dyDescent="0.25">
      <c r="A646" s="3"/>
      <c r="B646" s="3"/>
      <c r="C646" s="3"/>
      <c r="D646" s="3"/>
      <c r="E646" s="3"/>
      <c r="F646" s="3"/>
      <c r="G646" s="3"/>
      <c r="H646" s="3"/>
      <c r="I646" s="3"/>
    </row>
    <row r="647" spans="1:9" x14ac:dyDescent="0.25">
      <c r="A647" s="3"/>
      <c r="B647" s="3"/>
      <c r="C647" s="3"/>
      <c r="D647" s="3"/>
      <c r="E647" s="3"/>
      <c r="F647" s="3"/>
      <c r="G647" s="3"/>
      <c r="H647" s="3"/>
      <c r="I647" s="3"/>
    </row>
    <row r="648" spans="1:9" x14ac:dyDescent="0.25">
      <c r="A648" s="3"/>
      <c r="B648" s="3"/>
      <c r="C648" s="3"/>
      <c r="D648" s="3"/>
      <c r="E648" s="3"/>
      <c r="F648" s="3"/>
      <c r="G648" s="3"/>
      <c r="H648" s="3"/>
      <c r="I648" s="3"/>
    </row>
    <row r="649" spans="1:9" x14ac:dyDescent="0.25">
      <c r="A649" s="3"/>
      <c r="B649" s="3"/>
      <c r="C649" s="3"/>
      <c r="D649" s="3"/>
      <c r="E649" s="3"/>
      <c r="F649" s="3"/>
      <c r="G649" s="3"/>
      <c r="H649" s="3"/>
      <c r="I649" s="3"/>
    </row>
    <row r="650" spans="1:9" x14ac:dyDescent="0.25">
      <c r="A650" s="3"/>
      <c r="B650" s="3"/>
      <c r="C650" s="3"/>
      <c r="D650" s="3"/>
      <c r="E650" s="3"/>
      <c r="F650" s="3"/>
      <c r="G650" s="3"/>
      <c r="H650" s="3"/>
      <c r="I650" s="3"/>
    </row>
    <row r="651" spans="1:9" x14ac:dyDescent="0.25">
      <c r="A651" s="3"/>
      <c r="B651" s="3"/>
      <c r="C651" s="3"/>
      <c r="D651" s="3"/>
      <c r="E651" s="3"/>
      <c r="F651" s="3"/>
      <c r="G651" s="3"/>
      <c r="H651" s="3"/>
      <c r="I651" s="3"/>
    </row>
    <row r="652" spans="1:9" x14ac:dyDescent="0.25">
      <c r="A652" s="3"/>
      <c r="B652" s="3"/>
      <c r="C652" s="3"/>
      <c r="D652" s="3"/>
      <c r="E652" s="3"/>
      <c r="F652" s="3"/>
      <c r="G652" s="3"/>
      <c r="H652" s="3"/>
      <c r="I652" s="3"/>
    </row>
    <row r="653" spans="1:9" x14ac:dyDescent="0.25">
      <c r="A653" s="3"/>
      <c r="B653" s="3"/>
      <c r="C653" s="3"/>
      <c r="D653" s="3"/>
      <c r="E653" s="3"/>
      <c r="F653" s="3"/>
      <c r="G653" s="3"/>
      <c r="H653" s="3"/>
      <c r="I653" s="3"/>
    </row>
    <row r="654" spans="1:9" x14ac:dyDescent="0.25">
      <c r="A654" s="3"/>
      <c r="B654" s="3"/>
      <c r="C654" s="3"/>
      <c r="D654" s="3"/>
      <c r="E654" s="3"/>
      <c r="F654" s="3"/>
      <c r="G654" s="3"/>
      <c r="H654" s="3"/>
      <c r="I654" s="3"/>
    </row>
    <row r="655" spans="1:9" x14ac:dyDescent="0.25">
      <c r="A655" s="3"/>
      <c r="B655" s="3"/>
      <c r="C655" s="3"/>
      <c r="D655" s="3"/>
      <c r="E655" s="3"/>
      <c r="F655" s="3"/>
      <c r="G655" s="3"/>
      <c r="H655" s="3"/>
      <c r="I655" s="3"/>
    </row>
    <row r="656" spans="1:9" x14ac:dyDescent="0.25">
      <c r="A656" s="3"/>
      <c r="B656" s="3"/>
      <c r="C656" s="3"/>
      <c r="D656" s="3"/>
      <c r="E656" s="3"/>
      <c r="F656" s="3"/>
      <c r="G656" s="3"/>
      <c r="H656" s="3"/>
      <c r="I656" s="3"/>
    </row>
    <row r="657" spans="1:9" x14ac:dyDescent="0.25">
      <c r="A657" s="3"/>
      <c r="B657" s="3"/>
      <c r="C657" s="3"/>
      <c r="D657" s="3"/>
      <c r="E657" s="3"/>
      <c r="F657" s="3"/>
      <c r="G657" s="3"/>
      <c r="H657" s="3"/>
      <c r="I657" s="3"/>
    </row>
    <row r="658" spans="1:9" x14ac:dyDescent="0.25">
      <c r="A658" s="3"/>
      <c r="B658" s="3"/>
      <c r="C658" s="3"/>
      <c r="D658" s="3"/>
      <c r="E658" s="3"/>
      <c r="F658" s="3"/>
      <c r="G658" s="3"/>
      <c r="H658" s="3"/>
      <c r="I658" s="3"/>
    </row>
    <row r="659" spans="1:9" x14ac:dyDescent="0.25">
      <c r="A659" s="3"/>
      <c r="B659" s="3"/>
      <c r="C659" s="3"/>
      <c r="D659" s="3"/>
      <c r="E659" s="3"/>
      <c r="F659" s="3"/>
      <c r="G659" s="3"/>
      <c r="H659" s="3"/>
      <c r="I659" s="3"/>
    </row>
    <row r="660" spans="1:9" x14ac:dyDescent="0.25">
      <c r="A660" s="3"/>
      <c r="B660" s="3"/>
      <c r="C660" s="3"/>
      <c r="D660" s="3"/>
      <c r="E660" s="3"/>
      <c r="F660" s="3"/>
      <c r="G660" s="3"/>
      <c r="H660" s="3"/>
      <c r="I660" s="3"/>
    </row>
    <row r="661" spans="1:9" x14ac:dyDescent="0.25">
      <c r="A661" s="3"/>
      <c r="B661" s="3"/>
      <c r="C661" s="3"/>
      <c r="D661" s="3"/>
      <c r="E661" s="3"/>
      <c r="F661" s="3"/>
      <c r="G661" s="3"/>
      <c r="H661" s="3"/>
      <c r="I661" s="3"/>
    </row>
    <row r="662" spans="1:9" x14ac:dyDescent="0.25">
      <c r="A662" s="3"/>
      <c r="B662" s="3"/>
      <c r="C662" s="3"/>
      <c r="D662" s="3"/>
      <c r="E662" s="3"/>
      <c r="F662" s="3"/>
      <c r="G662" s="3"/>
      <c r="H662" s="3"/>
      <c r="I662" s="3"/>
    </row>
    <row r="663" spans="1:9" x14ac:dyDescent="0.25">
      <c r="A663" s="3"/>
      <c r="B663" s="3"/>
      <c r="C663" s="3"/>
      <c r="D663" s="3"/>
      <c r="E663" s="3"/>
      <c r="F663" s="3"/>
      <c r="G663" s="3"/>
      <c r="H663" s="3"/>
      <c r="I663" s="3"/>
    </row>
    <row r="664" spans="1:9" x14ac:dyDescent="0.25">
      <c r="A664" s="3"/>
      <c r="B664" s="3"/>
      <c r="C664" s="3"/>
      <c r="D664" s="3"/>
      <c r="E664" s="3"/>
      <c r="F664" s="3"/>
      <c r="G664" s="3"/>
      <c r="H664" s="3"/>
      <c r="I664" s="3"/>
    </row>
    <row r="665" spans="1:9" x14ac:dyDescent="0.25">
      <c r="A665" s="3"/>
      <c r="B665" s="3"/>
      <c r="C665" s="3"/>
      <c r="D665" s="3"/>
      <c r="E665" s="3"/>
      <c r="F665" s="3"/>
      <c r="G665" s="3"/>
      <c r="H665" s="3"/>
      <c r="I665" s="3"/>
    </row>
    <row r="666" spans="1:9" x14ac:dyDescent="0.25">
      <c r="A666" s="3"/>
      <c r="B666" s="3"/>
      <c r="C666" s="3"/>
      <c r="D666" s="3"/>
      <c r="E666" s="3"/>
      <c r="F666" s="3"/>
      <c r="G666" s="3"/>
      <c r="H666" s="3"/>
      <c r="I666" s="3"/>
    </row>
    <row r="667" spans="1:9" x14ac:dyDescent="0.25">
      <c r="A667" s="3"/>
      <c r="B667" s="3"/>
      <c r="C667" s="3"/>
      <c r="D667" s="3"/>
      <c r="E667" s="3"/>
      <c r="F667" s="3"/>
      <c r="G667" s="3"/>
      <c r="H667" s="3"/>
      <c r="I667" s="3"/>
    </row>
    <row r="668" spans="1:9" x14ac:dyDescent="0.25">
      <c r="A668" s="3"/>
      <c r="B668" s="3"/>
      <c r="C668" s="3"/>
      <c r="D668" s="3"/>
      <c r="E668" s="3"/>
      <c r="F668" s="3"/>
      <c r="G668" s="3"/>
      <c r="H668" s="3"/>
      <c r="I668" s="3"/>
    </row>
    <row r="669" spans="1:9" x14ac:dyDescent="0.25">
      <c r="A669" s="3"/>
      <c r="B669" s="3"/>
      <c r="C669" s="3"/>
      <c r="D669" s="3"/>
      <c r="E669" s="3"/>
      <c r="F669" s="3"/>
      <c r="G669" s="3"/>
      <c r="H669" s="3"/>
      <c r="I669" s="3"/>
    </row>
    <row r="670" spans="1:9" x14ac:dyDescent="0.25">
      <c r="A670" s="3"/>
      <c r="B670" s="3"/>
      <c r="C670" s="3"/>
      <c r="D670" s="3"/>
      <c r="E670" s="3"/>
      <c r="F670" s="3"/>
      <c r="G670" s="3"/>
      <c r="H670" s="3"/>
      <c r="I670" s="3"/>
    </row>
    <row r="671" spans="1:9" x14ac:dyDescent="0.25">
      <c r="A671" s="3"/>
      <c r="B671" s="3"/>
      <c r="C671" s="3"/>
      <c r="D671" s="3"/>
      <c r="E671" s="3"/>
      <c r="F671" s="3"/>
      <c r="G671" s="3"/>
      <c r="H671" s="3"/>
      <c r="I671" s="3"/>
    </row>
    <row r="672" spans="1:9" x14ac:dyDescent="0.25">
      <c r="A672" s="3"/>
      <c r="B672" s="3"/>
      <c r="C672" s="3"/>
      <c r="D672" s="3"/>
      <c r="E672" s="3"/>
      <c r="F672" s="3"/>
      <c r="G672" s="3"/>
      <c r="H672" s="3"/>
      <c r="I672" s="3"/>
    </row>
    <row r="673" spans="1:9" x14ac:dyDescent="0.25">
      <c r="A673" s="3"/>
      <c r="B673" s="3"/>
      <c r="C673" s="3"/>
      <c r="D673" s="3"/>
      <c r="E673" s="3"/>
      <c r="F673" s="3"/>
      <c r="G673" s="3"/>
      <c r="H673" s="3"/>
      <c r="I673" s="3"/>
    </row>
    <row r="674" spans="1:9" x14ac:dyDescent="0.25">
      <c r="A674" s="3"/>
      <c r="B674" s="3"/>
      <c r="C674" s="3"/>
      <c r="D674" s="3"/>
      <c r="E674" s="3"/>
      <c r="F674" s="3"/>
      <c r="G674" s="3"/>
      <c r="H674" s="3"/>
      <c r="I674" s="3"/>
    </row>
    <row r="675" spans="1:9" x14ac:dyDescent="0.25">
      <c r="A675" s="3"/>
      <c r="B675" s="3"/>
      <c r="C675" s="3"/>
      <c r="D675" s="3"/>
      <c r="E675" s="3"/>
      <c r="F675" s="3"/>
      <c r="G675" s="3"/>
      <c r="H675" s="3"/>
      <c r="I675" s="3"/>
    </row>
    <row r="676" spans="1:9" x14ac:dyDescent="0.25">
      <c r="A676" s="3"/>
      <c r="B676" s="3"/>
      <c r="C676" s="3"/>
      <c r="D676" s="3"/>
      <c r="E676" s="3"/>
      <c r="F676" s="3"/>
      <c r="G676" s="3"/>
      <c r="H676" s="3"/>
      <c r="I676" s="3"/>
    </row>
    <row r="677" spans="1:9" x14ac:dyDescent="0.25">
      <c r="A677" s="3"/>
      <c r="B677" s="3"/>
      <c r="C677" s="3"/>
      <c r="D677" s="3"/>
      <c r="E677" s="3"/>
      <c r="F677" s="3"/>
      <c r="G677" s="3"/>
      <c r="H677" s="3"/>
      <c r="I677" s="3"/>
    </row>
    <row r="678" spans="1:9" x14ac:dyDescent="0.25">
      <c r="A678" s="3"/>
      <c r="B678" s="3"/>
      <c r="C678" s="3"/>
      <c r="D678" s="3"/>
      <c r="E678" s="3"/>
      <c r="F678" s="3"/>
      <c r="G678" s="3"/>
      <c r="H678" s="3"/>
      <c r="I678" s="3"/>
    </row>
    <row r="679" spans="1:9" x14ac:dyDescent="0.25">
      <c r="A679" s="3"/>
      <c r="B679" s="3"/>
      <c r="C679" s="3"/>
      <c r="D679" s="3"/>
      <c r="E679" s="3"/>
      <c r="F679" s="3"/>
      <c r="G679" s="3"/>
      <c r="H679" s="3"/>
      <c r="I679" s="3"/>
    </row>
    <row r="680" spans="1:9" x14ac:dyDescent="0.25">
      <c r="A680" s="3"/>
      <c r="B680" s="3"/>
      <c r="C680" s="3"/>
      <c r="D680" s="3"/>
      <c r="E680" s="3"/>
      <c r="F680" s="3"/>
      <c r="G680" s="3"/>
      <c r="H680" s="3"/>
      <c r="I680" s="3"/>
    </row>
    <row r="681" spans="1:9" x14ac:dyDescent="0.25">
      <c r="A681" s="3"/>
      <c r="B681" s="3"/>
      <c r="C681" s="3"/>
      <c r="D681" s="3"/>
      <c r="E681" s="3"/>
      <c r="F681" s="3"/>
      <c r="G681" s="3"/>
      <c r="H681" s="3"/>
      <c r="I681" s="3"/>
    </row>
    <row r="682" spans="1:9" x14ac:dyDescent="0.25">
      <c r="A682" s="3"/>
      <c r="B682" s="3"/>
      <c r="C682" s="3"/>
      <c r="D682" s="3"/>
      <c r="E682" s="3"/>
      <c r="F682" s="3"/>
      <c r="G682" s="3"/>
      <c r="H682" s="3"/>
      <c r="I682" s="3"/>
    </row>
    <row r="683" spans="1:9" x14ac:dyDescent="0.25">
      <c r="A683" s="3"/>
      <c r="B683" s="3"/>
      <c r="C683" s="3"/>
      <c r="D683" s="3"/>
      <c r="E683" s="3"/>
      <c r="F683" s="3"/>
      <c r="G683" s="3"/>
      <c r="H683" s="3"/>
      <c r="I683" s="3"/>
    </row>
    <row r="684" spans="1:9" x14ac:dyDescent="0.25">
      <c r="A684" s="3"/>
      <c r="B684" s="3"/>
      <c r="C684" s="3"/>
      <c r="D684" s="3"/>
      <c r="E684" s="3"/>
      <c r="F684" s="3"/>
      <c r="G684" s="3"/>
      <c r="H684" s="3"/>
      <c r="I684" s="3"/>
    </row>
    <row r="685" spans="1:9" x14ac:dyDescent="0.25">
      <c r="A685" s="3"/>
      <c r="B685" s="3"/>
      <c r="C685" s="3"/>
      <c r="D685" s="3"/>
      <c r="E685" s="3"/>
      <c r="F685" s="3"/>
      <c r="G685" s="3"/>
      <c r="H685" s="3"/>
      <c r="I685" s="3"/>
    </row>
    <row r="686" spans="1:9" x14ac:dyDescent="0.25">
      <c r="A686" s="3"/>
      <c r="B686" s="3"/>
      <c r="C686" s="3"/>
      <c r="D686" s="3"/>
      <c r="E686" s="3"/>
      <c r="F686" s="3"/>
      <c r="G686" s="3"/>
      <c r="H686" s="3"/>
      <c r="I686" s="3"/>
    </row>
    <row r="687" spans="1:9" x14ac:dyDescent="0.25">
      <c r="A687" s="3"/>
      <c r="B687" s="3"/>
      <c r="C687" s="3"/>
      <c r="D687" s="3"/>
      <c r="E687" s="3"/>
      <c r="F687" s="3"/>
      <c r="G687" s="3"/>
      <c r="H687" s="3"/>
      <c r="I687" s="3"/>
    </row>
    <row r="688" spans="1:9" x14ac:dyDescent="0.25">
      <c r="A688" s="3"/>
      <c r="B688" s="3"/>
      <c r="C688" s="3"/>
      <c r="D688" s="3"/>
      <c r="E688" s="3"/>
      <c r="F688" s="3"/>
      <c r="G688" s="3"/>
      <c r="H688" s="3"/>
      <c r="I688" s="3"/>
    </row>
    <row r="689" spans="1:9" x14ac:dyDescent="0.25">
      <c r="A689" s="3"/>
      <c r="B689" s="3"/>
      <c r="C689" s="3"/>
      <c r="D689" s="3"/>
      <c r="E689" s="3"/>
      <c r="F689" s="3"/>
      <c r="G689" s="3"/>
      <c r="H689" s="3"/>
      <c r="I689" s="3"/>
    </row>
    <row r="690" spans="1:9" x14ac:dyDescent="0.25">
      <c r="A690" s="3"/>
      <c r="B690" s="3"/>
      <c r="C690" s="3"/>
      <c r="D690" s="3"/>
      <c r="E690" s="3"/>
      <c r="F690" s="3"/>
      <c r="G690" s="3"/>
      <c r="H690" s="3"/>
      <c r="I690" s="3"/>
    </row>
    <row r="691" spans="1:9" x14ac:dyDescent="0.25">
      <c r="A691" s="3"/>
      <c r="B691" s="3"/>
      <c r="C691" s="3"/>
      <c r="D691" s="3"/>
      <c r="E691" s="3"/>
      <c r="F691" s="3"/>
      <c r="G691" s="3"/>
      <c r="H691" s="3"/>
      <c r="I691" s="3"/>
    </row>
    <row r="692" spans="1:9" x14ac:dyDescent="0.25">
      <c r="A692" s="3"/>
      <c r="B692" s="3"/>
      <c r="C692" s="3"/>
      <c r="D692" s="3"/>
      <c r="E692" s="3"/>
      <c r="F692" s="3"/>
      <c r="G692" s="3"/>
      <c r="H692" s="3"/>
      <c r="I692" s="3"/>
    </row>
    <row r="693" spans="1:9" x14ac:dyDescent="0.25">
      <c r="A693" s="3"/>
      <c r="B693" s="3"/>
      <c r="C693" s="3"/>
      <c r="D693" s="3"/>
      <c r="E693" s="3"/>
      <c r="F693" s="3"/>
      <c r="G693" s="3"/>
      <c r="H693" s="3"/>
      <c r="I693" s="3"/>
    </row>
    <row r="694" spans="1:9" x14ac:dyDescent="0.25">
      <c r="A694" s="3"/>
      <c r="B694" s="3"/>
      <c r="C694" s="3"/>
      <c r="D694" s="3"/>
      <c r="E694" s="3"/>
      <c r="F694" s="3"/>
      <c r="G694" s="3"/>
      <c r="H694" s="3"/>
      <c r="I694" s="3"/>
    </row>
    <row r="695" spans="1:9" x14ac:dyDescent="0.25">
      <c r="A695" s="3"/>
      <c r="B695" s="3"/>
      <c r="C695" s="3"/>
      <c r="D695" s="3"/>
      <c r="E695" s="3"/>
      <c r="F695" s="3"/>
      <c r="G695" s="3"/>
      <c r="H695" s="3"/>
      <c r="I695" s="3"/>
    </row>
    <row r="696" spans="1:9" x14ac:dyDescent="0.25">
      <c r="A696" s="3"/>
      <c r="B696" s="3"/>
      <c r="C696" s="3"/>
      <c r="D696" s="3"/>
      <c r="E696" s="3"/>
      <c r="F696" s="3"/>
      <c r="G696" s="3"/>
      <c r="H696" s="3"/>
      <c r="I696" s="3"/>
    </row>
    <row r="697" spans="1:9" x14ac:dyDescent="0.25">
      <c r="A697" s="3"/>
      <c r="B697" s="3"/>
      <c r="C697" s="3"/>
      <c r="D697" s="3"/>
      <c r="E697" s="3"/>
      <c r="F697" s="3"/>
      <c r="G697" s="3"/>
      <c r="H697" s="3"/>
      <c r="I697" s="3"/>
    </row>
    <row r="698" spans="1:9" x14ac:dyDescent="0.25">
      <c r="A698" s="3"/>
      <c r="B698" s="3"/>
      <c r="C698" s="3"/>
      <c r="D698" s="3"/>
      <c r="E698" s="3"/>
      <c r="F698" s="3"/>
      <c r="G698" s="3"/>
      <c r="H698" s="3"/>
      <c r="I698" s="3"/>
    </row>
    <row r="699" spans="1:9" x14ac:dyDescent="0.25">
      <c r="A699" s="3"/>
      <c r="B699" s="3"/>
      <c r="C699" s="3"/>
      <c r="D699" s="3"/>
      <c r="E699" s="3"/>
      <c r="F699" s="3"/>
      <c r="G699" s="3"/>
      <c r="H699" s="3"/>
      <c r="I699" s="3"/>
    </row>
    <row r="700" spans="1:9" x14ac:dyDescent="0.25">
      <c r="A700" s="3"/>
      <c r="B700" s="3"/>
      <c r="C700" s="3"/>
      <c r="D700" s="3"/>
      <c r="E700" s="3"/>
      <c r="F700" s="3"/>
      <c r="G700" s="3"/>
      <c r="H700" s="3"/>
      <c r="I700" s="3"/>
    </row>
    <row r="701" spans="1:9" x14ac:dyDescent="0.25">
      <c r="A701" s="3"/>
      <c r="B701" s="3"/>
      <c r="C701" s="3"/>
      <c r="D701" s="3"/>
      <c r="E701" s="3"/>
      <c r="F701" s="3"/>
      <c r="G701" s="3"/>
      <c r="H701" s="3"/>
      <c r="I701" s="3"/>
    </row>
    <row r="702" spans="1:9" x14ac:dyDescent="0.25">
      <c r="A702" s="3"/>
      <c r="B702" s="3"/>
      <c r="C702" s="3"/>
      <c r="D702" s="3"/>
      <c r="E702" s="3"/>
      <c r="F702" s="3"/>
      <c r="G702" s="3"/>
      <c r="H702" s="3"/>
      <c r="I702" s="3"/>
    </row>
    <row r="703" spans="1:9" x14ac:dyDescent="0.25">
      <c r="A703" s="3"/>
      <c r="B703" s="3"/>
      <c r="C703" s="3"/>
      <c r="D703" s="3"/>
      <c r="E703" s="3"/>
      <c r="F703" s="3"/>
      <c r="G703" s="3"/>
      <c r="H703" s="3"/>
      <c r="I703" s="3"/>
    </row>
    <row r="704" spans="1:9" x14ac:dyDescent="0.25">
      <c r="A704" s="3"/>
      <c r="B704" s="3"/>
      <c r="C704" s="3"/>
      <c r="D704" s="3"/>
      <c r="E704" s="3"/>
      <c r="F704" s="3"/>
      <c r="G704" s="3"/>
      <c r="H704" s="3"/>
      <c r="I704" s="3"/>
    </row>
    <row r="705" spans="1:9" x14ac:dyDescent="0.25">
      <c r="A705" s="3"/>
      <c r="B705" s="3"/>
      <c r="C705" s="3"/>
      <c r="D705" s="3"/>
      <c r="E705" s="3"/>
      <c r="F705" s="3"/>
      <c r="G705" s="3"/>
      <c r="H705" s="3"/>
      <c r="I705" s="3"/>
    </row>
    <row r="706" spans="1:9" x14ac:dyDescent="0.25">
      <c r="A706" s="3"/>
      <c r="B706" s="3"/>
      <c r="C706" s="3"/>
      <c r="D706" s="3"/>
      <c r="E706" s="3"/>
      <c r="F706" s="3"/>
      <c r="G706" s="3"/>
      <c r="H706" s="3"/>
      <c r="I706" s="3"/>
    </row>
    <row r="707" spans="1:9" x14ac:dyDescent="0.25">
      <c r="A707" s="3"/>
      <c r="B707" s="3"/>
      <c r="C707" s="3"/>
      <c r="D707" s="3"/>
      <c r="E707" s="3"/>
      <c r="F707" s="3"/>
      <c r="G707" s="3"/>
      <c r="H707" s="3"/>
      <c r="I707" s="3"/>
    </row>
    <row r="708" spans="1:9" x14ac:dyDescent="0.25">
      <c r="A708" s="3"/>
      <c r="B708" s="3"/>
      <c r="C708" s="3"/>
      <c r="D708" s="3"/>
      <c r="E708" s="3"/>
      <c r="F708" s="3"/>
      <c r="G708" s="3"/>
      <c r="H708" s="3"/>
      <c r="I708" s="3"/>
    </row>
    <row r="709" spans="1:9" x14ac:dyDescent="0.25">
      <c r="A709" s="3"/>
      <c r="B709" s="3"/>
      <c r="C709" s="3"/>
      <c r="D709" s="3"/>
      <c r="E709" s="3"/>
      <c r="F709" s="3"/>
      <c r="G709" s="3"/>
      <c r="H709" s="3"/>
      <c r="I709" s="3"/>
    </row>
    <row r="710" spans="1:9" x14ac:dyDescent="0.25">
      <c r="A710" s="3"/>
      <c r="B710" s="3"/>
      <c r="C710" s="3"/>
      <c r="D710" s="3"/>
      <c r="E710" s="3"/>
      <c r="F710" s="3"/>
      <c r="G710" s="3"/>
      <c r="H710" s="3"/>
      <c r="I710" s="3"/>
    </row>
    <row r="711" spans="1:9" x14ac:dyDescent="0.25">
      <c r="A711" s="3"/>
      <c r="B711" s="3"/>
      <c r="C711" s="3"/>
      <c r="D711" s="3"/>
      <c r="E711" s="3"/>
      <c r="F711" s="3"/>
      <c r="G711" s="3"/>
      <c r="H711" s="3"/>
      <c r="I711" s="3"/>
    </row>
    <row r="712" spans="1:9" x14ac:dyDescent="0.25">
      <c r="A712" s="3"/>
      <c r="B712" s="3"/>
      <c r="C712" s="3"/>
      <c r="D712" s="3"/>
      <c r="E712" s="3"/>
      <c r="F712" s="3"/>
      <c r="G712" s="3"/>
      <c r="H712" s="3"/>
      <c r="I712" s="3"/>
    </row>
    <row r="713" spans="1:9" x14ac:dyDescent="0.25">
      <c r="A713" s="3"/>
      <c r="B713" s="3"/>
      <c r="C713" s="3"/>
      <c r="D713" s="3"/>
      <c r="E713" s="3"/>
      <c r="F713" s="3"/>
      <c r="G713" s="3"/>
      <c r="H713" s="3"/>
      <c r="I713" s="3"/>
    </row>
    <row r="714" spans="1:9" x14ac:dyDescent="0.25">
      <c r="A714" s="3"/>
      <c r="B714" s="3"/>
      <c r="C714" s="3"/>
      <c r="D714" s="3"/>
      <c r="E714" s="3"/>
      <c r="F714" s="3"/>
      <c r="G714" s="3"/>
      <c r="H714" s="3"/>
      <c r="I714" s="3"/>
    </row>
    <row r="715" spans="1:9" x14ac:dyDescent="0.25">
      <c r="A715" s="3"/>
      <c r="B715" s="3"/>
      <c r="C715" s="3"/>
      <c r="D715" s="3"/>
      <c r="E715" s="3"/>
      <c r="F715" s="3"/>
      <c r="G715" s="3"/>
      <c r="H715" s="3"/>
      <c r="I715" s="3"/>
    </row>
    <row r="716" spans="1:9" x14ac:dyDescent="0.25">
      <c r="B716" s="3"/>
      <c r="C716" s="3"/>
      <c r="D716" s="3"/>
      <c r="E716" s="3"/>
      <c r="F716" s="3"/>
      <c r="G716" s="3"/>
      <c r="H716" s="3"/>
      <c r="I716" s="3"/>
    </row>
    <row r="717" spans="1:9" x14ac:dyDescent="0.25">
      <c r="B717" s="3"/>
      <c r="C717" s="3"/>
      <c r="D717" s="3"/>
      <c r="E717" s="3"/>
      <c r="F717" s="3"/>
      <c r="G717" s="3"/>
      <c r="H717" s="3"/>
      <c r="I717" s="3"/>
    </row>
    <row r="718" spans="1:9" x14ac:dyDescent="0.25">
      <c r="B718" s="3"/>
      <c r="C718" s="3"/>
      <c r="D718" s="3"/>
      <c r="E718" s="3"/>
      <c r="F718" s="3"/>
      <c r="G718" s="3"/>
      <c r="H718" s="3"/>
      <c r="I718" s="3"/>
    </row>
    <row r="719" spans="1:9" x14ac:dyDescent="0.25">
      <c r="B719" s="3"/>
      <c r="C719" s="3"/>
      <c r="D719" s="3"/>
      <c r="E719" s="3"/>
      <c r="F719" s="3"/>
      <c r="G719" s="3"/>
      <c r="H719" s="3"/>
      <c r="I719" s="3"/>
    </row>
    <row r="720" spans="1:9" x14ac:dyDescent="0.25">
      <c r="B720" s="3"/>
      <c r="C720" s="3"/>
      <c r="D720" s="3"/>
      <c r="E720" s="3"/>
      <c r="F720" s="3"/>
      <c r="G720" s="3"/>
      <c r="H720" s="3"/>
      <c r="I720" s="3"/>
    </row>
  </sheetData>
  <mergeCells count="18">
    <mergeCell ref="A51:D51"/>
    <mergeCell ref="A52:D52"/>
    <mergeCell ref="E52:J52"/>
    <mergeCell ref="E51:J51"/>
    <mergeCell ref="A68:B68"/>
    <mergeCell ref="G67:H67"/>
    <mergeCell ref="I67:J67"/>
    <mergeCell ref="D68:E68"/>
    <mergeCell ref="G68:H68"/>
    <mergeCell ref="I68:J68"/>
    <mergeCell ref="G69:H69"/>
    <mergeCell ref="I69:J69"/>
    <mergeCell ref="A69:B69"/>
    <mergeCell ref="C69:C70"/>
    <mergeCell ref="D69:E70"/>
    <mergeCell ref="A70:B70"/>
    <mergeCell ref="G70:H70"/>
    <mergeCell ref="I70:J70"/>
  </mergeCells>
  <phoneticPr fontId="0" type="noConversion"/>
  <printOptions horizontalCentered="1" verticalCentered="1"/>
  <pageMargins left="0.5" right="0" top="0.35" bottom="0.05" header="0" footer="0"/>
  <pageSetup orientation="portrait" horizontalDpi="360" verticalDpi="36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pageSetUpPr autoPageBreaks="0" fitToPage="1"/>
  </sheetPr>
  <dimension ref="A1:J720"/>
  <sheetViews>
    <sheetView showGridLines="0" showZeros="0" workbookViewId="0">
      <selection activeCell="N61" sqref="N61"/>
    </sheetView>
  </sheetViews>
  <sheetFormatPr baseColWidth="10" defaultColWidth="8.88671875" defaultRowHeight="13.2" x14ac:dyDescent="0.25"/>
  <cols>
    <col min="1" max="1" width="12.88671875" customWidth="1"/>
    <col min="2" max="2" width="11.88671875" customWidth="1"/>
    <col min="3" max="3" width="13.88671875" customWidth="1"/>
    <col min="4" max="4" width="11.6640625" customWidth="1"/>
    <col min="5" max="5" width="10.44140625" customWidth="1"/>
    <col min="6" max="6" width="10.5546875" customWidth="1"/>
    <col min="7" max="7" width="10.6640625" customWidth="1"/>
    <col min="8" max="8" width="5.88671875" customWidth="1"/>
    <col min="9" max="9" width="9.44140625" customWidth="1"/>
    <col min="10" max="10" width="9.88671875" customWidth="1"/>
  </cols>
  <sheetData>
    <row r="1" spans="1:10" ht="6" customHeight="1" x14ac:dyDescent="0.25">
      <c r="A1" s="8"/>
      <c r="B1" s="9"/>
      <c r="C1" s="9"/>
      <c r="D1" s="9"/>
      <c r="E1" s="9"/>
      <c r="F1" s="9"/>
      <c r="G1" s="9"/>
      <c r="H1" s="9"/>
      <c r="I1" s="9"/>
      <c r="J1" s="10"/>
    </row>
    <row r="2" spans="1:10" ht="42" customHeight="1" thickBot="1" x14ac:dyDescent="0.35">
      <c r="A2" s="186"/>
      <c r="B2" s="48"/>
      <c r="C2" s="187"/>
      <c r="D2" s="50"/>
      <c r="E2" s="51"/>
      <c r="F2" s="52"/>
      <c r="G2" s="53"/>
      <c r="H2" s="53"/>
      <c r="I2" s="53"/>
      <c r="J2" s="54" t="str">
        <f>"SYNTHETIC-BASED MUD REPORT No. "&amp;[1]IFE!B166&amp;" "</f>
        <v xml:space="preserve">SYNTHETIC-BASED MUD REPORT No. 9 </v>
      </c>
    </row>
    <row r="3" spans="1:10" ht="9.9" customHeight="1" x14ac:dyDescent="0.25">
      <c r="A3" s="55" t="s">
        <v>11</v>
      </c>
      <c r="B3" s="56" t="str">
        <f xml:space="preserve"> [1]IFE!B6</f>
        <v>Cardon IV</v>
      </c>
      <c r="C3" s="57"/>
      <c r="D3" s="58" t="s">
        <v>13</v>
      </c>
      <c r="E3" s="59" t="str">
        <f xml:space="preserve"> [1]IFE!B9</f>
        <v>Golfo de Venezuela</v>
      </c>
      <c r="F3" s="4"/>
      <c r="G3" s="4"/>
      <c r="H3" s="58" t="s">
        <v>37</v>
      </c>
      <c r="I3" s="152" t="str">
        <f>[1]IFE!B120&amp;" "&amp;[1]IFE!B30&amp;" /"</f>
        <v>563 pies /</v>
      </c>
      <c r="J3" s="151" t="str">
        <f>[1]IFE!B121&amp;" "&amp;[1]IFE!B30</f>
        <v>563 pies</v>
      </c>
    </row>
    <row r="4" spans="1:10" ht="9.9" customHeight="1" x14ac:dyDescent="0.25">
      <c r="A4" s="61" t="s">
        <v>12</v>
      </c>
      <c r="B4" s="62" t="str">
        <f xml:space="preserve"> [1]IFE!B125</f>
        <v>Gerrit Ham / Jhony Quintero</v>
      </c>
      <c r="C4" s="63"/>
      <c r="D4" s="64" t="s">
        <v>38</v>
      </c>
      <c r="E4" s="62" t="str">
        <f>[1]IFE!B10</f>
        <v>Exploratory</v>
      </c>
      <c r="H4" s="64" t="s">
        <v>5</v>
      </c>
      <c r="I4" s="153">
        <f>[1]IFE!B119</f>
        <v>39989</v>
      </c>
      <c r="J4" s="244"/>
    </row>
    <row r="5" spans="1:10" ht="9.9" customHeight="1" x14ac:dyDescent="0.25">
      <c r="A5" s="61" t="s">
        <v>7</v>
      </c>
      <c r="B5" s="62" t="str">
        <f xml:space="preserve"> [1]IFE!B8</f>
        <v>Perla-1X</v>
      </c>
      <c r="C5" s="63"/>
      <c r="D5" s="64" t="s">
        <v>16</v>
      </c>
      <c r="E5" s="62" t="str">
        <f>[1]IFE!B11</f>
        <v>Offshore</v>
      </c>
      <c r="H5" s="64" t="s">
        <v>14</v>
      </c>
      <c r="I5" s="153">
        <f>[1]IFE!B5</f>
        <v>39981</v>
      </c>
      <c r="J5" s="244"/>
    </row>
    <row r="6" spans="1:10" ht="11.1" customHeight="1" x14ac:dyDescent="0.25">
      <c r="A6" s="61" t="s">
        <v>15</v>
      </c>
      <c r="B6" s="62" t="str">
        <f xml:space="preserve"> [1]IFE!B15</f>
        <v>Ensco</v>
      </c>
      <c r="C6" s="63"/>
      <c r="D6" s="64" t="s">
        <v>107</v>
      </c>
      <c r="E6" s="65" t="str">
        <f>[1]IFE!B16&amp;" "&amp;[1]IFE!B30</f>
        <v>202 pies</v>
      </c>
      <c r="G6" s="66"/>
      <c r="H6" s="67" t="s">
        <v>4</v>
      </c>
      <c r="I6" s="155" t="str">
        <f>[1]IFE!B124</f>
        <v>Agua de mar / HI VIS</v>
      </c>
      <c r="J6" s="244"/>
    </row>
    <row r="7" spans="1:10" ht="11.1" customHeight="1" thickBot="1" x14ac:dyDescent="0.3">
      <c r="A7" s="68" t="s">
        <v>12</v>
      </c>
      <c r="B7" s="69" t="str">
        <f>[1]IFE!B126</f>
        <v>Ricky Otwell</v>
      </c>
      <c r="C7" s="70"/>
      <c r="D7" s="71" t="s">
        <v>237</v>
      </c>
      <c r="E7" s="69">
        <f>[1]IFE!Z981</f>
        <v>68</v>
      </c>
      <c r="F7" s="1"/>
      <c r="G7" s="1"/>
      <c r="H7" s="71" t="s">
        <v>17</v>
      </c>
      <c r="I7" s="156" t="str">
        <f xml:space="preserve"> [1]IFE!B123</f>
        <v>Bajando Tuberia</v>
      </c>
      <c r="J7" s="157"/>
    </row>
    <row r="8" spans="1:10" ht="11.1" customHeight="1" x14ac:dyDescent="0.25">
      <c r="A8" s="188" t="s">
        <v>39</v>
      </c>
      <c r="B8" s="189"/>
      <c r="C8" s="190" t="s">
        <v>108</v>
      </c>
      <c r="D8" s="191"/>
      <c r="E8" s="190" t="str">
        <f>"MUD VOLUME" &amp; "   ("&amp; [1]IFE!B32&amp;")"</f>
        <v>MUD VOLUME   (bbl)</v>
      </c>
      <c r="F8" s="191"/>
      <c r="G8" s="192" t="s">
        <v>22</v>
      </c>
      <c r="H8" s="193"/>
      <c r="I8" s="193"/>
      <c r="J8" s="194"/>
    </row>
    <row r="9" spans="1:10" ht="11.1" customHeight="1" x14ac:dyDescent="0.25">
      <c r="A9" s="72" t="str">
        <f>[1]IFE!B167</f>
        <v xml:space="preserve"> pies, 5.5-plg DP</v>
      </c>
      <c r="B9" s="73"/>
      <c r="C9" s="72" t="str">
        <f>[1]IFE!B173</f>
        <v>30.-plg @563 pies (563 TVD)</v>
      </c>
      <c r="D9" s="73"/>
      <c r="E9" s="241" t="s">
        <v>18</v>
      </c>
      <c r="F9" s="241" t="s">
        <v>19</v>
      </c>
      <c r="G9" s="195"/>
      <c r="H9" s="77" t="s">
        <v>41</v>
      </c>
      <c r="I9" s="229" t="str">
        <f>[1]IFE!B161</f>
        <v>NATIONAL 12P-160</v>
      </c>
      <c r="J9" s="230" t="str">
        <f>[1]IFE!B162</f>
        <v>NATIONAL 12P-160</v>
      </c>
    </row>
    <row r="10" spans="1:10" ht="9.9" customHeight="1" x14ac:dyDescent="0.25">
      <c r="A10" s="78" t="str">
        <f>[1]IFE!B168</f>
        <v>372 pies, 5.5-plg HWDP</v>
      </c>
      <c r="B10" s="79"/>
      <c r="C10" s="78">
        <f>[1]IFE!B174</f>
        <v>0</v>
      </c>
      <c r="D10" s="40"/>
      <c r="E10" s="242">
        <f>[1]IFE!B177</f>
        <v>429</v>
      </c>
      <c r="F10" s="243">
        <f>[1]IFE!B178</f>
        <v>0</v>
      </c>
      <c r="G10" s="196"/>
      <c r="H10" s="81" t="s">
        <v>42</v>
      </c>
      <c r="I10" s="6" t="str">
        <f>[1]IFE!C161&amp;"x"&amp;[1]IFE!D161&amp;" "&amp;[1]IFE!B31</f>
        <v>6,5x12 plg</v>
      </c>
      <c r="J10" s="82" t="str">
        <f>[1]IFE!C162&amp;"x"&amp;[1]IFE!D162&amp;" "&amp;[1]IFE!B31</f>
        <v>6,5x12 plg</v>
      </c>
    </row>
    <row r="11" spans="1:10" ht="9.9" customHeight="1" x14ac:dyDescent="0.25">
      <c r="A11" s="78" t="str">
        <f>[1]IFE!B169</f>
        <v>65 pies, 8.-plg DC</v>
      </c>
      <c r="B11" s="40"/>
      <c r="C11" s="78">
        <f>[1]IFE!B175</f>
        <v>0</v>
      </c>
      <c r="D11" s="40"/>
      <c r="E11" s="74" t="s">
        <v>20</v>
      </c>
      <c r="F11" s="75"/>
      <c r="G11" s="195"/>
      <c r="H11" s="81" t="str">
        <f>"Pump Capacity "&amp;[1]IFE!B57</f>
        <v>Pump Capacity gal/emb</v>
      </c>
      <c r="I11" s="83">
        <f>[1]IFE!B182</f>
        <v>5.016</v>
      </c>
      <c r="J11" s="84">
        <f>[1]IFE!B183</f>
        <v>5.016</v>
      </c>
    </row>
    <row r="12" spans="1:10" ht="9.9" customHeight="1" thickBot="1" x14ac:dyDescent="0.3">
      <c r="A12" s="78" t="str">
        <f>[1]IFE!B170</f>
        <v>34 pies, 8.-plg JAR</v>
      </c>
      <c r="B12" s="40"/>
      <c r="C12" s="78">
        <f>[1]IFE!B176</f>
        <v>0</v>
      </c>
      <c r="D12" s="40"/>
      <c r="E12" s="78">
        <f>[1]IFE!$B$179</f>
        <v>0</v>
      </c>
      <c r="F12" s="238"/>
      <c r="G12" s="197"/>
      <c r="H12" s="86" t="s">
        <v>43</v>
      </c>
      <c r="I12" s="87" t="str">
        <f>[1]IFE!G161&amp;"@"&amp;[1]IFE!F161&amp;"%"</f>
        <v>0@97%</v>
      </c>
      <c r="J12" s="88" t="str">
        <f>[1]IFE!G162&amp;"@"&amp;[1]IFE!F162&amp;"%"</f>
        <v>0@97%</v>
      </c>
    </row>
    <row r="13" spans="1:10" ht="9.9" customHeight="1" x14ac:dyDescent="0.25">
      <c r="A13" s="78" t="str">
        <f>[1]IFE!B171</f>
        <v>96 pies, 8.-plg DC</v>
      </c>
      <c r="B13" s="40"/>
      <c r="C13" s="78">
        <f>[1]IFE!D173</f>
        <v>0</v>
      </c>
      <c r="D13" s="40"/>
      <c r="E13" s="239" t="s">
        <v>130</v>
      </c>
      <c r="F13" s="240"/>
      <c r="G13" s="196"/>
      <c r="H13" s="89" t="s">
        <v>29</v>
      </c>
      <c r="I13" s="90">
        <f>[1]IFE!B150</f>
        <v>0</v>
      </c>
      <c r="J13" s="91" t="str">
        <f>[1]IFE!B33</f>
        <v>gal/min</v>
      </c>
    </row>
    <row r="14" spans="1:10" ht="9.9" customHeight="1" x14ac:dyDescent="0.25">
      <c r="A14" s="78" t="str">
        <f>[1]IFE!B172</f>
        <v>31 pies, 9.5-plg DC</v>
      </c>
      <c r="B14" s="40"/>
      <c r="C14" s="78">
        <f>[1]IFE!D174</f>
        <v>0</v>
      </c>
      <c r="D14" s="40"/>
      <c r="E14" s="395">
        <f>[1]IFE!$BE$86</f>
        <v>0</v>
      </c>
      <c r="F14" s="396" t="str">
        <f>[1]IFE!$B$30</f>
        <v>pies</v>
      </c>
      <c r="G14" s="198"/>
      <c r="H14" s="93" t="s">
        <v>1</v>
      </c>
      <c r="I14" s="94">
        <f>[1]IFE!B152</f>
        <v>0</v>
      </c>
      <c r="J14" s="91" t="str">
        <f>[1]IFE!B36</f>
        <v>psi</v>
      </c>
    </row>
    <row r="15" spans="1:10" ht="9.9" customHeight="1" x14ac:dyDescent="0.25">
      <c r="A15" s="78" t="str">
        <f>"Nozzles "&amp;[1]IFE!B139&amp;IF([1]IFE!B142=0,"","x"&amp;[1]IFE!B142)&amp;IF([1]IFE!B140=0,"","/"&amp;[1]IFE!B140&amp;IF([1]IFE!B143=0,"","x"&amp;[1]IFE!B143))&amp;IF([1]IFE!B141=0,"", "/"&amp;[1]IFE!B141&amp;IF([1]IFE!B144=0,"","x"&amp;[1]IFE!B144))&amp;" "&amp;[1]IFE!B34</f>
        <v>Nozzles 0 1/32 plg</v>
      </c>
      <c r="B15" s="40"/>
      <c r="C15" s="78">
        <f>[1]IFE!D175</f>
        <v>0</v>
      </c>
      <c r="D15" s="40"/>
      <c r="E15" s="236" t="s">
        <v>131</v>
      </c>
      <c r="F15" s="237"/>
      <c r="G15" s="199"/>
      <c r="H15" s="96" t="s">
        <v>44</v>
      </c>
      <c r="I15" s="97">
        <f>[1]IFE!B186</f>
        <v>0</v>
      </c>
      <c r="J15" s="98"/>
    </row>
    <row r="16" spans="1:10" ht="9.9" customHeight="1" thickBot="1" x14ac:dyDescent="0.3">
      <c r="A16" s="99" t="str">
        <f>"Bit "&amp;[1]IFE!B136 &amp; "-" &amp; [1]IFE!B31&amp;" "&amp;[1]IFE!B137</f>
        <v>Bit 26-plg 0</v>
      </c>
      <c r="B16" s="100"/>
      <c r="C16" s="99">
        <f>[1]IFE!D176</f>
        <v>0</v>
      </c>
      <c r="D16" s="100"/>
      <c r="E16" s="397">
        <f>[1]IFE!$D$148</f>
        <v>0</v>
      </c>
      <c r="F16" s="398" t="str">
        <f>[1]IFE!$B$32</f>
        <v>bbl</v>
      </c>
      <c r="G16" s="200"/>
      <c r="H16" s="102" t="s">
        <v>45</v>
      </c>
      <c r="I16" s="103">
        <f>[1]IFE!B187</f>
        <v>0</v>
      </c>
      <c r="J16" s="104"/>
    </row>
    <row r="17" spans="1:10" ht="9.9" customHeight="1" x14ac:dyDescent="0.25">
      <c r="A17" s="201" t="s">
        <v>21</v>
      </c>
      <c r="B17" s="202"/>
      <c r="C17" s="202"/>
      <c r="D17" s="202"/>
      <c r="E17" s="202"/>
      <c r="F17" s="203"/>
      <c r="G17" s="190" t="s">
        <v>46</v>
      </c>
      <c r="H17" s="193"/>
      <c r="I17" s="193"/>
      <c r="J17" s="191"/>
    </row>
    <row r="18" spans="1:10" ht="9.9" customHeight="1" x14ac:dyDescent="0.25">
      <c r="A18" s="80" t="s">
        <v>47</v>
      </c>
      <c r="B18" s="81"/>
      <c r="C18" s="6" t="str">
        <f>CONCATENATE(TEXT([1]IFE!C77," ")&amp;" "&amp;TEXT([1]IFE!C78,"H:MM"))</f>
        <v>TK  1 12:00</v>
      </c>
      <c r="D18" s="6" t="str">
        <f>CONCATENATE(TEXT([1]IFE!D77," ")&amp;" "&amp;TEXT([1]IFE!D78,"H:MM"))</f>
        <v xml:space="preserve">  0:00</v>
      </c>
      <c r="E18" s="6" t="str">
        <f>CONCATENATE(TEXT([1]IFE!E77," ")&amp;" "&amp;TEXT([1]IFE!E78,"H:MM"))</f>
        <v>TK  3 12:00</v>
      </c>
      <c r="F18" s="6" t="str">
        <f>CONCATENATE(TEXT([1]IFE!F77," ")&amp;" "&amp;TEXT([1]IFE!F78,"H:MM"))</f>
        <v>TK  3 0:00</v>
      </c>
      <c r="G18" s="105" t="s">
        <v>48</v>
      </c>
      <c r="H18" s="106"/>
      <c r="I18" s="107" t="s">
        <v>49</v>
      </c>
      <c r="J18" s="108" t="s">
        <v>50</v>
      </c>
    </row>
    <row r="19" spans="1:10" ht="9.9" customHeight="1" x14ac:dyDescent="0.25">
      <c r="A19" s="109" t="s">
        <v>51</v>
      </c>
      <c r="B19" s="110" t="str">
        <f>[1]IFE!B40</f>
        <v>°F</v>
      </c>
      <c r="C19" s="111">
        <f>[1]IFE!C79</f>
        <v>0</v>
      </c>
      <c r="D19" s="111">
        <f>[1]IFE!D79</f>
        <v>0</v>
      </c>
      <c r="E19" s="111">
        <f>[1]IFE!E79</f>
        <v>0</v>
      </c>
      <c r="F19" s="112">
        <f>[1]IFE!F79</f>
        <v>0</v>
      </c>
      <c r="G19" s="387" t="str">
        <f>[1]IFE!B313</f>
        <v>ENGINEERING SERVICE</v>
      </c>
      <c r="H19" s="388"/>
      <c r="I19" s="94" t="str">
        <f>[1]IFE!C313</f>
        <v>1.  EA</v>
      </c>
      <c r="J19" s="114">
        <f>[1]IFE!D313</f>
        <v>2</v>
      </c>
    </row>
    <row r="20" spans="1:10" ht="9.9" customHeight="1" x14ac:dyDescent="0.25">
      <c r="A20" s="109" t="s">
        <v>23</v>
      </c>
      <c r="B20" s="110" t="str">
        <f>[1]IFE!B30</f>
        <v>pies</v>
      </c>
      <c r="C20" s="6" t="str">
        <f>CONCATENATE(TEXT([1]IFE!C80,"#")&amp;"/"&amp;TEXT([1]IFE!C81,"#"))</f>
        <v>563/563</v>
      </c>
      <c r="D20" s="6" t="str">
        <f>CONCATENATE(TEXT([1]IFE!D80,"#")&amp;"/"&amp;TEXT([1]IFE!D81,"#"))</f>
        <v>563/563</v>
      </c>
      <c r="E20" s="6" t="str">
        <f>CONCATENATE(TEXT([1]IFE!E80,"#")&amp;"/"&amp;TEXT([1]IFE!E81,"#"))</f>
        <v>563/563</v>
      </c>
      <c r="F20" s="6" t="str">
        <f>CONCATENATE(TEXT([1]IFE!F80,"#")&amp;"/"&amp;TEXT([1]IFE!F81,"#"))</f>
        <v>563/563</v>
      </c>
      <c r="G20" s="387" t="str">
        <f>[1]IFE!B314</f>
        <v>BENTONITE WYOMING</v>
      </c>
      <c r="H20" s="388"/>
      <c r="I20" s="94" t="str">
        <f>[1]IFE!C314</f>
        <v>100. LB BG</v>
      </c>
      <c r="J20" s="114">
        <f>[1]IFE!D314</f>
        <v>1</v>
      </c>
    </row>
    <row r="21" spans="1:10" ht="9.9" customHeight="1" x14ac:dyDescent="0.25">
      <c r="A21" s="109" t="s">
        <v>0</v>
      </c>
      <c r="B21" s="110" t="str">
        <f>[1]IFE!B39</f>
        <v>lb/gal</v>
      </c>
      <c r="C21" s="6" t="str">
        <f>CONCATENATE(TEXT([1]IFE!C82,"#.0")&amp;"@"&amp;TEXT([1]IFE!C83,"#"))</f>
        <v>9.1@85</v>
      </c>
      <c r="D21" s="6" t="str">
        <f>CONCATENATE(TEXT([1]IFE!D82,"#.0")&amp;"@"&amp;TEXT([1]IFE!D83,"#"))</f>
        <v>9.1@85</v>
      </c>
      <c r="E21" s="6" t="str">
        <f>CONCATENATE(TEXT([1]IFE!E82,"#.0")&amp;"@"&amp;TEXT([1]IFE!E83,"#"))</f>
        <v>14.0@85</v>
      </c>
      <c r="F21" s="6" t="str">
        <f>CONCATENATE(TEXT([1]IFE!F82,"#.0")&amp;"@"&amp;TEXT([1]IFE!F83,"#"))</f>
        <v>14.0@85</v>
      </c>
      <c r="G21" s="387" t="str">
        <f>[1]IFE!B315</f>
        <v>DUO-VIS</v>
      </c>
      <c r="H21" s="388"/>
      <c r="I21" s="94" t="str">
        <f>[1]IFE!C315</f>
        <v>25. KG BG</v>
      </c>
      <c r="J21" s="114">
        <f>[1]IFE!D315</f>
        <v>5</v>
      </c>
    </row>
    <row r="22" spans="1:10" ht="9.9" customHeight="1" x14ac:dyDescent="0.25">
      <c r="A22" s="109" t="s">
        <v>52</v>
      </c>
      <c r="B22" s="110" t="str">
        <f>[1]IFE!B43</f>
        <v>s/ct</v>
      </c>
      <c r="C22" s="111">
        <f>[1]IFE!C84</f>
        <v>55</v>
      </c>
      <c r="D22" s="111">
        <f>[1]IFE!D84</f>
        <v>55</v>
      </c>
      <c r="E22" s="111">
        <f>[1]IFE!E84</f>
        <v>80</v>
      </c>
      <c r="F22" s="112">
        <f>[1]IFE!F84</f>
        <v>80</v>
      </c>
      <c r="G22" s="387">
        <f>[1]IFE!B316</f>
        <v>0</v>
      </c>
      <c r="H22" s="388"/>
      <c r="I22" s="94">
        <f>[1]IFE!C316</f>
        <v>0</v>
      </c>
      <c r="J22" s="114">
        <f>[1]IFE!D316</f>
        <v>0</v>
      </c>
    </row>
    <row r="23" spans="1:10" ht="9.9" customHeight="1" x14ac:dyDescent="0.25">
      <c r="A23" s="109" t="s">
        <v>53</v>
      </c>
      <c r="B23" s="110" t="str">
        <f>[1]IFE!B40</f>
        <v>°F</v>
      </c>
      <c r="C23" s="111">
        <f>[1]IFE!C85</f>
        <v>120</v>
      </c>
      <c r="D23" s="111">
        <f>[1]IFE!D85</f>
        <v>120</v>
      </c>
      <c r="E23" s="111">
        <f>[1]IFE!E85</f>
        <v>120</v>
      </c>
      <c r="F23" s="112">
        <f>[1]IFE!F85</f>
        <v>120</v>
      </c>
      <c r="G23" s="387">
        <f>[1]IFE!B317</f>
        <v>0</v>
      </c>
      <c r="H23" s="388"/>
      <c r="I23" s="94">
        <f>[1]IFE!C317</f>
        <v>0</v>
      </c>
      <c r="J23" s="114">
        <f>[1]IFE!D317</f>
        <v>0</v>
      </c>
    </row>
    <row r="24" spans="1:10" ht="9.9" customHeight="1" x14ac:dyDescent="0.25">
      <c r="A24" s="109" t="s">
        <v>54</v>
      </c>
      <c r="B24" s="110"/>
      <c r="C24" s="6" t="str">
        <f>CONCATENATE(TEXT([1]IFE!C86,"#")&amp;"/"&amp;TEXT([1]IFE!C87,"#"))</f>
        <v>38/27</v>
      </c>
      <c r="D24" s="6" t="str">
        <f>CONCATENATE(TEXT([1]IFE!D86,"#")&amp;"/"&amp;TEXT([1]IFE!D87,"#"))</f>
        <v>38/27</v>
      </c>
      <c r="E24" s="6" t="str">
        <f>CONCATENATE(TEXT([1]IFE!E86,"#")&amp;"/"&amp;TEXT([1]IFE!E87,"#"))</f>
        <v>130/81</v>
      </c>
      <c r="F24" s="6" t="str">
        <f>CONCATENATE(TEXT([1]IFE!F86,"#")&amp;"/"&amp;TEXT([1]IFE!F87,"#"))</f>
        <v>130/81</v>
      </c>
      <c r="G24" s="387">
        <f>[1]IFE!B318</f>
        <v>0</v>
      </c>
      <c r="H24" s="388"/>
      <c r="I24" s="94">
        <f>[1]IFE!C318</f>
        <v>0</v>
      </c>
      <c r="J24" s="114">
        <f>[1]IFE!D318</f>
        <v>0</v>
      </c>
    </row>
    <row r="25" spans="1:10" ht="9.9" customHeight="1" x14ac:dyDescent="0.25">
      <c r="A25" s="109" t="s">
        <v>55</v>
      </c>
      <c r="B25" s="110"/>
      <c r="C25" s="6" t="str">
        <f>CONCATENATE(TEXT([1]IFE!C88,"#")&amp;"/"&amp;TEXT([1]IFE!C89,"#"))</f>
        <v>23/18</v>
      </c>
      <c r="D25" s="6" t="str">
        <f>CONCATENATE(TEXT([1]IFE!D88,"#")&amp;"/"&amp;TEXT([1]IFE!D89,"#"))</f>
        <v>23/18</v>
      </c>
      <c r="E25" s="6" t="str">
        <f>CONCATENATE(TEXT([1]IFE!E88,"#")&amp;"/"&amp;TEXT([1]IFE!E89,"#"))</f>
        <v>61/39</v>
      </c>
      <c r="F25" s="6" t="str">
        <f>CONCATENATE(TEXT([1]IFE!F88,"#")&amp;"/"&amp;TEXT([1]IFE!F89,"#"))</f>
        <v>61/39</v>
      </c>
      <c r="G25" s="387">
        <f>[1]IFE!B319</f>
        <v>0</v>
      </c>
      <c r="H25" s="388"/>
      <c r="I25" s="94">
        <f>[1]IFE!C319</f>
        <v>0</v>
      </c>
      <c r="J25" s="114">
        <f>[1]IFE!D319</f>
        <v>0</v>
      </c>
    </row>
    <row r="26" spans="1:10" ht="9.9" customHeight="1" x14ac:dyDescent="0.25">
      <c r="A26" s="109" t="s">
        <v>26</v>
      </c>
      <c r="B26" s="110"/>
      <c r="C26" s="6" t="str">
        <f>CONCATENATE(TEXT([1]IFE!C90,"#")&amp;"/"&amp;TEXT([1]IFE!C91,"#"))</f>
        <v>11/10</v>
      </c>
      <c r="D26" s="6" t="str">
        <f>CONCATENATE(TEXT([1]IFE!D90,"#")&amp;"/"&amp;TEXT([1]IFE!D91,"#"))</f>
        <v>11/10</v>
      </c>
      <c r="E26" s="6" t="str">
        <f>CONCATENATE(TEXT([1]IFE!E90,"#")&amp;"/"&amp;TEXT([1]IFE!E91,"#"))</f>
        <v>10/8</v>
      </c>
      <c r="F26" s="6" t="str">
        <f>CONCATENATE(TEXT([1]IFE!F90,"#")&amp;"/"&amp;TEXT([1]IFE!F91,"#"))</f>
        <v>10/8</v>
      </c>
      <c r="G26" s="387">
        <f>[1]IFE!B320</f>
        <v>0</v>
      </c>
      <c r="H26" s="388"/>
      <c r="I26" s="94">
        <f>[1]IFE!C320</f>
        <v>0</v>
      </c>
      <c r="J26" s="114">
        <f>[1]IFE!D320</f>
        <v>0</v>
      </c>
    </row>
    <row r="27" spans="1:10" ht="9.9" customHeight="1" x14ac:dyDescent="0.25">
      <c r="A27" s="109" t="s">
        <v>24</v>
      </c>
      <c r="B27" s="110" t="str">
        <f>[1]IFE!B41</f>
        <v>cP</v>
      </c>
      <c r="C27" s="111">
        <f>[1]IFE!C92</f>
        <v>11</v>
      </c>
      <c r="D27" s="111">
        <f>[1]IFE!D92</f>
        <v>11</v>
      </c>
      <c r="E27" s="111">
        <f>[1]IFE!E92</f>
        <v>49</v>
      </c>
      <c r="F27" s="112">
        <f>[1]IFE!F92</f>
        <v>49</v>
      </c>
      <c r="G27" s="387">
        <f>[1]IFE!B321</f>
        <v>0</v>
      </c>
      <c r="H27" s="388"/>
      <c r="I27" s="94">
        <f>[1]IFE!C321</f>
        <v>0</v>
      </c>
      <c r="J27" s="114">
        <f>[1]IFE!D321</f>
        <v>0</v>
      </c>
    </row>
    <row r="28" spans="1:10" ht="9.9" customHeight="1" x14ac:dyDescent="0.25">
      <c r="A28" s="109" t="s">
        <v>25</v>
      </c>
      <c r="B28" s="110" t="str">
        <f>[1]IFE!B42</f>
        <v>lb/100p²</v>
      </c>
      <c r="C28" s="111">
        <f>[1]IFE!C93</f>
        <v>16</v>
      </c>
      <c r="D28" s="111">
        <f>[1]IFE!D93</f>
        <v>16</v>
      </c>
      <c r="E28" s="111">
        <f>[1]IFE!E93</f>
        <v>32</v>
      </c>
      <c r="F28" s="112">
        <f>[1]IFE!F93</f>
        <v>32</v>
      </c>
      <c r="G28" s="387">
        <f>[1]IFE!B322</f>
        <v>0</v>
      </c>
      <c r="H28" s="388"/>
      <c r="I28" s="94">
        <f>[1]IFE!C322</f>
        <v>0</v>
      </c>
      <c r="J28" s="114">
        <f>[1]IFE!D322</f>
        <v>0</v>
      </c>
    </row>
    <row r="29" spans="1:10" ht="9.9" customHeight="1" x14ac:dyDescent="0.25">
      <c r="A29" s="109" t="s">
        <v>27</v>
      </c>
      <c r="B29" s="110" t="str">
        <f>[1]IFE!B42</f>
        <v>lb/100p²</v>
      </c>
      <c r="C29" s="6" t="str">
        <f>CONCATENATE(TEXT([1]IFE!C94,"#")&amp;"/"&amp;(TEXT([1]IFE!C95,"#")&amp;"/"&amp;TEXT([1]IFE!C96,"#")))</f>
        <v>11/15/</v>
      </c>
      <c r="D29" s="6" t="str">
        <f>CONCATENATE(TEXT([1]IFE!D94,"#")&amp;"/"&amp;(TEXT([1]IFE!D95,"#")&amp;"/"&amp;TEXT([1]IFE!D96,"#")))</f>
        <v>11/15/</v>
      </c>
      <c r="E29" s="6" t="str">
        <f>CONCATENATE(TEXT([1]IFE!E94,"#")&amp;"/"&amp;(TEXT([1]IFE!E95,"#")&amp;"/"&amp;TEXT([1]IFE!E96,"#")))</f>
        <v>12/18/</v>
      </c>
      <c r="F29" s="6" t="str">
        <f>CONCATENATE(TEXT([1]IFE!F94,"#")&amp;"/"&amp;(TEXT([1]IFE!F95,"#")&amp;"/"&amp;TEXT([1]IFE!F96,"#")))</f>
        <v>12/18/</v>
      </c>
      <c r="G29" s="387">
        <f>[1]IFE!B323</f>
        <v>0</v>
      </c>
      <c r="H29" s="388"/>
      <c r="I29" s="94">
        <f>[1]IFE!C323</f>
        <v>0</v>
      </c>
      <c r="J29" s="114">
        <f>[1]IFE!D323</f>
        <v>0</v>
      </c>
    </row>
    <row r="30" spans="1:10" ht="9.9" customHeight="1" x14ac:dyDescent="0.25">
      <c r="A30" s="109" t="s">
        <v>35</v>
      </c>
      <c r="B30" s="110" t="str">
        <f>[1]IFE!D57</f>
        <v>cc/30min</v>
      </c>
      <c r="C30" s="111">
        <f>[1]IFE!C97</f>
        <v>0</v>
      </c>
      <c r="D30" s="111">
        <f>[1]IFE!D97</f>
        <v>0</v>
      </c>
      <c r="E30" s="111">
        <f>[1]IFE!E97</f>
        <v>0</v>
      </c>
      <c r="F30" s="112">
        <f>[1]IFE!F97</f>
        <v>0</v>
      </c>
      <c r="G30" s="387">
        <f>[1]IFE!B324</f>
        <v>0</v>
      </c>
      <c r="H30" s="388"/>
      <c r="I30" s="94">
        <f>[1]IFE!C324</f>
        <v>0</v>
      </c>
      <c r="J30" s="114">
        <f>[1]IFE!D324</f>
        <v>0</v>
      </c>
    </row>
    <row r="31" spans="1:10" ht="9.9" customHeight="1" x14ac:dyDescent="0.25">
      <c r="A31" s="109" t="s">
        <v>36</v>
      </c>
      <c r="B31" s="110" t="str">
        <f>[1]IFE!D57</f>
        <v>cc/30min</v>
      </c>
      <c r="C31" s="6" t="str">
        <f>CONCATENATE(TEXT([1]IFE!C98,"#.0")&amp;"@"&amp;TEXT([1]IFE!C99,"#"))</f>
        <v>.0@</v>
      </c>
      <c r="D31" s="6" t="str">
        <f>CONCATENATE(TEXT([1]IFE!D98,"#.0")&amp;"@"&amp;TEXT([1]IFE!D99,"#"))</f>
        <v>.0@</v>
      </c>
      <c r="E31" s="6" t="str">
        <f>CONCATENATE(TEXT([1]IFE!E98,"#.0")&amp;"@"&amp;TEXT([1]IFE!E99,"#"))</f>
        <v>.0@</v>
      </c>
      <c r="F31" s="6" t="str">
        <f>CONCATENATE(TEXT([1]IFE!F98,"#.0")&amp;"@"&amp;TEXT([1]IFE!F99,"#"))</f>
        <v>.0@</v>
      </c>
      <c r="G31" s="387">
        <f>[1]IFE!B325</f>
        <v>0</v>
      </c>
      <c r="H31" s="388"/>
      <c r="I31" s="94">
        <f>[1]IFE!C325</f>
        <v>0</v>
      </c>
      <c r="J31" s="114">
        <f>[1]IFE!D325</f>
        <v>0</v>
      </c>
    </row>
    <row r="32" spans="1:10" ht="9" customHeight="1" x14ac:dyDescent="0.25">
      <c r="A32" s="109" t="s">
        <v>56</v>
      </c>
      <c r="B32" s="110" t="str">
        <f>[1]IFE!B34</f>
        <v>1/32 plg</v>
      </c>
      <c r="C32" s="6" t="str">
        <f>CONCATENATE(TEXT([1]IFE!C100,"#")&amp;"/"&amp;TEXT([1]IFE!C101,"#"))</f>
        <v>/</v>
      </c>
      <c r="D32" s="6" t="str">
        <f>CONCATENATE(TEXT([1]IFE!D100,"#")&amp;"/"&amp;TEXT([1]IFE!D101,"#"))</f>
        <v>/</v>
      </c>
      <c r="E32" s="6" t="str">
        <f>CONCATENATE(TEXT([1]IFE!E100,"#")&amp;"/"&amp;TEXT([1]IFE!E101,"#"))</f>
        <v>/</v>
      </c>
      <c r="F32" s="6" t="str">
        <f>CONCATENATE(TEXT([1]IFE!F100,"#")&amp;"/"&amp;TEXT([1]IFE!F101,"#"))</f>
        <v>/</v>
      </c>
      <c r="G32" s="387">
        <f>[1]IFE!B326</f>
        <v>0</v>
      </c>
      <c r="H32" s="388"/>
      <c r="I32" s="94">
        <f>[1]IFE!C326</f>
        <v>0</v>
      </c>
      <c r="J32" s="114">
        <f>[1]IFE!D326</f>
        <v>0</v>
      </c>
    </row>
    <row r="33" spans="1:10" ht="9.9" customHeight="1" thickBot="1" x14ac:dyDescent="0.3">
      <c r="A33" s="109" t="s">
        <v>109</v>
      </c>
      <c r="B33" s="110" t="str">
        <f>[1]IFE!D59</f>
        <v>%Vol</v>
      </c>
      <c r="C33" s="111">
        <f>[1]IFE!C102</f>
        <v>4.2</v>
      </c>
      <c r="D33" s="111">
        <f>[1]IFE!D102</f>
        <v>4.2</v>
      </c>
      <c r="E33" s="111">
        <f>[1]IFE!E102</f>
        <v>22</v>
      </c>
      <c r="F33" s="112">
        <f>[1]IFE!F102</f>
        <v>22</v>
      </c>
      <c r="G33" s="389">
        <f>[1]IFE!B327</f>
        <v>0</v>
      </c>
      <c r="H33" s="390"/>
      <c r="I33" s="116">
        <f>[1]IFE!C327</f>
        <v>0</v>
      </c>
      <c r="J33" s="117">
        <f>[1]IFE!D327</f>
        <v>0</v>
      </c>
    </row>
    <row r="34" spans="1:10" ht="9.9" customHeight="1" x14ac:dyDescent="0.25">
      <c r="A34" s="109" t="s">
        <v>110</v>
      </c>
      <c r="B34" s="110" t="str">
        <f>[1]IFE!D59</f>
        <v>%Vol</v>
      </c>
      <c r="C34" s="111">
        <f>[1]IFE!C103</f>
        <v>0</v>
      </c>
      <c r="D34" s="111">
        <f>[1]IFE!D103</f>
        <v>0</v>
      </c>
      <c r="E34" s="111">
        <f>[1]IFE!E103</f>
        <v>0</v>
      </c>
      <c r="F34" s="112">
        <f>[1]IFE!F103</f>
        <v>0</v>
      </c>
      <c r="G34" s="204" t="s">
        <v>57</v>
      </c>
      <c r="H34" s="128"/>
      <c r="I34" s="128"/>
      <c r="J34" s="98"/>
    </row>
    <row r="35" spans="1:10" ht="9.9" customHeight="1" x14ac:dyDescent="0.25">
      <c r="A35" s="109" t="s">
        <v>111</v>
      </c>
      <c r="B35" s="110" t="str">
        <f>[1]IFE!D59</f>
        <v>%Vol</v>
      </c>
      <c r="C35" s="111">
        <f>[1]IFE!C104</f>
        <v>95.8</v>
      </c>
      <c r="D35" s="111">
        <f>[1]IFE!D104</f>
        <v>95.8</v>
      </c>
      <c r="E35" s="111">
        <f>[1]IFE!E104</f>
        <v>78</v>
      </c>
      <c r="F35" s="112">
        <f>[1]IFE!F104</f>
        <v>78</v>
      </c>
      <c r="G35" s="205" t="s">
        <v>59</v>
      </c>
      <c r="H35" s="119"/>
      <c r="I35" s="120" t="s">
        <v>60</v>
      </c>
      <c r="J35" s="121" t="s">
        <v>61</v>
      </c>
    </row>
    <row r="36" spans="1:10" ht="9.9" customHeight="1" x14ac:dyDescent="0.25">
      <c r="A36" s="109" t="s">
        <v>112</v>
      </c>
      <c r="B36" s="110" t="str">
        <f>[1]IFE!D59</f>
        <v>%Vol</v>
      </c>
      <c r="C36" s="111">
        <f>[1]IFE!C105</f>
        <v>0</v>
      </c>
      <c r="D36" s="111">
        <f>[1]IFE!D105</f>
        <v>0</v>
      </c>
      <c r="E36" s="111">
        <f>[1]IFE!E105</f>
        <v>0</v>
      </c>
      <c r="F36" s="112">
        <f>[1]IFE!F105</f>
        <v>0</v>
      </c>
      <c r="G36" s="400" t="str">
        <f>[1]IFE!$B220</f>
        <v>DERRICK SHEKER 1</v>
      </c>
      <c r="H36" s="122"/>
      <c r="I36" s="620" t="str">
        <f>[1]IFE!$C220</f>
        <v>2X100 - 2X140</v>
      </c>
      <c r="J36" s="393">
        <f>[1]IFE!$D220</f>
        <v>0</v>
      </c>
    </row>
    <row r="37" spans="1:10" ht="9.9" customHeight="1" x14ac:dyDescent="0.25">
      <c r="A37" s="109" t="s">
        <v>113</v>
      </c>
      <c r="B37" s="110"/>
      <c r="C37" s="6" t="str">
        <f>CONCATENATE(TEXT([1]IFE!C106,"#")&amp;"/"&amp;TEXT([1]IFE!C107,"#"))</f>
        <v>20/10</v>
      </c>
      <c r="D37" s="6" t="str">
        <f>CONCATENATE(TEXT([1]IFE!D106,"#")&amp;"/"&amp;TEXT([1]IFE!D107,"#"))</f>
        <v>20/10</v>
      </c>
      <c r="E37" s="6" t="str">
        <f>CONCATENATE(TEXT([1]IFE!E106,"#")&amp;"/"&amp;TEXT([1]IFE!E107,"#"))</f>
        <v>15/11</v>
      </c>
      <c r="F37" s="6" t="str">
        <f>CONCATENATE(TEXT([1]IFE!F106,"#")&amp;"/"&amp;TEXT([1]IFE!F107,"#"))</f>
        <v>15/11</v>
      </c>
      <c r="G37" s="400" t="str">
        <f>[1]IFE!$B221</f>
        <v>DERRICK SHAKER 2</v>
      </c>
      <c r="H37" s="124"/>
      <c r="I37" s="620" t="str">
        <f>[1]IFE!$C221</f>
        <v>2X100 - 2X140</v>
      </c>
      <c r="J37" s="393">
        <f>[1]IFE!$D221</f>
        <v>0</v>
      </c>
    </row>
    <row r="38" spans="1:10" ht="9.9" customHeight="1" x14ac:dyDescent="0.25">
      <c r="A38" s="109" t="s">
        <v>197</v>
      </c>
      <c r="B38" s="110"/>
      <c r="C38" s="111">
        <f>[1]IFE!C108</f>
        <v>85</v>
      </c>
      <c r="D38" s="111">
        <f>[1]IFE!D108</f>
        <v>85</v>
      </c>
      <c r="E38" s="111">
        <f>[1]IFE!E108</f>
        <v>85</v>
      </c>
      <c r="F38" s="112">
        <f>[1]IFE!F108</f>
        <v>85</v>
      </c>
      <c r="G38" s="400" t="str">
        <f>[1]IFE!$B222</f>
        <v>DERRICK SHAKER 3</v>
      </c>
      <c r="H38" s="124"/>
      <c r="I38" s="620" t="str">
        <f>[1]IFE!$C222</f>
        <v>2X100 - 2X140</v>
      </c>
      <c r="J38" s="393">
        <f>[1]IFE!$D222</f>
        <v>0</v>
      </c>
    </row>
    <row r="39" spans="1:10" ht="9.9" customHeight="1" x14ac:dyDescent="0.25">
      <c r="A39" s="109" t="s">
        <v>115</v>
      </c>
      <c r="B39" s="110" t="str">
        <f>[1]IFE!D58</f>
        <v>mg/L</v>
      </c>
      <c r="C39" s="111">
        <f>[1]IFE!C109</f>
        <v>0.8</v>
      </c>
      <c r="D39" s="111">
        <f>[1]IFE!D109</f>
        <v>0.8</v>
      </c>
      <c r="E39" s="111">
        <f>[1]IFE!E109</f>
        <v>0</v>
      </c>
      <c r="F39" s="112">
        <f>[1]IFE!F109</f>
        <v>0</v>
      </c>
      <c r="G39" s="400" t="str">
        <f>[1]IFE!$B223</f>
        <v>MOD 312 / 10T2 w/o pump</v>
      </c>
      <c r="H39" s="124"/>
      <c r="I39" s="620" t="str">
        <f>[1]IFE!$C223</f>
        <v>4 X 200</v>
      </c>
      <c r="J39" s="393">
        <f>[1]IFE!$D223</f>
        <v>0</v>
      </c>
    </row>
    <row r="40" spans="1:10" ht="9.9" customHeight="1" x14ac:dyDescent="0.25">
      <c r="A40" s="109" t="s">
        <v>116</v>
      </c>
      <c r="B40" s="110" t="str">
        <f>[1]IFE!D60</f>
        <v>%Wt</v>
      </c>
      <c r="C40" s="111">
        <f>[1]IFE!C110</f>
        <v>0.2</v>
      </c>
      <c r="D40" s="111">
        <f>[1]IFE!D110</f>
        <v>0.2</v>
      </c>
      <c r="E40" s="111">
        <f>[1]IFE!E110</f>
        <v>0</v>
      </c>
      <c r="F40" s="112">
        <f>[1]IFE!F110</f>
        <v>0</v>
      </c>
      <c r="G40" s="400">
        <f>[1]IFE!$B224</f>
        <v>0</v>
      </c>
      <c r="H40" s="124"/>
      <c r="I40" s="620">
        <f>[1]IFE!$C224</f>
        <v>0</v>
      </c>
      <c r="J40" s="393">
        <f>[1]IFE!$D224</f>
        <v>0</v>
      </c>
    </row>
    <row r="41" spans="1:10" ht="9.9" customHeight="1" x14ac:dyDescent="0.25">
      <c r="A41" s="109" t="s">
        <v>117</v>
      </c>
      <c r="B41" s="110" t="str">
        <f>[1]IFE!B44</f>
        <v>lb/bbl</v>
      </c>
      <c r="C41" s="111">
        <f>[1]IFE!C111</f>
        <v>0.6</v>
      </c>
      <c r="D41" s="111">
        <f>[1]IFE!D111</f>
        <v>0.6</v>
      </c>
      <c r="E41" s="111">
        <f>[1]IFE!E111</f>
        <v>0</v>
      </c>
      <c r="F41" s="112">
        <f>[1]IFE!F111</f>
        <v>0</v>
      </c>
      <c r="G41" s="400">
        <f>[1]IFE!$B225</f>
        <v>0</v>
      </c>
      <c r="H41" s="124"/>
      <c r="I41" s="620">
        <f>[1]IFE!$C225</f>
        <v>0</v>
      </c>
      <c r="J41" s="393">
        <f>[1]IFE!$D225</f>
        <v>0</v>
      </c>
    </row>
    <row r="42" spans="1:10" ht="9.9" customHeight="1" x14ac:dyDescent="0.25">
      <c r="A42" s="109" t="s">
        <v>118</v>
      </c>
      <c r="B42" s="110"/>
      <c r="C42" s="111">
        <f>[1]IFE!C112</f>
        <v>0</v>
      </c>
      <c r="D42" s="111">
        <f>[1]IFE!D112</f>
        <v>0</v>
      </c>
      <c r="E42" s="111">
        <f>[1]IFE!E112</f>
        <v>0</v>
      </c>
      <c r="F42" s="112">
        <f>[1]IFE!F112</f>
        <v>0</v>
      </c>
      <c r="G42" s="400">
        <f>[1]IFE!$B226</f>
        <v>0</v>
      </c>
      <c r="H42" s="124"/>
      <c r="I42" s="620">
        <f>[1]IFE!$C226</f>
        <v>0</v>
      </c>
      <c r="J42" s="393">
        <f>[1]IFE!$D226</f>
        <v>0</v>
      </c>
    </row>
    <row r="43" spans="1:10" ht="9.9" customHeight="1" x14ac:dyDescent="0.25">
      <c r="A43" s="109">
        <f>[1]IFE!B114</f>
        <v>0</v>
      </c>
      <c r="B43" s="206">
        <f>[1]IFE!J114</f>
        <v>0</v>
      </c>
      <c r="C43" s="111">
        <f>[1]IFE!C114</f>
        <v>0</v>
      </c>
      <c r="D43" s="6">
        <f>[1]IFE!D114</f>
        <v>0</v>
      </c>
      <c r="E43" s="6">
        <f>[1]IFE!E114</f>
        <v>0</v>
      </c>
      <c r="F43" s="82">
        <f>[1]IFE!F114</f>
        <v>0</v>
      </c>
      <c r="G43" s="400">
        <f>[1]IFE!$B227</f>
        <v>0</v>
      </c>
      <c r="H43" s="124"/>
      <c r="I43" s="620">
        <f>[1]IFE!$C227</f>
        <v>0</v>
      </c>
      <c r="J43" s="393">
        <f>[1]IFE!$D227</f>
        <v>0</v>
      </c>
    </row>
    <row r="44" spans="1:10" ht="11.1" customHeight="1" x14ac:dyDescent="0.25">
      <c r="A44" s="109">
        <f>[1]IFE!B115</f>
        <v>0</v>
      </c>
      <c r="B44" s="206">
        <f>[1]IFE!J115</f>
        <v>0</v>
      </c>
      <c r="C44" s="111">
        <f>[1]IFE!C115</f>
        <v>0</v>
      </c>
      <c r="D44" s="6">
        <f>[1]IFE!D115</f>
        <v>0</v>
      </c>
      <c r="E44" s="6">
        <f>[1]IFE!E115</f>
        <v>0</v>
      </c>
      <c r="F44" s="82">
        <f>[1]IFE!F115</f>
        <v>0</v>
      </c>
      <c r="G44" s="400">
        <f>[1]IFE!$B228</f>
        <v>0</v>
      </c>
      <c r="H44" s="124"/>
      <c r="I44" s="620">
        <f>[1]IFE!$C228</f>
        <v>0</v>
      </c>
      <c r="J44" s="393">
        <f>[1]IFE!$D228</f>
        <v>0</v>
      </c>
    </row>
    <row r="45" spans="1:10" ht="11.1" customHeight="1" x14ac:dyDescent="0.25">
      <c r="A45" s="109">
        <f>[1]IFE!B116</f>
        <v>0</v>
      </c>
      <c r="B45" s="206">
        <f>[1]IFE!J116</f>
        <v>0</v>
      </c>
      <c r="C45" s="111">
        <f>[1]IFE!C116</f>
        <v>0</v>
      </c>
      <c r="D45" s="6">
        <f>[1]IFE!D116</f>
        <v>0</v>
      </c>
      <c r="E45" s="6">
        <f>[1]IFE!E116</f>
        <v>0</v>
      </c>
      <c r="F45" s="82">
        <f>[1]IFE!F116</f>
        <v>0</v>
      </c>
      <c r="G45" s="400">
        <f>[1]IFE!$B229</f>
        <v>0</v>
      </c>
      <c r="H45" s="124"/>
      <c r="I45" s="620">
        <f>[1]IFE!$C229</f>
        <v>0</v>
      </c>
      <c r="J45" s="393">
        <f>[1]IFE!$D229</f>
        <v>0</v>
      </c>
    </row>
    <row r="46" spans="1:10" ht="11.1" customHeight="1" thickBot="1" x14ac:dyDescent="0.3">
      <c r="A46" s="109">
        <f>[1]IFE!B117</f>
        <v>0</v>
      </c>
      <c r="B46" s="206">
        <f>[1]IFE!J117</f>
        <v>0</v>
      </c>
      <c r="C46" s="111">
        <f>[1]IFE!C117</f>
        <v>0</v>
      </c>
      <c r="D46" s="6">
        <f>[1]IFE!D117</f>
        <v>0</v>
      </c>
      <c r="E46" s="6">
        <f>[1]IFE!E117</f>
        <v>0</v>
      </c>
      <c r="F46" s="82">
        <f>[1]IFE!F117</f>
        <v>0</v>
      </c>
      <c r="G46" s="400">
        <f>[1]IFE!$G220</f>
        <v>0</v>
      </c>
      <c r="H46" s="207"/>
      <c r="I46" s="620">
        <f>[1]IFE!$H220</f>
        <v>0</v>
      </c>
      <c r="J46" s="393">
        <f>[1]IFE!$I220</f>
        <v>0</v>
      </c>
    </row>
    <row r="47" spans="1:10" ht="11.1" customHeight="1" x14ac:dyDescent="0.25">
      <c r="A47" s="80">
        <f>[1]IFE!I382</f>
        <v>0</v>
      </c>
      <c r="B47" s="144">
        <f>[1]IFE!J382</f>
        <v>0</v>
      </c>
      <c r="C47" s="111">
        <f xml:space="preserve"> [1]IFE!A382</f>
        <v>0</v>
      </c>
      <c r="D47" s="6">
        <f xml:space="preserve"> [1]IFE!B382</f>
        <v>0</v>
      </c>
      <c r="E47" s="6">
        <f xml:space="preserve"> [1]IFE!C382</f>
        <v>0</v>
      </c>
      <c r="F47" s="6">
        <f xml:space="preserve"> [1]IFE!D382</f>
        <v>0</v>
      </c>
      <c r="G47" s="201" t="s">
        <v>65</v>
      </c>
      <c r="H47" s="202"/>
      <c r="I47" s="208"/>
      <c r="J47" s="209" t="s">
        <v>66</v>
      </c>
    </row>
    <row r="48" spans="1:10" ht="11.1" customHeight="1" x14ac:dyDescent="0.25">
      <c r="A48" s="109">
        <f>[1]IFE!I383</f>
        <v>0</v>
      </c>
      <c r="B48" s="206">
        <f>[1]IFE!J383</f>
        <v>0</v>
      </c>
      <c r="C48" s="111">
        <f xml:space="preserve"> [1]IFE!A383</f>
        <v>0</v>
      </c>
      <c r="D48" s="6">
        <f xml:space="preserve"> [1]IFE!B383</f>
        <v>0</v>
      </c>
      <c r="E48" s="6">
        <f xml:space="preserve"> [1]IFE!C383</f>
        <v>0</v>
      </c>
      <c r="F48" s="6">
        <f xml:space="preserve"> [1]IFE!D383</f>
        <v>0</v>
      </c>
      <c r="G48" s="95" t="s">
        <v>3</v>
      </c>
      <c r="H48" s="128" t="str">
        <f>[1]IFE!B153</f>
        <v>9,1</v>
      </c>
      <c r="I48" s="129"/>
      <c r="J48" s="392">
        <f>[1]IFE!C82</f>
        <v>9.1</v>
      </c>
    </row>
    <row r="49" spans="1:10" ht="11.1" customHeight="1" x14ac:dyDescent="0.25">
      <c r="A49" s="109">
        <f>[1]IFE!I384</f>
        <v>0</v>
      </c>
      <c r="B49" s="206">
        <f>[1]IFE!J384</f>
        <v>0</v>
      </c>
      <c r="C49" s="111">
        <f xml:space="preserve"> [1]IFE!A384</f>
        <v>0</v>
      </c>
      <c r="D49" s="6">
        <f xml:space="preserve"> [1]IFE!B384</f>
        <v>0</v>
      </c>
      <c r="E49" s="6">
        <f xml:space="preserve"> [1]IFE!C384</f>
        <v>0</v>
      </c>
      <c r="F49" s="6">
        <f xml:space="preserve"> [1]IFE!D384</f>
        <v>0</v>
      </c>
      <c r="G49" s="95" t="s">
        <v>67</v>
      </c>
      <c r="H49" s="131" t="str">
        <f>[1]IFE!B154</f>
        <v>55</v>
      </c>
      <c r="I49" s="132"/>
      <c r="J49" s="130">
        <f>[1]IFE!C84</f>
        <v>55</v>
      </c>
    </row>
    <row r="50" spans="1:10" ht="11.1" customHeight="1" x14ac:dyDescent="0.25">
      <c r="A50" s="109">
        <f>[1]IFE!I385</f>
        <v>0</v>
      </c>
      <c r="B50" s="206">
        <f>[1]IFE!J385</f>
        <v>0</v>
      </c>
      <c r="C50" s="111">
        <f xml:space="preserve"> [1]IFE!A385</f>
        <v>0</v>
      </c>
      <c r="D50" s="6">
        <f xml:space="preserve"> [1]IFE!B385</f>
        <v>0</v>
      </c>
      <c r="E50" s="6">
        <f xml:space="preserve"> [1]IFE!C385</f>
        <v>0</v>
      </c>
      <c r="F50" s="6">
        <f xml:space="preserve"> [1]IFE!D385</f>
        <v>0</v>
      </c>
      <c r="G50" s="95" t="s">
        <v>68</v>
      </c>
      <c r="H50" s="131">
        <f>[1]IFE!B155</f>
        <v>0</v>
      </c>
      <c r="I50" s="132"/>
      <c r="J50" s="130">
        <f>[1]IFE!C98</f>
        <v>0</v>
      </c>
    </row>
    <row r="51" spans="1:10" ht="11.1" customHeight="1" thickBot="1" x14ac:dyDescent="0.3">
      <c r="A51" s="134" t="s">
        <v>198</v>
      </c>
      <c r="B51" s="135" t="str">
        <f>[1]IFE!$B$32</f>
        <v>bbl</v>
      </c>
      <c r="C51" s="399">
        <f>[1]IFE!$BH$210+[1]IFE!$BH$211</f>
        <v>1418</v>
      </c>
      <c r="D51" s="210"/>
      <c r="E51" s="210"/>
      <c r="F51" s="211"/>
      <c r="G51" s="212"/>
      <c r="H51" s="139"/>
      <c r="I51" s="140"/>
      <c r="J51" s="213"/>
    </row>
    <row r="52" spans="1:10" ht="9.6" customHeight="1" x14ac:dyDescent="0.25">
      <c r="A52" s="674" t="s">
        <v>69</v>
      </c>
      <c r="B52" s="672"/>
      <c r="C52" s="672"/>
      <c r="D52" s="675"/>
      <c r="E52" s="671" t="s">
        <v>70</v>
      </c>
      <c r="F52" s="672"/>
      <c r="G52" s="672"/>
      <c r="H52" s="672"/>
      <c r="I52" s="672"/>
      <c r="J52" s="673"/>
    </row>
    <row r="53" spans="1:10" ht="77.25" customHeight="1" thickBot="1" x14ac:dyDescent="0.3">
      <c r="A53" s="682" t="str">
        <f>[1]IFE!B157</f>
        <v>Realizó chequeo a fluido y ajustó viscosidad. no se logro recibir barita debido a que el mal tiempo no permitio que el barco se pegara al equipo y luego debió volver a muelle. Actualmente esperando el barco con Barita. Realizó correccion de presentacion del producto DUOVIS, ya que el mismo estaba reportado de 50 libras y el usado es de 25 kg.</v>
      </c>
      <c r="B53" s="683"/>
      <c r="C53" s="683"/>
      <c r="D53" s="684"/>
      <c r="E53" s="683" t="str">
        <f>[1]IFE!B158</f>
        <v>Terminó de instalar equipo de pozo, probo el mismo OK. bajo sarta de perforacion hasta tope de cemento, probó  equipo ok.</v>
      </c>
      <c r="F53" s="683"/>
      <c r="G53" s="683"/>
      <c r="H53" s="683"/>
      <c r="I53" s="683"/>
      <c r="J53" s="684"/>
    </row>
    <row r="54" spans="1:10" ht="9.6" customHeight="1" x14ac:dyDescent="0.25">
      <c r="A54" s="190" t="s">
        <v>71</v>
      </c>
      <c r="B54" s="191"/>
      <c r="C54" s="190" t="str">
        <f>"MUD VOL ACCTG   " &amp;"("&amp;[1]IFE!B32&amp;")"</f>
        <v>MUD VOL ACCTG   (bbl)</v>
      </c>
      <c r="D54" s="191"/>
      <c r="E54" s="190" t="s">
        <v>119</v>
      </c>
      <c r="F54" s="214"/>
      <c r="G54" s="215"/>
      <c r="H54" s="190" t="s">
        <v>72</v>
      </c>
      <c r="I54" s="193"/>
      <c r="J54" s="191"/>
    </row>
    <row r="55" spans="1:10" ht="9.6" customHeight="1" x14ac:dyDescent="0.25">
      <c r="A55" s="95" t="str">
        <f>[1]IFE!B270</f>
        <v>Armado / Mantenimiento</v>
      </c>
      <c r="B55" s="82">
        <f>[1]IFE!C270</f>
        <v>0</v>
      </c>
      <c r="C55" s="385" t="s">
        <v>175</v>
      </c>
      <c r="D55" s="82">
        <f>[1]IFE!$E$331</f>
        <v>0</v>
      </c>
      <c r="E55" s="80" t="s">
        <v>120</v>
      </c>
      <c r="F55" s="113"/>
      <c r="G55" s="82" t="str">
        <f>[1]IFE!C202</f>
        <v>0,/ 0,</v>
      </c>
      <c r="H55" s="142" t="s">
        <v>75</v>
      </c>
      <c r="I55" s="143"/>
      <c r="J55" s="82">
        <f>[1]IFE!B243</f>
        <v>0</v>
      </c>
    </row>
    <row r="56" spans="1:10" ht="9.6" customHeight="1" x14ac:dyDescent="0.25">
      <c r="A56" s="95" t="str">
        <f>[1]IFE!B271</f>
        <v>Perforación</v>
      </c>
      <c r="B56" s="82">
        <f>[1]IFE!C271</f>
        <v>0</v>
      </c>
      <c r="C56" s="385" t="s">
        <v>76</v>
      </c>
      <c r="D56" s="82">
        <f>[1]IFE!$E$332</f>
        <v>0</v>
      </c>
      <c r="E56" s="80" t="s">
        <v>121</v>
      </c>
      <c r="F56" s="113"/>
      <c r="G56" s="82" t="str">
        <f>[1]IFE!C203</f>
        <v>0,/ 0,</v>
      </c>
      <c r="H56" s="142" t="s">
        <v>78</v>
      </c>
      <c r="I56" s="144"/>
      <c r="J56" s="82">
        <f>[1]IFE!B244</f>
        <v>0</v>
      </c>
    </row>
    <row r="57" spans="1:10" ht="9.6" customHeight="1" x14ac:dyDescent="0.25">
      <c r="A57" s="95" t="str">
        <f>[1]IFE!B272</f>
        <v>Viajes</v>
      </c>
      <c r="B57" s="82">
        <f>[1]IFE!C272</f>
        <v>0</v>
      </c>
      <c r="C57" s="385" t="s">
        <v>79</v>
      </c>
      <c r="D57" s="82">
        <f>[1]IFE!$E$336</f>
        <v>0</v>
      </c>
      <c r="E57" s="80" t="s">
        <v>122</v>
      </c>
      <c r="F57" s="113"/>
      <c r="G57" s="82" t="str">
        <f>[1]IFE!C204</f>
        <v>2,3/ 20,6</v>
      </c>
      <c r="H57" s="142" t="s">
        <v>123</v>
      </c>
      <c r="I57" s="144"/>
      <c r="J57" s="82">
        <f>[1]IFE!B245</f>
        <v>0</v>
      </c>
    </row>
    <row r="58" spans="1:10" ht="9.6" customHeight="1" x14ac:dyDescent="0.25">
      <c r="A58" s="95" t="str">
        <f>[1]IFE!B273</f>
        <v>Tiempo No Productivo</v>
      </c>
      <c r="B58" s="82">
        <f>[1]IFE!C273</f>
        <v>0</v>
      </c>
      <c r="C58" s="385" t="s">
        <v>104</v>
      </c>
      <c r="D58" s="82">
        <f>[1]IFE!$E$337</f>
        <v>0</v>
      </c>
      <c r="E58" s="80" t="s">
        <v>113</v>
      </c>
      <c r="F58" s="113"/>
      <c r="G58" s="82" t="str">
        <f>[1]IFE!C205</f>
        <v>2,2/ 20,</v>
      </c>
      <c r="H58" s="142" t="s">
        <v>82</v>
      </c>
      <c r="I58" s="144"/>
      <c r="J58" s="82">
        <f>[1]IFE!B246</f>
        <v>0</v>
      </c>
    </row>
    <row r="59" spans="1:10" ht="9.6" customHeight="1" x14ac:dyDescent="0.25">
      <c r="A59" s="95">
        <f>[1]IFE!B274</f>
        <v>0</v>
      </c>
      <c r="B59" s="82">
        <f>[1]IFE!C274</f>
        <v>0</v>
      </c>
      <c r="C59" s="385" t="str">
        <f>[1]IFE!$A$261</f>
        <v>Shakers</v>
      </c>
      <c r="D59" s="82">
        <f>[1]IFE!$B$261</f>
        <v>0</v>
      </c>
      <c r="E59" s="80" t="s">
        <v>124</v>
      </c>
      <c r="F59" s="113"/>
      <c r="G59" s="82" t="str">
        <f>[1]IFE!C206</f>
        <v>0,/ 0,</v>
      </c>
      <c r="H59" s="142" t="s">
        <v>9</v>
      </c>
      <c r="I59" s="144"/>
      <c r="J59" s="82">
        <f>[1]IFE!B247</f>
        <v>0</v>
      </c>
    </row>
    <row r="60" spans="1:10" ht="9.6" customHeight="1" x14ac:dyDescent="0.25">
      <c r="A60" s="95">
        <f>[1]IFE!B275</f>
        <v>0</v>
      </c>
      <c r="B60" s="82">
        <f>[1]IFE!C275</f>
        <v>0</v>
      </c>
      <c r="C60" s="385" t="str">
        <f>[1]IFE!$A$262</f>
        <v>Evaporation</v>
      </c>
      <c r="D60" s="82">
        <f>[1]IFE!$B$262</f>
        <v>0</v>
      </c>
      <c r="E60" s="80" t="s">
        <v>125</v>
      </c>
      <c r="F60" s="113"/>
      <c r="G60" s="82" t="str">
        <f>[1]IFE!C207</f>
        <v>1,9/ 28,9</v>
      </c>
      <c r="H60" s="142" t="s">
        <v>83</v>
      </c>
      <c r="I60" s="144"/>
      <c r="J60" s="82">
        <f>[1]IFE!B248</f>
        <v>0</v>
      </c>
    </row>
    <row r="61" spans="1:10" ht="9.6" customHeight="1" x14ac:dyDescent="0.25">
      <c r="A61" s="95">
        <f>[1]IFE!B276</f>
        <v>0</v>
      </c>
      <c r="B61" s="82">
        <f>[1]IFE!C276</f>
        <v>0</v>
      </c>
      <c r="C61" s="385" t="str">
        <f>[1]IFE!$A$263</f>
        <v>Centrifuge</v>
      </c>
      <c r="D61" s="82">
        <f>[1]IFE!$B$263</f>
        <v>0</v>
      </c>
      <c r="E61" s="80" t="s">
        <v>126</v>
      </c>
      <c r="F61" s="113"/>
      <c r="G61" s="82" t="str">
        <f>[1]IFE!C208</f>
        <v xml:space="preserve"> -  /  0,6</v>
      </c>
      <c r="H61" s="142" t="s">
        <v>85</v>
      </c>
      <c r="I61" s="144"/>
      <c r="J61" s="82">
        <f>[1]IFE!B249</f>
        <v>0</v>
      </c>
    </row>
    <row r="62" spans="1:10" ht="9.6" customHeight="1" x14ac:dyDescent="0.25">
      <c r="A62" s="95">
        <f>[1]IFE!B277</f>
        <v>0</v>
      </c>
      <c r="B62" s="82">
        <f>[1]IFE!C277</f>
        <v>0</v>
      </c>
      <c r="C62" s="385" t="str">
        <f>[1]IFE!$A$264</f>
        <v>Formation</v>
      </c>
      <c r="D62" s="82">
        <f>[1]IFE!$B$264</f>
        <v>0</v>
      </c>
      <c r="E62" s="80" t="s">
        <v>127</v>
      </c>
      <c r="F62" s="113"/>
      <c r="G62" s="82" t="str">
        <f>[1]IFE!C209</f>
        <v>-0,0019</v>
      </c>
      <c r="H62" s="142" t="s">
        <v>87</v>
      </c>
      <c r="I62" s="144"/>
      <c r="J62" s="82">
        <f>[1]IFE!B250</f>
        <v>0</v>
      </c>
    </row>
    <row r="63" spans="1:10" ht="9.6" customHeight="1" x14ac:dyDescent="0.25">
      <c r="A63" s="95">
        <f>[1]IFE!B278</f>
        <v>0</v>
      </c>
      <c r="B63" s="82">
        <f>[1]IFE!C278</f>
        <v>0</v>
      </c>
      <c r="C63" s="385" t="str">
        <f>[1]IFE!$A$265</f>
        <v>Left in Hole</v>
      </c>
      <c r="D63" s="82">
        <f>[1]IFE!$B$265</f>
        <v>0</v>
      </c>
      <c r="E63" s="80" t="s">
        <v>128</v>
      </c>
      <c r="F63" s="113"/>
      <c r="G63" s="82" t="str">
        <f>[1]IFE!C210</f>
        <v>3,2</v>
      </c>
      <c r="H63" s="142" t="s">
        <v>89</v>
      </c>
      <c r="I63" s="144"/>
      <c r="J63" s="82">
        <f>[1]IFE!B251</f>
        <v>0</v>
      </c>
    </row>
    <row r="64" spans="1:10" ht="9.6" customHeight="1" x14ac:dyDescent="0.25">
      <c r="A64" s="223">
        <f>[1]IFE!B279</f>
        <v>0</v>
      </c>
      <c r="B64" s="224">
        <f>[1]IFE!C279</f>
        <v>0</v>
      </c>
      <c r="C64" s="386" t="str">
        <f>[1]IFE!$A$266</f>
        <v>Other</v>
      </c>
      <c r="D64" s="224">
        <f>[1]IFE!$B$266</f>
        <v>0</v>
      </c>
      <c r="E64" s="225">
        <f>[1]IFE!AD13</f>
        <v>0</v>
      </c>
      <c r="F64" s="226"/>
      <c r="G64" s="224">
        <f>[1]IFE!C211</f>
        <v>0</v>
      </c>
      <c r="H64" s="92" t="s">
        <v>10</v>
      </c>
      <c r="I64" s="227"/>
      <c r="J64" s="224">
        <f>[1]IFE!B252</f>
        <v>0</v>
      </c>
    </row>
    <row r="65" spans="1:10" ht="9.6" customHeight="1" x14ac:dyDescent="0.25">
      <c r="A65" s="95"/>
      <c r="B65" s="82"/>
      <c r="C65" s="385" t="str">
        <f>[1]IFE!$A$267</f>
        <v>Discharged</v>
      </c>
      <c r="D65" s="235">
        <f>[1]IFE!$B$267</f>
        <v>0</v>
      </c>
      <c r="E65" s="234"/>
      <c r="F65" s="113"/>
      <c r="G65" s="82"/>
      <c r="H65" s="228" t="s">
        <v>254</v>
      </c>
      <c r="I65" s="144"/>
      <c r="J65" s="224">
        <f>[1]IFE!B253</f>
        <v>0</v>
      </c>
    </row>
    <row r="66" spans="1:10" ht="9.6" customHeight="1" thickBot="1" x14ac:dyDescent="0.3">
      <c r="A66" s="223"/>
      <c r="B66" s="224"/>
      <c r="C66" s="386" t="str">
        <f>[1]IFE!$C$261</f>
        <v>Pit Cleaning</v>
      </c>
      <c r="D66" s="233">
        <f>[1]IFE!$D$261</f>
        <v>0</v>
      </c>
      <c r="E66" s="231"/>
      <c r="F66" s="226"/>
      <c r="G66" s="224"/>
      <c r="H66" s="232"/>
      <c r="I66" s="227"/>
      <c r="J66" s="233"/>
    </row>
    <row r="67" spans="1:10" ht="9.6" customHeight="1" x14ac:dyDescent="0.25">
      <c r="A67" s="95"/>
      <c r="B67" s="82"/>
      <c r="C67" s="385">
        <f>[1]IFE!$C$262</f>
        <v>0</v>
      </c>
      <c r="D67" s="82">
        <f>[1]IFE!$D$262</f>
        <v>0</v>
      </c>
      <c r="E67" s="80"/>
      <c r="F67" s="665"/>
      <c r="G67" s="666" t="s">
        <v>6</v>
      </c>
      <c r="H67" s="667"/>
      <c r="I67" s="666" t="s">
        <v>92</v>
      </c>
      <c r="J67" s="668"/>
    </row>
    <row r="68" spans="1:10" ht="9.6" customHeight="1" thickBot="1" x14ac:dyDescent="0.3">
      <c r="A68" s="138"/>
      <c r="B68" s="137"/>
      <c r="C68" s="386">
        <f>[1]IFE!$C$263</f>
        <v>0</v>
      </c>
      <c r="D68" s="224">
        <f>[1]IFE!$D$263</f>
        <v>0</v>
      </c>
      <c r="E68" s="145"/>
      <c r="F68" s="669" t="s">
        <v>250</v>
      </c>
      <c r="G68" s="680">
        <f xml:space="preserve"> [1]IFE!$B$134</f>
        <v>5749.32</v>
      </c>
      <c r="H68" s="680"/>
      <c r="I68" s="680">
        <f>[1]IFE!$B$135</f>
        <v>89939.53</v>
      </c>
      <c r="J68" s="681"/>
    </row>
    <row r="69" spans="1:10" ht="12" customHeight="1" x14ac:dyDescent="0.25">
      <c r="A69" s="676" t="s">
        <v>90</v>
      </c>
      <c r="B69" s="677"/>
      <c r="C69" s="664" t="s">
        <v>129</v>
      </c>
      <c r="D69" s="678" t="s">
        <v>91</v>
      </c>
      <c r="E69" s="679"/>
      <c r="F69" s="669" t="s">
        <v>252</v>
      </c>
      <c r="G69" s="680">
        <f>[1]IFE!$D$138+[1]IFE!$D$142</f>
        <v>0</v>
      </c>
      <c r="H69" s="680"/>
      <c r="I69" s="680">
        <f>[1]IFE!$D$139+[1]IFE!$D$143</f>
        <v>0</v>
      </c>
      <c r="J69" s="681"/>
    </row>
    <row r="70" spans="1:10" ht="9.6" customHeight="1" x14ac:dyDescent="0.25">
      <c r="A70" s="687" t="str">
        <f>[1]IFE!$B$127</f>
        <v>Jesus Villarroel</v>
      </c>
      <c r="B70" s="688"/>
      <c r="C70" s="695">
        <f>[1]IFE!$D$131</f>
        <v>0</v>
      </c>
      <c r="D70" s="691">
        <f>[1]IFE!$B$133</f>
        <v>0</v>
      </c>
      <c r="E70" s="692"/>
      <c r="F70" s="669" t="s">
        <v>251</v>
      </c>
      <c r="G70" s="680">
        <f>[1]IFE!$D$136</f>
        <v>0</v>
      </c>
      <c r="H70" s="680"/>
      <c r="I70" s="680">
        <f>[1]IFE!$D$137</f>
        <v>0</v>
      </c>
      <c r="J70" s="681"/>
    </row>
    <row r="71" spans="1:10" ht="9.6" customHeight="1" thickBot="1" x14ac:dyDescent="0.3">
      <c r="A71" s="689">
        <f>[1]IFE!$B$129</f>
        <v>0</v>
      </c>
      <c r="B71" s="690"/>
      <c r="C71" s="696"/>
      <c r="D71" s="693"/>
      <c r="E71" s="694"/>
      <c r="F71" s="670" t="s">
        <v>102</v>
      </c>
      <c r="G71" s="685">
        <f>SUM(G68:H70)</f>
        <v>5749.32</v>
      </c>
      <c r="H71" s="697"/>
      <c r="I71" s="685">
        <f>SUM(I68:J70)</f>
        <v>89939.53</v>
      </c>
      <c r="J71" s="686"/>
    </row>
    <row r="72" spans="1:10" ht="11.1" customHeight="1" x14ac:dyDescent="0.25">
      <c r="A72" s="150"/>
      <c r="B72" s="150"/>
      <c r="C72" s="150"/>
      <c r="D72" s="150"/>
      <c r="E72" s="150"/>
      <c r="F72" s="150"/>
      <c r="G72" s="150"/>
      <c r="H72" s="150"/>
      <c r="I72" s="150"/>
      <c r="J72" s="150"/>
    </row>
    <row r="73" spans="1:10" ht="11.1" customHeight="1" x14ac:dyDescent="0.25">
      <c r="A73" s="150"/>
      <c r="B73" s="150"/>
      <c r="C73" s="150"/>
      <c r="D73" s="150"/>
      <c r="E73" s="150"/>
      <c r="F73" s="150"/>
      <c r="G73" s="150"/>
      <c r="H73" s="150"/>
      <c r="I73" s="150"/>
      <c r="J73" s="150"/>
    </row>
    <row r="74" spans="1:10" x14ac:dyDescent="0.25">
      <c r="A74" s="150"/>
      <c r="B74" s="150"/>
      <c r="C74" s="150"/>
      <c r="D74" s="150"/>
      <c r="E74" s="150"/>
      <c r="F74" s="150"/>
      <c r="G74" s="150"/>
      <c r="H74" s="150"/>
      <c r="I74" s="150"/>
      <c r="J74" s="150"/>
    </row>
    <row r="75" spans="1:10" x14ac:dyDescent="0.25">
      <c r="A75" s="150"/>
      <c r="B75" s="150"/>
      <c r="C75" s="150"/>
      <c r="D75" s="150"/>
      <c r="E75" s="150"/>
      <c r="F75" s="150"/>
      <c r="G75" s="150"/>
      <c r="H75" s="150"/>
      <c r="I75" s="150"/>
      <c r="J75" s="150"/>
    </row>
    <row r="76" spans="1:10" x14ac:dyDescent="0.25">
      <c r="A76" s="150"/>
      <c r="B76" s="150"/>
      <c r="C76" s="150"/>
      <c r="D76" s="150"/>
      <c r="E76" s="150"/>
      <c r="F76" s="150"/>
      <c r="G76" s="150"/>
      <c r="H76" s="150"/>
      <c r="I76" s="150"/>
      <c r="J76" s="150"/>
    </row>
    <row r="77" spans="1:10" x14ac:dyDescent="0.25">
      <c r="A77" s="150"/>
      <c r="B77" s="150"/>
      <c r="C77" s="150"/>
      <c r="D77" s="150"/>
      <c r="E77" s="150"/>
      <c r="F77" s="150"/>
      <c r="G77" s="150"/>
      <c r="H77" s="150"/>
      <c r="I77" s="150"/>
      <c r="J77" s="150"/>
    </row>
    <row r="78" spans="1:10" x14ac:dyDescent="0.25">
      <c r="A78" s="150"/>
      <c r="B78" s="150"/>
      <c r="C78" s="150"/>
      <c r="D78" s="150"/>
      <c r="E78" s="150"/>
      <c r="F78" s="150"/>
      <c r="G78" s="150"/>
      <c r="H78" s="150"/>
      <c r="I78" s="150"/>
      <c r="J78" s="150"/>
    </row>
    <row r="79" spans="1:10" x14ac:dyDescent="0.25">
      <c r="A79" s="150"/>
      <c r="B79" s="150"/>
      <c r="C79" s="150"/>
      <c r="D79" s="150"/>
      <c r="E79" s="150"/>
      <c r="F79" s="150"/>
      <c r="G79" s="150"/>
      <c r="H79" s="150"/>
      <c r="I79" s="150"/>
      <c r="J79" s="150"/>
    </row>
    <row r="80" spans="1:10" x14ac:dyDescent="0.25">
      <c r="A80" s="150"/>
      <c r="B80" s="150"/>
      <c r="C80" s="150"/>
      <c r="D80" s="150"/>
      <c r="E80" s="150"/>
      <c r="F80" s="150"/>
      <c r="G80" s="150"/>
      <c r="H80" s="150"/>
      <c r="I80" s="150"/>
      <c r="J80" s="150"/>
    </row>
    <row r="81" spans="1:10" x14ac:dyDescent="0.25">
      <c r="A81" s="150"/>
      <c r="B81" s="150"/>
      <c r="C81" s="150"/>
      <c r="D81" s="150"/>
      <c r="E81" s="150"/>
      <c r="F81" s="150"/>
      <c r="G81" s="150"/>
      <c r="H81" s="150"/>
      <c r="I81" s="150"/>
      <c r="J81" s="150"/>
    </row>
    <row r="82" spans="1:10" x14ac:dyDescent="0.25">
      <c r="A82" s="150"/>
      <c r="B82" s="150"/>
      <c r="C82" s="150"/>
      <c r="D82" s="150"/>
      <c r="E82" s="150"/>
      <c r="F82" s="150"/>
      <c r="G82" s="150"/>
      <c r="H82" s="150"/>
      <c r="I82" s="150"/>
      <c r="J82" s="150"/>
    </row>
    <row r="83" spans="1:10" x14ac:dyDescent="0.25">
      <c r="A83" s="150"/>
      <c r="B83" s="150"/>
      <c r="C83" s="150"/>
      <c r="D83" s="150"/>
      <c r="E83" s="150"/>
      <c r="F83" s="150"/>
      <c r="G83" s="150"/>
      <c r="H83" s="150"/>
      <c r="I83" s="150"/>
      <c r="J83" s="150"/>
    </row>
    <row r="84" spans="1:10" x14ac:dyDescent="0.25">
      <c r="A84" s="150"/>
      <c r="B84" s="150"/>
      <c r="C84" s="150"/>
      <c r="D84" s="150"/>
      <c r="E84" s="150"/>
      <c r="F84" s="150"/>
      <c r="G84" s="150"/>
      <c r="H84" s="150"/>
      <c r="I84" s="150"/>
      <c r="J84" s="150"/>
    </row>
    <row r="85" spans="1:10" x14ac:dyDescent="0.25">
      <c r="A85" s="150"/>
      <c r="B85" s="150"/>
      <c r="C85" s="150"/>
      <c r="D85" s="150"/>
      <c r="E85" s="150"/>
      <c r="F85" s="150"/>
      <c r="G85" s="150"/>
      <c r="H85" s="150"/>
      <c r="I85" s="150"/>
      <c r="J85" s="150"/>
    </row>
    <row r="86" spans="1:10" x14ac:dyDescent="0.25">
      <c r="A86" s="150"/>
      <c r="B86" s="150"/>
      <c r="C86" s="150"/>
      <c r="D86" s="150"/>
      <c r="E86" s="150"/>
      <c r="F86" s="150"/>
      <c r="G86" s="150"/>
      <c r="H86" s="150"/>
      <c r="I86" s="150"/>
      <c r="J86" s="150"/>
    </row>
    <row r="87" spans="1:10" x14ac:dyDescent="0.25">
      <c r="A87" s="150"/>
      <c r="B87" s="150"/>
      <c r="C87" s="150"/>
      <c r="D87" s="150"/>
      <c r="E87" s="150"/>
      <c r="F87" s="150"/>
      <c r="G87" s="150"/>
      <c r="H87" s="150"/>
      <c r="I87" s="150"/>
      <c r="J87" s="150"/>
    </row>
    <row r="88" spans="1:10" x14ac:dyDescent="0.25">
      <c r="A88" s="150"/>
      <c r="B88" s="150"/>
      <c r="C88" s="150"/>
      <c r="D88" s="150"/>
      <c r="E88" s="150"/>
      <c r="F88" s="150"/>
      <c r="G88" s="150"/>
      <c r="H88" s="150"/>
      <c r="I88" s="150"/>
      <c r="J88" s="150"/>
    </row>
    <row r="89" spans="1:10" x14ac:dyDescent="0.25">
      <c r="A89" s="150"/>
      <c r="B89" s="150"/>
      <c r="C89" s="150"/>
      <c r="D89" s="150"/>
      <c r="E89" s="150"/>
      <c r="F89" s="150"/>
      <c r="G89" s="150"/>
      <c r="H89" s="150"/>
      <c r="I89" s="150"/>
      <c r="J89" s="150"/>
    </row>
    <row r="90" spans="1:10" x14ac:dyDescent="0.25">
      <c r="A90" s="150"/>
      <c r="B90" s="150"/>
      <c r="C90" s="150"/>
      <c r="D90" s="150"/>
      <c r="E90" s="150"/>
      <c r="F90" s="150"/>
      <c r="G90" s="150"/>
      <c r="H90" s="150"/>
      <c r="I90" s="150"/>
      <c r="J90" s="150"/>
    </row>
    <row r="91" spans="1:10" x14ac:dyDescent="0.25">
      <c r="A91" s="150"/>
      <c r="B91" s="150"/>
      <c r="C91" s="150"/>
      <c r="D91" s="150"/>
      <c r="E91" s="150"/>
      <c r="F91" s="150"/>
      <c r="G91" s="150"/>
      <c r="H91" s="150"/>
      <c r="I91" s="150"/>
      <c r="J91" s="150"/>
    </row>
    <row r="92" spans="1:10" x14ac:dyDescent="0.25">
      <c r="A92" s="150"/>
      <c r="B92" s="150"/>
      <c r="C92" s="150"/>
      <c r="D92" s="150"/>
      <c r="E92" s="150"/>
      <c r="F92" s="150"/>
      <c r="G92" s="150"/>
      <c r="H92" s="150"/>
      <c r="I92" s="150"/>
      <c r="J92" s="150"/>
    </row>
    <row r="93" spans="1:10" x14ac:dyDescent="0.25">
      <c r="A93" s="150"/>
      <c r="B93" s="150"/>
      <c r="C93" s="150"/>
      <c r="D93" s="150"/>
      <c r="E93" s="150"/>
      <c r="F93" s="150"/>
      <c r="G93" s="150"/>
      <c r="H93" s="150"/>
      <c r="I93" s="150"/>
      <c r="J93" s="150"/>
    </row>
    <row r="94" spans="1:10" x14ac:dyDescent="0.25">
      <c r="A94" s="150"/>
      <c r="B94" s="150"/>
      <c r="C94" s="150"/>
      <c r="D94" s="150"/>
      <c r="E94" s="150"/>
      <c r="F94" s="150"/>
      <c r="G94" s="150"/>
      <c r="H94" s="150"/>
      <c r="I94" s="150"/>
      <c r="J94" s="150"/>
    </row>
    <row r="95" spans="1:10" x14ac:dyDescent="0.25">
      <c r="A95" s="150"/>
      <c r="B95" s="150"/>
      <c r="C95" s="150"/>
      <c r="D95" s="150"/>
      <c r="E95" s="150"/>
      <c r="F95" s="150"/>
      <c r="G95" s="150"/>
      <c r="H95" s="150"/>
      <c r="I95" s="150"/>
      <c r="J95" s="150"/>
    </row>
    <row r="96" spans="1:10" x14ac:dyDescent="0.25">
      <c r="A96" s="150"/>
      <c r="B96" s="150"/>
      <c r="C96" s="150"/>
      <c r="D96" s="150"/>
      <c r="E96" s="150"/>
      <c r="F96" s="150"/>
      <c r="G96" s="150"/>
      <c r="H96" s="150"/>
      <c r="I96" s="150"/>
      <c r="J96" s="150"/>
    </row>
    <row r="97" spans="1:10" x14ac:dyDescent="0.25">
      <c r="A97" s="150"/>
      <c r="B97" s="150"/>
      <c r="C97" s="150"/>
      <c r="D97" s="150"/>
      <c r="E97" s="150"/>
      <c r="F97" s="150"/>
      <c r="G97" s="150"/>
      <c r="H97" s="150"/>
      <c r="I97" s="150"/>
      <c r="J97" s="150"/>
    </row>
    <row r="98" spans="1:10" x14ac:dyDescent="0.25">
      <c r="A98" s="3"/>
      <c r="B98" s="150"/>
      <c r="C98" s="150"/>
      <c r="D98" s="150"/>
      <c r="E98" s="150"/>
      <c r="F98" s="150"/>
      <c r="G98" s="150"/>
      <c r="H98" s="150"/>
      <c r="I98" s="150"/>
      <c r="J98" s="150"/>
    </row>
    <row r="99" spans="1:10" x14ac:dyDescent="0.25">
      <c r="A99" s="3"/>
      <c r="B99" s="150"/>
      <c r="C99" s="150"/>
      <c r="D99" s="150"/>
      <c r="E99" s="150"/>
      <c r="F99" s="150"/>
      <c r="G99" s="150"/>
      <c r="H99" s="150"/>
      <c r="I99" s="150"/>
      <c r="J99" s="150"/>
    </row>
    <row r="100" spans="1:10" x14ac:dyDescent="0.25">
      <c r="A100" s="3"/>
      <c r="B100" s="150"/>
      <c r="C100" s="150"/>
      <c r="D100" s="150"/>
      <c r="E100" s="150"/>
      <c r="F100" s="150"/>
      <c r="G100" s="150"/>
      <c r="H100" s="150"/>
      <c r="I100" s="150"/>
      <c r="J100" s="150"/>
    </row>
    <row r="101" spans="1:10" x14ac:dyDescent="0.25">
      <c r="A101" s="3"/>
      <c r="B101" s="150"/>
      <c r="C101" s="150"/>
      <c r="D101" s="150"/>
      <c r="E101" s="150"/>
      <c r="F101" s="150"/>
      <c r="G101" s="150"/>
      <c r="H101" s="150"/>
      <c r="I101" s="150"/>
      <c r="J101" s="150"/>
    </row>
    <row r="102" spans="1:10" x14ac:dyDescent="0.25">
      <c r="A102" s="3"/>
      <c r="B102" s="150"/>
      <c r="C102" s="150"/>
      <c r="D102" s="150"/>
      <c r="E102" s="150"/>
      <c r="F102" s="150"/>
      <c r="G102" s="150"/>
      <c r="H102" s="150"/>
      <c r="I102" s="150"/>
      <c r="J102" s="150"/>
    </row>
    <row r="103" spans="1:10" x14ac:dyDescent="0.25">
      <c r="A103" s="3"/>
      <c r="B103" s="3"/>
      <c r="C103" s="3"/>
      <c r="D103" s="3"/>
      <c r="E103" s="3"/>
      <c r="F103" s="3"/>
      <c r="G103" s="3"/>
      <c r="H103" s="3"/>
      <c r="I103" s="3"/>
    </row>
    <row r="104" spans="1:10" x14ac:dyDescent="0.25">
      <c r="A104" s="3"/>
      <c r="B104" s="3"/>
      <c r="C104" s="3"/>
      <c r="D104" s="3"/>
      <c r="E104" s="3"/>
      <c r="F104" s="3"/>
      <c r="G104" s="3"/>
      <c r="H104" s="3"/>
      <c r="I104" s="3"/>
    </row>
    <row r="105" spans="1:10" x14ac:dyDescent="0.25">
      <c r="A105" s="3"/>
      <c r="B105" s="3"/>
      <c r="C105" s="3"/>
      <c r="D105" s="3"/>
      <c r="E105" s="3"/>
      <c r="F105" s="3"/>
      <c r="G105" s="3"/>
      <c r="H105" s="3"/>
      <c r="I105" s="3"/>
    </row>
    <row r="106" spans="1:10" x14ac:dyDescent="0.25">
      <c r="A106" s="3"/>
      <c r="B106" s="3"/>
      <c r="C106" s="3"/>
      <c r="D106" s="3"/>
      <c r="E106" s="3"/>
      <c r="F106" s="3"/>
      <c r="G106" s="3"/>
      <c r="H106" s="3"/>
      <c r="I106" s="3"/>
    </row>
    <row r="107" spans="1:10" x14ac:dyDescent="0.25">
      <c r="A107" s="3"/>
      <c r="B107" s="3"/>
      <c r="C107" s="3"/>
      <c r="D107" s="3"/>
      <c r="E107" s="3"/>
      <c r="F107" s="3"/>
      <c r="G107" s="3"/>
      <c r="H107" s="3"/>
      <c r="I107" s="3"/>
    </row>
    <row r="108" spans="1:10" x14ac:dyDescent="0.25">
      <c r="A108" s="3"/>
      <c r="B108" s="3"/>
      <c r="C108" s="3"/>
      <c r="D108" s="3"/>
      <c r="E108" s="3"/>
      <c r="F108" s="3"/>
      <c r="G108" s="3"/>
      <c r="H108" s="3"/>
      <c r="I108" s="3"/>
    </row>
    <row r="109" spans="1:10" x14ac:dyDescent="0.25">
      <c r="A109" s="3"/>
      <c r="B109" s="3"/>
      <c r="C109" s="3"/>
      <c r="D109" s="3"/>
      <c r="E109" s="3"/>
      <c r="F109" s="3"/>
      <c r="G109" s="3"/>
      <c r="H109" s="3"/>
      <c r="I109" s="3"/>
    </row>
    <row r="110" spans="1:10" x14ac:dyDescent="0.25">
      <c r="A110" s="3"/>
      <c r="B110" s="3"/>
      <c r="C110" s="3"/>
      <c r="D110" s="3"/>
      <c r="E110" s="3"/>
      <c r="F110" s="3"/>
      <c r="G110" s="3"/>
      <c r="H110" s="3"/>
      <c r="I110" s="3"/>
    </row>
    <row r="111" spans="1:10" x14ac:dyDescent="0.25">
      <c r="A111" s="3"/>
      <c r="B111" s="3"/>
      <c r="C111" s="3"/>
      <c r="D111" s="3"/>
      <c r="E111" s="3"/>
      <c r="F111" s="3"/>
      <c r="G111" s="3"/>
      <c r="H111" s="3"/>
      <c r="I111" s="3"/>
    </row>
    <row r="112" spans="1:10" x14ac:dyDescent="0.25">
      <c r="A112" s="3"/>
      <c r="B112" s="3"/>
      <c r="C112" s="3"/>
      <c r="D112" s="3"/>
      <c r="E112" s="3"/>
      <c r="F112" s="3"/>
      <c r="G112" s="3"/>
      <c r="H112" s="3"/>
      <c r="I112" s="3"/>
    </row>
    <row r="113" spans="1:9" x14ac:dyDescent="0.25">
      <c r="A113" s="3"/>
      <c r="B113" s="3"/>
      <c r="C113" s="3"/>
      <c r="D113" s="3"/>
      <c r="E113" s="3"/>
      <c r="F113" s="3"/>
      <c r="G113" s="3"/>
      <c r="H113" s="3"/>
      <c r="I113" s="3"/>
    </row>
    <row r="114" spans="1:9" x14ac:dyDescent="0.25">
      <c r="A114" s="3"/>
      <c r="B114" s="3"/>
      <c r="C114" s="3"/>
      <c r="D114" s="3"/>
      <c r="E114" s="3"/>
      <c r="F114" s="3"/>
      <c r="G114" s="3"/>
      <c r="H114" s="3"/>
      <c r="I114" s="3"/>
    </row>
    <row r="115" spans="1:9" x14ac:dyDescent="0.25">
      <c r="A115" s="3"/>
      <c r="B115" s="3"/>
      <c r="C115" s="3"/>
      <c r="D115" s="3"/>
      <c r="E115" s="3"/>
      <c r="F115" s="3"/>
      <c r="G115" s="3"/>
      <c r="H115" s="3"/>
      <c r="I115" s="3"/>
    </row>
    <row r="116" spans="1:9" x14ac:dyDescent="0.25">
      <c r="A116" s="3"/>
      <c r="B116" s="3"/>
      <c r="C116" s="3"/>
      <c r="D116" s="3"/>
      <c r="E116" s="3"/>
      <c r="F116" s="3"/>
      <c r="G116" s="3"/>
      <c r="H116" s="3"/>
      <c r="I116" s="3"/>
    </row>
    <row r="117" spans="1:9" x14ac:dyDescent="0.25">
      <c r="A117" s="3"/>
      <c r="B117" s="3"/>
      <c r="C117" s="3"/>
      <c r="D117" s="3"/>
      <c r="E117" s="3"/>
      <c r="F117" s="3"/>
      <c r="G117" s="3"/>
      <c r="H117" s="3"/>
      <c r="I117" s="3"/>
    </row>
    <row r="118" spans="1:9" x14ac:dyDescent="0.25">
      <c r="A118" s="3"/>
      <c r="B118" s="3"/>
      <c r="C118" s="3"/>
      <c r="D118" s="3"/>
      <c r="E118" s="3"/>
      <c r="F118" s="3"/>
      <c r="G118" s="3"/>
      <c r="H118" s="3"/>
      <c r="I118" s="3"/>
    </row>
    <row r="119" spans="1:9" x14ac:dyDescent="0.25">
      <c r="A119" s="3"/>
      <c r="B119" s="3"/>
      <c r="C119" s="3"/>
      <c r="D119" s="3"/>
      <c r="E119" s="3"/>
      <c r="F119" s="3"/>
      <c r="G119" s="3"/>
      <c r="H119" s="3"/>
      <c r="I119" s="3"/>
    </row>
    <row r="120" spans="1:9" x14ac:dyDescent="0.25">
      <c r="A120" s="3"/>
      <c r="B120" s="3"/>
      <c r="C120" s="3"/>
      <c r="D120" s="3"/>
      <c r="E120" s="3"/>
      <c r="F120" s="3"/>
      <c r="G120" s="3"/>
      <c r="H120" s="3"/>
      <c r="I120" s="3"/>
    </row>
    <row r="121" spans="1:9" x14ac:dyDescent="0.25">
      <c r="A121" s="3"/>
      <c r="B121" s="3"/>
      <c r="C121" s="3"/>
      <c r="D121" s="3"/>
      <c r="E121" s="3"/>
      <c r="F121" s="3"/>
      <c r="G121" s="3"/>
      <c r="H121" s="3"/>
      <c r="I121" s="3"/>
    </row>
    <row r="122" spans="1:9" x14ac:dyDescent="0.25">
      <c r="A122" s="3"/>
      <c r="B122" s="3"/>
      <c r="C122" s="3"/>
      <c r="D122" s="3"/>
      <c r="E122" s="3"/>
      <c r="F122" s="3"/>
      <c r="G122" s="3"/>
      <c r="H122" s="3"/>
      <c r="I122" s="3"/>
    </row>
    <row r="123" spans="1:9" x14ac:dyDescent="0.25">
      <c r="A123" s="3"/>
      <c r="B123" s="3"/>
      <c r="C123" s="3"/>
      <c r="D123" s="3"/>
      <c r="E123" s="3"/>
      <c r="F123" s="3"/>
      <c r="G123" s="3"/>
      <c r="H123" s="3"/>
      <c r="I123" s="3"/>
    </row>
    <row r="124" spans="1:9" x14ac:dyDescent="0.25">
      <c r="A124" s="3"/>
      <c r="B124" s="3"/>
      <c r="C124" s="3"/>
      <c r="D124" s="3"/>
      <c r="E124" s="3"/>
      <c r="F124" s="3"/>
      <c r="G124" s="3"/>
      <c r="H124" s="3"/>
      <c r="I124" s="3"/>
    </row>
    <row r="125" spans="1:9" x14ac:dyDescent="0.25">
      <c r="A125" s="3"/>
      <c r="B125" s="3"/>
      <c r="C125" s="3"/>
      <c r="D125" s="3"/>
      <c r="E125" s="3"/>
      <c r="F125" s="3"/>
      <c r="G125" s="3"/>
      <c r="H125" s="3"/>
      <c r="I125" s="3"/>
    </row>
    <row r="126" spans="1:9" x14ac:dyDescent="0.25">
      <c r="A126" s="3"/>
      <c r="B126" s="3"/>
      <c r="C126" s="3"/>
      <c r="D126" s="3"/>
      <c r="E126" s="3"/>
      <c r="F126" s="3"/>
      <c r="G126" s="3"/>
      <c r="H126" s="3"/>
      <c r="I126" s="3"/>
    </row>
    <row r="127" spans="1:9" x14ac:dyDescent="0.25">
      <c r="A127" s="3"/>
      <c r="B127" s="3"/>
      <c r="C127" s="3"/>
      <c r="D127" s="3"/>
      <c r="E127" s="3"/>
      <c r="F127" s="3"/>
      <c r="G127" s="3"/>
      <c r="H127" s="3"/>
      <c r="I127" s="3"/>
    </row>
    <row r="128" spans="1:9" x14ac:dyDescent="0.25">
      <c r="A128" s="3"/>
      <c r="B128" s="3"/>
      <c r="C128" s="3"/>
      <c r="D128" s="3"/>
      <c r="E128" s="3"/>
      <c r="F128" s="3"/>
      <c r="G128" s="3"/>
      <c r="H128" s="3"/>
      <c r="I128" s="3"/>
    </row>
    <row r="129" spans="1:9" x14ac:dyDescent="0.25">
      <c r="A129" s="3"/>
      <c r="B129" s="3"/>
      <c r="C129" s="3"/>
      <c r="D129" s="3"/>
      <c r="E129" s="3"/>
      <c r="F129" s="3"/>
      <c r="G129" s="3"/>
      <c r="H129" s="3"/>
      <c r="I129" s="3"/>
    </row>
    <row r="130" spans="1:9" x14ac:dyDescent="0.25">
      <c r="A130" s="3"/>
      <c r="B130" s="3"/>
      <c r="C130" s="3"/>
      <c r="D130" s="3"/>
      <c r="E130" s="3"/>
      <c r="F130" s="3"/>
      <c r="G130" s="3"/>
      <c r="H130" s="3"/>
      <c r="I130" s="3"/>
    </row>
    <row r="131" spans="1:9" x14ac:dyDescent="0.25">
      <c r="A131" s="3"/>
      <c r="B131" s="3"/>
      <c r="C131" s="3"/>
      <c r="D131" s="3"/>
      <c r="E131" s="3"/>
      <c r="F131" s="3"/>
      <c r="G131" s="3"/>
      <c r="H131" s="3"/>
      <c r="I131" s="3"/>
    </row>
    <row r="132" spans="1:9" x14ac:dyDescent="0.25">
      <c r="A132" s="3"/>
      <c r="B132" s="3"/>
      <c r="C132" s="3"/>
      <c r="D132" s="3"/>
      <c r="E132" s="3"/>
      <c r="F132" s="3"/>
      <c r="G132" s="3"/>
      <c r="H132" s="3"/>
      <c r="I132" s="3"/>
    </row>
    <row r="133" spans="1:9" x14ac:dyDescent="0.25">
      <c r="A133" s="3"/>
      <c r="B133" s="3"/>
      <c r="C133" s="3"/>
      <c r="D133" s="3"/>
      <c r="E133" s="3"/>
      <c r="F133" s="3"/>
      <c r="G133" s="3"/>
      <c r="H133" s="3"/>
      <c r="I133" s="3"/>
    </row>
    <row r="134" spans="1:9" x14ac:dyDescent="0.25">
      <c r="A134" s="3"/>
      <c r="B134" s="3"/>
      <c r="C134" s="3"/>
      <c r="D134" s="3"/>
      <c r="E134" s="3"/>
      <c r="F134" s="3"/>
      <c r="G134" s="3"/>
      <c r="H134" s="3"/>
      <c r="I134" s="3"/>
    </row>
    <row r="135" spans="1:9" x14ac:dyDescent="0.25">
      <c r="A135" s="3"/>
      <c r="B135" s="3"/>
      <c r="C135" s="3"/>
      <c r="D135" s="3"/>
      <c r="E135" s="3"/>
      <c r="F135" s="3"/>
      <c r="G135" s="3"/>
      <c r="H135" s="3"/>
      <c r="I135" s="3"/>
    </row>
    <row r="136" spans="1:9" x14ac:dyDescent="0.25">
      <c r="A136" s="3"/>
      <c r="B136" s="3"/>
      <c r="C136" s="3"/>
      <c r="D136" s="3"/>
      <c r="E136" s="3"/>
      <c r="F136" s="3"/>
      <c r="G136" s="3"/>
      <c r="H136" s="3"/>
      <c r="I136" s="3"/>
    </row>
    <row r="137" spans="1:9" x14ac:dyDescent="0.25">
      <c r="A137" s="3"/>
      <c r="B137" s="3"/>
      <c r="C137" s="3"/>
      <c r="D137" s="3"/>
      <c r="E137" s="3"/>
      <c r="F137" s="3"/>
      <c r="G137" s="3"/>
      <c r="H137" s="3"/>
      <c r="I137" s="3"/>
    </row>
    <row r="138" spans="1:9" x14ac:dyDescent="0.25">
      <c r="A138" s="3"/>
      <c r="B138" s="3"/>
      <c r="C138" s="3"/>
      <c r="D138" s="3"/>
      <c r="E138" s="3"/>
      <c r="F138" s="3"/>
      <c r="G138" s="3"/>
      <c r="H138" s="3"/>
      <c r="I138" s="3"/>
    </row>
    <row r="139" spans="1:9" x14ac:dyDescent="0.25">
      <c r="A139" s="3"/>
      <c r="B139" s="3"/>
      <c r="C139" s="3"/>
      <c r="D139" s="3"/>
      <c r="E139" s="3"/>
      <c r="F139" s="3"/>
      <c r="G139" s="3"/>
      <c r="H139" s="3"/>
      <c r="I139" s="3"/>
    </row>
    <row r="140" spans="1:9" x14ac:dyDescent="0.25">
      <c r="A140" s="3"/>
      <c r="B140" s="3"/>
      <c r="C140" s="3"/>
      <c r="D140" s="3"/>
      <c r="E140" s="3"/>
      <c r="F140" s="3"/>
      <c r="G140" s="3"/>
      <c r="H140" s="3"/>
      <c r="I140" s="3"/>
    </row>
    <row r="141" spans="1:9" x14ac:dyDescent="0.25">
      <c r="A141" s="3"/>
      <c r="B141" s="3"/>
      <c r="C141" s="3"/>
      <c r="D141" s="3"/>
      <c r="E141" s="3"/>
      <c r="F141" s="3"/>
      <c r="G141" s="3"/>
      <c r="H141" s="3"/>
      <c r="I141" s="3"/>
    </row>
    <row r="142" spans="1:9" x14ac:dyDescent="0.25">
      <c r="A142" s="3"/>
      <c r="B142" s="3"/>
      <c r="C142" s="3"/>
      <c r="D142" s="3"/>
      <c r="E142" s="3"/>
      <c r="F142" s="3"/>
      <c r="G142" s="3"/>
      <c r="H142" s="3"/>
      <c r="I142" s="3"/>
    </row>
    <row r="143" spans="1:9" x14ac:dyDescent="0.25">
      <c r="A143" s="3"/>
      <c r="B143" s="3"/>
      <c r="C143" s="3"/>
      <c r="D143" s="3"/>
      <c r="E143" s="3"/>
      <c r="F143" s="3"/>
      <c r="G143" s="3"/>
      <c r="H143" s="3"/>
      <c r="I143" s="3"/>
    </row>
    <row r="144" spans="1:9" x14ac:dyDescent="0.25">
      <c r="A144" s="3"/>
      <c r="B144" s="3"/>
      <c r="C144" s="3"/>
      <c r="D144" s="3"/>
      <c r="E144" s="3"/>
      <c r="F144" s="3"/>
      <c r="G144" s="3"/>
      <c r="H144" s="3"/>
      <c r="I144" s="3"/>
    </row>
    <row r="145" spans="1:9" x14ac:dyDescent="0.25">
      <c r="A145" s="3"/>
      <c r="B145" s="3"/>
      <c r="C145" s="3"/>
      <c r="D145" s="3"/>
      <c r="E145" s="3"/>
      <c r="F145" s="3"/>
      <c r="G145" s="3"/>
      <c r="H145" s="3"/>
      <c r="I145" s="3"/>
    </row>
    <row r="146" spans="1:9" x14ac:dyDescent="0.25">
      <c r="A146" s="3"/>
      <c r="B146" s="3"/>
      <c r="C146" s="3"/>
      <c r="D146" s="3"/>
      <c r="E146" s="3"/>
      <c r="F146" s="3"/>
      <c r="G146" s="3"/>
      <c r="H146" s="3"/>
      <c r="I146" s="3"/>
    </row>
    <row r="147" spans="1:9" x14ac:dyDescent="0.25">
      <c r="A147" s="3"/>
      <c r="B147" s="3"/>
      <c r="C147" s="3"/>
      <c r="D147" s="3"/>
      <c r="E147" s="3"/>
      <c r="F147" s="3"/>
      <c r="G147" s="3"/>
      <c r="H147" s="3"/>
      <c r="I147" s="3"/>
    </row>
    <row r="148" spans="1:9" x14ac:dyDescent="0.25">
      <c r="A148" s="3"/>
      <c r="B148" s="3"/>
      <c r="C148" s="3"/>
      <c r="D148" s="3"/>
      <c r="E148" s="3"/>
      <c r="F148" s="3"/>
      <c r="G148" s="3"/>
      <c r="H148" s="3"/>
      <c r="I148" s="3"/>
    </row>
    <row r="149" spans="1:9" x14ac:dyDescent="0.25">
      <c r="A149" s="3"/>
      <c r="B149" s="3"/>
      <c r="C149" s="3"/>
      <c r="D149" s="3"/>
      <c r="E149" s="3"/>
      <c r="F149" s="3"/>
      <c r="G149" s="3"/>
      <c r="H149" s="3"/>
      <c r="I149" s="3"/>
    </row>
    <row r="150" spans="1:9" x14ac:dyDescent="0.25">
      <c r="A150" s="3"/>
      <c r="B150" s="3"/>
      <c r="C150" s="3"/>
      <c r="D150" s="3"/>
      <c r="E150" s="3"/>
      <c r="F150" s="3"/>
      <c r="G150" s="3"/>
      <c r="H150" s="3"/>
      <c r="I150" s="3"/>
    </row>
    <row r="151" spans="1:9" x14ac:dyDescent="0.25">
      <c r="A151" s="3"/>
      <c r="B151" s="3"/>
      <c r="C151" s="3"/>
      <c r="D151" s="3"/>
      <c r="E151" s="3"/>
      <c r="F151" s="3"/>
      <c r="G151" s="3"/>
      <c r="H151" s="3"/>
      <c r="I151" s="3"/>
    </row>
    <row r="152" spans="1:9" x14ac:dyDescent="0.25">
      <c r="A152" s="3"/>
      <c r="B152" s="3"/>
      <c r="C152" s="3"/>
      <c r="D152" s="3"/>
      <c r="E152" s="3"/>
      <c r="F152" s="3"/>
      <c r="G152" s="3"/>
      <c r="H152" s="3"/>
      <c r="I152" s="3"/>
    </row>
    <row r="153" spans="1:9" x14ac:dyDescent="0.25">
      <c r="A153" s="3"/>
      <c r="B153" s="3"/>
      <c r="C153" s="3"/>
      <c r="D153" s="3"/>
      <c r="E153" s="3"/>
      <c r="F153" s="3"/>
      <c r="G153" s="3"/>
      <c r="H153" s="3"/>
      <c r="I153" s="3"/>
    </row>
    <row r="154" spans="1:9" x14ac:dyDescent="0.25">
      <c r="A154" s="3"/>
      <c r="B154" s="3"/>
      <c r="C154" s="3"/>
      <c r="D154" s="3"/>
      <c r="E154" s="3"/>
      <c r="F154" s="3"/>
      <c r="G154" s="3"/>
      <c r="H154" s="3"/>
      <c r="I154" s="3"/>
    </row>
    <row r="155" spans="1:9" x14ac:dyDescent="0.25">
      <c r="A155" s="3"/>
      <c r="B155" s="3"/>
      <c r="C155" s="3"/>
      <c r="D155" s="3"/>
      <c r="E155" s="3"/>
      <c r="F155" s="3"/>
      <c r="G155" s="3"/>
      <c r="H155" s="3"/>
      <c r="I155" s="3"/>
    </row>
    <row r="156" spans="1:9" x14ac:dyDescent="0.25">
      <c r="A156" s="3"/>
      <c r="B156" s="3"/>
      <c r="C156" s="3"/>
      <c r="D156" s="3"/>
      <c r="E156" s="3"/>
      <c r="F156" s="3"/>
      <c r="G156" s="3"/>
      <c r="H156" s="3"/>
      <c r="I156" s="3"/>
    </row>
    <row r="157" spans="1:9" x14ac:dyDescent="0.25">
      <c r="A157" s="3"/>
      <c r="B157" s="3"/>
      <c r="C157" s="3"/>
      <c r="D157" s="3"/>
      <c r="E157" s="3"/>
      <c r="F157" s="3"/>
      <c r="G157" s="3"/>
      <c r="H157" s="3"/>
      <c r="I157" s="3"/>
    </row>
    <row r="158" spans="1:9" x14ac:dyDescent="0.25">
      <c r="A158" s="3"/>
      <c r="B158" s="3"/>
      <c r="C158" s="3"/>
      <c r="D158" s="3"/>
      <c r="E158" s="3"/>
      <c r="F158" s="3"/>
      <c r="G158" s="3"/>
      <c r="H158" s="3"/>
      <c r="I158" s="3"/>
    </row>
    <row r="159" spans="1:9" x14ac:dyDescent="0.25">
      <c r="A159" s="3"/>
      <c r="B159" s="3"/>
      <c r="C159" s="3"/>
      <c r="D159" s="3"/>
      <c r="E159" s="3"/>
      <c r="F159" s="3"/>
      <c r="G159" s="3"/>
      <c r="H159" s="3"/>
      <c r="I159" s="3"/>
    </row>
    <row r="160" spans="1:9" x14ac:dyDescent="0.25">
      <c r="A160" s="3"/>
      <c r="B160" s="3"/>
      <c r="C160" s="3"/>
      <c r="D160" s="3"/>
      <c r="E160" s="3"/>
      <c r="F160" s="3"/>
      <c r="G160" s="3"/>
      <c r="H160" s="3"/>
      <c r="I160" s="3"/>
    </row>
    <row r="161" spans="1:9" x14ac:dyDescent="0.25">
      <c r="A161" s="3"/>
      <c r="B161" s="3"/>
      <c r="C161" s="3"/>
      <c r="D161" s="3"/>
      <c r="E161" s="3"/>
      <c r="F161" s="3"/>
      <c r="G161" s="3"/>
      <c r="H161" s="3"/>
      <c r="I161" s="3"/>
    </row>
    <row r="162" spans="1:9" x14ac:dyDescent="0.25">
      <c r="A162" s="3"/>
      <c r="B162" s="3"/>
      <c r="C162" s="3"/>
      <c r="D162" s="3"/>
      <c r="E162" s="3"/>
      <c r="F162" s="3"/>
      <c r="G162" s="3"/>
      <c r="H162" s="3"/>
      <c r="I162" s="3"/>
    </row>
    <row r="163" spans="1:9" x14ac:dyDescent="0.25">
      <c r="A163" s="3"/>
      <c r="B163" s="3"/>
      <c r="C163" s="3"/>
      <c r="D163" s="3"/>
      <c r="E163" s="3"/>
      <c r="F163" s="3"/>
      <c r="G163" s="3"/>
      <c r="H163" s="3"/>
      <c r="I163" s="3"/>
    </row>
    <row r="164" spans="1:9" x14ac:dyDescent="0.25">
      <c r="A164" s="3"/>
      <c r="B164" s="3"/>
      <c r="C164" s="3"/>
      <c r="D164" s="3"/>
      <c r="E164" s="3"/>
      <c r="F164" s="3"/>
      <c r="G164" s="3"/>
      <c r="H164" s="3"/>
      <c r="I164" s="3"/>
    </row>
    <row r="165" spans="1:9" x14ac:dyDescent="0.25">
      <c r="A165" s="3"/>
      <c r="B165" s="3"/>
      <c r="C165" s="3"/>
      <c r="D165" s="3"/>
      <c r="E165" s="3"/>
      <c r="F165" s="3"/>
      <c r="G165" s="3"/>
      <c r="H165" s="3"/>
      <c r="I165" s="3"/>
    </row>
    <row r="166" spans="1:9" x14ac:dyDescent="0.25">
      <c r="A166" s="3"/>
      <c r="B166" s="3"/>
      <c r="C166" s="3"/>
      <c r="D166" s="3"/>
      <c r="E166" s="3"/>
      <c r="F166" s="3"/>
      <c r="G166" s="3"/>
      <c r="H166" s="3"/>
      <c r="I166" s="3"/>
    </row>
    <row r="167" spans="1:9" x14ac:dyDescent="0.25">
      <c r="A167" s="3"/>
      <c r="B167" s="3"/>
      <c r="C167" s="3"/>
      <c r="D167" s="3"/>
      <c r="E167" s="3"/>
      <c r="F167" s="3"/>
      <c r="G167" s="3"/>
      <c r="H167" s="3"/>
      <c r="I167" s="3"/>
    </row>
    <row r="168" spans="1:9" x14ac:dyDescent="0.25">
      <c r="A168" s="3"/>
      <c r="B168" s="3"/>
      <c r="C168" s="3"/>
      <c r="D168" s="3"/>
      <c r="E168" s="3"/>
      <c r="F168" s="3"/>
      <c r="G168" s="3"/>
      <c r="H168" s="3"/>
      <c r="I168" s="3"/>
    </row>
    <row r="169" spans="1:9" x14ac:dyDescent="0.25">
      <c r="A169" s="3"/>
      <c r="B169" s="3"/>
      <c r="C169" s="3"/>
      <c r="D169" s="3"/>
      <c r="E169" s="3"/>
      <c r="F169" s="3"/>
      <c r="G169" s="3"/>
      <c r="H169" s="3"/>
      <c r="I169" s="3"/>
    </row>
    <row r="170" spans="1:9" x14ac:dyDescent="0.25">
      <c r="A170" s="3"/>
      <c r="B170" s="3"/>
      <c r="C170" s="3"/>
      <c r="D170" s="3"/>
      <c r="E170" s="3"/>
      <c r="F170" s="3"/>
      <c r="G170" s="3"/>
      <c r="H170" s="3"/>
      <c r="I170" s="3"/>
    </row>
    <row r="171" spans="1:9" x14ac:dyDescent="0.25">
      <c r="A171" s="3"/>
      <c r="B171" s="3"/>
      <c r="C171" s="3"/>
      <c r="D171" s="3"/>
      <c r="E171" s="3"/>
      <c r="F171" s="3"/>
      <c r="G171" s="3"/>
      <c r="H171" s="3"/>
      <c r="I171" s="3"/>
    </row>
    <row r="172" spans="1:9" x14ac:dyDescent="0.25">
      <c r="A172" s="3"/>
      <c r="B172" s="3"/>
      <c r="C172" s="3"/>
      <c r="D172" s="3"/>
      <c r="E172" s="3"/>
      <c r="F172" s="3"/>
      <c r="G172" s="3"/>
      <c r="H172" s="3"/>
      <c r="I172" s="3"/>
    </row>
    <row r="173" spans="1:9" x14ac:dyDescent="0.25">
      <c r="A173" s="3"/>
      <c r="B173" s="3"/>
      <c r="C173" s="3"/>
      <c r="D173" s="3"/>
      <c r="E173" s="3"/>
      <c r="F173" s="3"/>
      <c r="G173" s="3"/>
      <c r="H173" s="3"/>
      <c r="I173" s="3"/>
    </row>
    <row r="174" spans="1:9" x14ac:dyDescent="0.25">
      <c r="A174" s="3"/>
      <c r="B174" s="3"/>
      <c r="C174" s="3"/>
      <c r="D174" s="3"/>
      <c r="E174" s="3"/>
      <c r="F174" s="3"/>
      <c r="G174" s="3"/>
      <c r="H174" s="3"/>
      <c r="I174" s="3"/>
    </row>
    <row r="175" spans="1:9" x14ac:dyDescent="0.25">
      <c r="A175" s="3"/>
      <c r="B175" s="3"/>
      <c r="C175" s="3"/>
      <c r="D175" s="3"/>
      <c r="E175" s="3"/>
      <c r="F175" s="3"/>
      <c r="G175" s="3"/>
      <c r="H175" s="3"/>
      <c r="I175" s="3"/>
    </row>
    <row r="176" spans="1:9" x14ac:dyDescent="0.25">
      <c r="A176" s="3"/>
      <c r="B176" s="3"/>
      <c r="C176" s="3"/>
      <c r="D176" s="3"/>
      <c r="E176" s="3"/>
      <c r="F176" s="3"/>
      <c r="G176" s="3"/>
      <c r="H176" s="3"/>
      <c r="I176" s="3"/>
    </row>
    <row r="177" spans="1:9" x14ac:dyDescent="0.25">
      <c r="A177" s="3"/>
      <c r="B177" s="3"/>
      <c r="C177" s="3"/>
      <c r="D177" s="3"/>
      <c r="E177" s="3"/>
      <c r="F177" s="3"/>
      <c r="G177" s="3"/>
      <c r="H177" s="3"/>
      <c r="I177" s="3"/>
    </row>
    <row r="178" spans="1:9" x14ac:dyDescent="0.25">
      <c r="A178" s="3"/>
      <c r="B178" s="3"/>
      <c r="C178" s="3"/>
      <c r="D178" s="3"/>
      <c r="E178" s="3"/>
      <c r="F178" s="3"/>
      <c r="G178" s="3"/>
      <c r="H178" s="3"/>
      <c r="I178" s="3"/>
    </row>
    <row r="179" spans="1:9" x14ac:dyDescent="0.25">
      <c r="A179" s="3"/>
      <c r="B179" s="3"/>
      <c r="C179" s="3"/>
      <c r="D179" s="3"/>
      <c r="E179" s="3"/>
      <c r="F179" s="3"/>
      <c r="G179" s="3"/>
      <c r="H179" s="3"/>
      <c r="I179" s="3"/>
    </row>
    <row r="180" spans="1:9" x14ac:dyDescent="0.25">
      <c r="A180" s="3"/>
      <c r="B180" s="3"/>
      <c r="C180" s="3"/>
      <c r="D180" s="3"/>
      <c r="E180" s="3"/>
      <c r="F180" s="3"/>
      <c r="G180" s="3"/>
      <c r="H180" s="3"/>
      <c r="I180" s="3"/>
    </row>
    <row r="181" spans="1:9" x14ac:dyDescent="0.25">
      <c r="A181" s="3"/>
      <c r="B181" s="3"/>
      <c r="C181" s="3"/>
      <c r="D181" s="3"/>
      <c r="E181" s="3"/>
      <c r="F181" s="3"/>
      <c r="G181" s="3"/>
      <c r="H181" s="3"/>
      <c r="I181" s="3"/>
    </row>
    <row r="182" spans="1:9" x14ac:dyDescent="0.25">
      <c r="A182" s="3"/>
      <c r="B182" s="3"/>
      <c r="C182" s="3"/>
      <c r="D182" s="3"/>
      <c r="E182" s="3"/>
      <c r="F182" s="3"/>
      <c r="G182" s="3"/>
      <c r="H182" s="3"/>
      <c r="I182" s="3"/>
    </row>
    <row r="183" spans="1:9" x14ac:dyDescent="0.25">
      <c r="A183" s="3"/>
      <c r="B183" s="3"/>
      <c r="C183" s="3"/>
      <c r="D183" s="3"/>
      <c r="E183" s="3"/>
      <c r="F183" s="3"/>
      <c r="G183" s="3"/>
      <c r="H183" s="3"/>
      <c r="I183" s="3"/>
    </row>
    <row r="184" spans="1:9" x14ac:dyDescent="0.25">
      <c r="A184" s="3"/>
      <c r="B184" s="3"/>
      <c r="C184" s="3"/>
      <c r="D184" s="3"/>
      <c r="E184" s="3"/>
      <c r="F184" s="3"/>
      <c r="G184" s="3"/>
      <c r="H184" s="3"/>
      <c r="I184" s="3"/>
    </row>
    <row r="185" spans="1:9" x14ac:dyDescent="0.25">
      <c r="A185" s="3"/>
      <c r="B185" s="3"/>
      <c r="C185" s="3"/>
      <c r="D185" s="3"/>
      <c r="E185" s="3"/>
      <c r="F185" s="3"/>
      <c r="G185" s="3"/>
      <c r="H185" s="3"/>
      <c r="I185" s="3"/>
    </row>
    <row r="186" spans="1:9" x14ac:dyDescent="0.25">
      <c r="A186" s="3"/>
      <c r="B186" s="3"/>
      <c r="C186" s="3"/>
      <c r="D186" s="3"/>
      <c r="E186" s="3"/>
      <c r="F186" s="3"/>
      <c r="G186" s="3"/>
      <c r="H186" s="3"/>
      <c r="I186" s="3"/>
    </row>
    <row r="187" spans="1:9" x14ac:dyDescent="0.25">
      <c r="A187" s="3"/>
      <c r="B187" s="3"/>
      <c r="C187" s="3"/>
      <c r="D187" s="3"/>
      <c r="E187" s="3"/>
      <c r="F187" s="3"/>
      <c r="G187" s="3"/>
      <c r="H187" s="3"/>
      <c r="I187" s="3"/>
    </row>
    <row r="188" spans="1:9" x14ac:dyDescent="0.25">
      <c r="A188" s="3"/>
      <c r="B188" s="3"/>
      <c r="C188" s="3"/>
      <c r="D188" s="3"/>
      <c r="E188" s="3"/>
      <c r="F188" s="3"/>
      <c r="G188" s="3"/>
      <c r="H188" s="3"/>
      <c r="I188" s="3"/>
    </row>
    <row r="189" spans="1:9" x14ac:dyDescent="0.25">
      <c r="A189" s="3"/>
      <c r="B189" s="3"/>
      <c r="C189" s="3"/>
      <c r="D189" s="3"/>
      <c r="E189" s="3"/>
      <c r="F189" s="3"/>
      <c r="G189" s="3"/>
      <c r="H189" s="3"/>
      <c r="I189" s="3"/>
    </row>
    <row r="190" spans="1:9" x14ac:dyDescent="0.25">
      <c r="A190" s="3"/>
      <c r="B190" s="3"/>
      <c r="C190" s="3"/>
      <c r="D190" s="3"/>
      <c r="E190" s="3"/>
      <c r="F190" s="3"/>
      <c r="G190" s="3"/>
      <c r="H190" s="3"/>
      <c r="I190" s="3"/>
    </row>
    <row r="191" spans="1:9" x14ac:dyDescent="0.25">
      <c r="A191" s="3"/>
      <c r="B191" s="3"/>
      <c r="C191" s="3"/>
      <c r="D191" s="3"/>
      <c r="E191" s="3"/>
      <c r="F191" s="3"/>
      <c r="G191" s="3"/>
      <c r="H191" s="3"/>
      <c r="I191" s="3"/>
    </row>
    <row r="192" spans="1:9" x14ac:dyDescent="0.25">
      <c r="A192" s="3"/>
      <c r="B192" s="3"/>
      <c r="C192" s="3"/>
      <c r="D192" s="3"/>
      <c r="E192" s="3"/>
      <c r="F192" s="3"/>
      <c r="G192" s="3"/>
      <c r="H192" s="3"/>
      <c r="I192" s="3"/>
    </row>
    <row r="193" spans="1:9" x14ac:dyDescent="0.25">
      <c r="A193" s="3"/>
      <c r="B193" s="3"/>
      <c r="C193" s="3"/>
      <c r="D193" s="3"/>
      <c r="E193" s="3"/>
      <c r="F193" s="3"/>
      <c r="G193" s="3"/>
      <c r="H193" s="3"/>
      <c r="I193" s="3"/>
    </row>
    <row r="194" spans="1:9" x14ac:dyDescent="0.25">
      <c r="A194" s="3"/>
      <c r="B194" s="3"/>
      <c r="C194" s="3"/>
      <c r="D194" s="3"/>
      <c r="E194" s="3"/>
      <c r="F194" s="3"/>
      <c r="G194" s="3"/>
      <c r="H194" s="3"/>
      <c r="I194" s="3"/>
    </row>
    <row r="195" spans="1:9" x14ac:dyDescent="0.25">
      <c r="A195" s="3"/>
      <c r="B195" s="3"/>
      <c r="C195" s="3"/>
      <c r="D195" s="3"/>
      <c r="E195" s="3"/>
      <c r="F195" s="3"/>
      <c r="G195" s="3"/>
      <c r="H195" s="3"/>
      <c r="I195" s="3"/>
    </row>
    <row r="196" spans="1:9" x14ac:dyDescent="0.25">
      <c r="A196" s="3"/>
      <c r="B196" s="3"/>
      <c r="C196" s="3"/>
      <c r="D196" s="3"/>
      <c r="E196" s="3"/>
      <c r="F196" s="3"/>
      <c r="G196" s="3"/>
      <c r="H196" s="3"/>
      <c r="I196" s="3"/>
    </row>
    <row r="197" spans="1:9" x14ac:dyDescent="0.25">
      <c r="A197" s="3"/>
      <c r="B197" s="3"/>
      <c r="C197" s="3"/>
      <c r="D197" s="3"/>
      <c r="E197" s="3"/>
      <c r="F197" s="3"/>
      <c r="G197" s="3"/>
      <c r="H197" s="3"/>
      <c r="I197" s="3"/>
    </row>
    <row r="198" spans="1:9" x14ac:dyDescent="0.25">
      <c r="A198" s="3"/>
      <c r="B198" s="3"/>
      <c r="C198" s="3"/>
      <c r="D198" s="3"/>
      <c r="E198" s="3"/>
      <c r="F198" s="3"/>
      <c r="G198" s="3"/>
      <c r="H198" s="3"/>
      <c r="I198" s="3"/>
    </row>
    <row r="199" spans="1:9" x14ac:dyDescent="0.25">
      <c r="A199" s="3"/>
      <c r="B199" s="3"/>
      <c r="C199" s="3"/>
      <c r="D199" s="3"/>
      <c r="E199" s="3"/>
      <c r="F199" s="3"/>
      <c r="G199" s="3"/>
      <c r="H199" s="3"/>
      <c r="I199" s="3"/>
    </row>
    <row r="200" spans="1:9" x14ac:dyDescent="0.25">
      <c r="A200" s="3"/>
      <c r="B200" s="3"/>
      <c r="C200" s="3"/>
      <c r="D200" s="3"/>
      <c r="E200" s="3"/>
      <c r="F200" s="3"/>
      <c r="G200" s="3"/>
      <c r="H200" s="3"/>
      <c r="I200" s="3"/>
    </row>
    <row r="201" spans="1:9" x14ac:dyDescent="0.25">
      <c r="A201" s="3"/>
      <c r="B201" s="3"/>
      <c r="C201" s="3"/>
      <c r="D201" s="3"/>
      <c r="E201" s="3"/>
      <c r="F201" s="3"/>
      <c r="G201" s="3"/>
      <c r="H201" s="3"/>
      <c r="I201" s="3"/>
    </row>
    <row r="202" spans="1:9" x14ac:dyDescent="0.25">
      <c r="A202" s="3"/>
      <c r="B202" s="3"/>
      <c r="C202" s="3"/>
      <c r="D202" s="3"/>
      <c r="E202" s="3"/>
      <c r="F202" s="3"/>
      <c r="G202" s="3"/>
      <c r="H202" s="3"/>
      <c r="I202" s="3"/>
    </row>
    <row r="203" spans="1:9" x14ac:dyDescent="0.25">
      <c r="A203" s="3"/>
      <c r="B203" s="3"/>
      <c r="C203" s="3"/>
      <c r="D203" s="3"/>
      <c r="E203" s="3"/>
      <c r="F203" s="3"/>
      <c r="G203" s="3"/>
      <c r="H203" s="3"/>
      <c r="I203" s="3"/>
    </row>
    <row r="204" spans="1:9" x14ac:dyDescent="0.25">
      <c r="A204" s="3"/>
      <c r="B204" s="3"/>
      <c r="C204" s="3"/>
      <c r="D204" s="3"/>
      <c r="E204" s="3"/>
      <c r="F204" s="3"/>
      <c r="G204" s="3"/>
      <c r="H204" s="3"/>
      <c r="I204" s="3"/>
    </row>
    <row r="205" spans="1:9" x14ac:dyDescent="0.25">
      <c r="A205" s="3"/>
      <c r="B205" s="3"/>
      <c r="C205" s="3"/>
      <c r="D205" s="3"/>
      <c r="E205" s="3"/>
      <c r="F205" s="3"/>
      <c r="G205" s="3"/>
      <c r="H205" s="3"/>
      <c r="I205" s="3"/>
    </row>
    <row r="206" spans="1:9" x14ac:dyDescent="0.25">
      <c r="A206" s="3"/>
      <c r="B206" s="3"/>
      <c r="C206" s="3"/>
      <c r="D206" s="3"/>
      <c r="E206" s="3"/>
      <c r="F206" s="3"/>
      <c r="G206" s="3"/>
      <c r="H206" s="3"/>
      <c r="I206" s="3"/>
    </row>
    <row r="207" spans="1:9" x14ac:dyDescent="0.25">
      <c r="A207" s="3"/>
      <c r="B207" s="3"/>
      <c r="C207" s="3"/>
      <c r="D207" s="3"/>
      <c r="E207" s="3"/>
      <c r="F207" s="3"/>
      <c r="G207" s="3"/>
      <c r="H207" s="3"/>
      <c r="I207" s="3"/>
    </row>
    <row r="208" spans="1:9" x14ac:dyDescent="0.25">
      <c r="A208" s="3"/>
      <c r="B208" s="3"/>
      <c r="C208" s="3"/>
      <c r="D208" s="3"/>
      <c r="E208" s="3"/>
      <c r="F208" s="3"/>
      <c r="G208" s="3"/>
      <c r="H208" s="3"/>
      <c r="I208" s="3"/>
    </row>
    <row r="209" spans="1:9" x14ac:dyDescent="0.25">
      <c r="A209" s="3"/>
      <c r="B209" s="3"/>
      <c r="C209" s="3"/>
      <c r="D209" s="3"/>
      <c r="E209" s="3"/>
      <c r="F209" s="3"/>
      <c r="G209" s="3"/>
      <c r="H209" s="3"/>
      <c r="I209" s="3"/>
    </row>
    <row r="210" spans="1:9" x14ac:dyDescent="0.25">
      <c r="A210" s="3"/>
      <c r="B210" s="3"/>
      <c r="C210" s="3"/>
      <c r="D210" s="3"/>
      <c r="E210" s="3"/>
      <c r="F210" s="3"/>
      <c r="G210" s="3"/>
      <c r="H210" s="3"/>
      <c r="I210" s="3"/>
    </row>
    <row r="211" spans="1:9" x14ac:dyDescent="0.25">
      <c r="A211" s="3"/>
      <c r="B211" s="3"/>
      <c r="C211" s="3"/>
      <c r="D211" s="3"/>
      <c r="E211" s="3"/>
      <c r="F211" s="3"/>
      <c r="G211" s="3"/>
      <c r="H211" s="3"/>
      <c r="I211" s="3"/>
    </row>
    <row r="212" spans="1:9" x14ac:dyDescent="0.25">
      <c r="A212" s="3"/>
      <c r="B212" s="3"/>
      <c r="C212" s="3"/>
      <c r="D212" s="3"/>
      <c r="E212" s="3"/>
      <c r="F212" s="3"/>
      <c r="G212" s="3"/>
      <c r="H212" s="3"/>
      <c r="I212" s="3"/>
    </row>
    <row r="213" spans="1:9" x14ac:dyDescent="0.25">
      <c r="A213" s="3"/>
      <c r="B213" s="3"/>
      <c r="C213" s="3"/>
      <c r="D213" s="3"/>
      <c r="E213" s="3"/>
      <c r="F213" s="3"/>
      <c r="G213" s="3"/>
      <c r="H213" s="3"/>
      <c r="I213" s="3"/>
    </row>
    <row r="214" spans="1:9" x14ac:dyDescent="0.25">
      <c r="A214" s="3"/>
      <c r="B214" s="3"/>
      <c r="C214" s="3"/>
      <c r="D214" s="3"/>
      <c r="E214" s="3"/>
      <c r="F214" s="3"/>
      <c r="G214" s="3"/>
      <c r="H214" s="3"/>
      <c r="I214" s="3"/>
    </row>
    <row r="215" spans="1:9" x14ac:dyDescent="0.25">
      <c r="A215" s="3"/>
      <c r="B215" s="3"/>
      <c r="C215" s="3"/>
      <c r="D215" s="3"/>
      <c r="E215" s="3"/>
      <c r="F215" s="3"/>
      <c r="G215" s="3"/>
      <c r="H215" s="3"/>
      <c r="I215" s="3"/>
    </row>
    <row r="216" spans="1:9" x14ac:dyDescent="0.25">
      <c r="A216" s="3"/>
      <c r="B216" s="3"/>
      <c r="C216" s="3"/>
      <c r="D216" s="3"/>
      <c r="E216" s="3"/>
      <c r="F216" s="3"/>
      <c r="G216" s="3"/>
      <c r="H216" s="3"/>
      <c r="I216" s="3"/>
    </row>
    <row r="217" spans="1:9" x14ac:dyDescent="0.25">
      <c r="A217" s="3"/>
      <c r="B217" s="3"/>
      <c r="C217" s="3"/>
      <c r="D217" s="3"/>
      <c r="E217" s="3"/>
      <c r="F217" s="3"/>
      <c r="G217" s="3"/>
      <c r="H217" s="3"/>
      <c r="I217" s="3"/>
    </row>
    <row r="218" spans="1:9" x14ac:dyDescent="0.25">
      <c r="A218" s="3"/>
      <c r="B218" s="3"/>
      <c r="C218" s="3"/>
      <c r="D218" s="3"/>
      <c r="E218" s="3"/>
      <c r="F218" s="3"/>
      <c r="G218" s="3"/>
      <c r="H218" s="3"/>
      <c r="I218" s="3"/>
    </row>
    <row r="219" spans="1:9" x14ac:dyDescent="0.25">
      <c r="A219" s="3"/>
      <c r="B219" s="3"/>
      <c r="C219" s="3"/>
      <c r="D219" s="3"/>
      <c r="E219" s="3"/>
      <c r="F219" s="3"/>
      <c r="G219" s="3"/>
      <c r="H219" s="3"/>
      <c r="I219" s="3"/>
    </row>
    <row r="220" spans="1:9" x14ac:dyDescent="0.25">
      <c r="A220" s="3"/>
      <c r="B220" s="3"/>
      <c r="C220" s="3"/>
      <c r="D220" s="3"/>
      <c r="E220" s="3"/>
      <c r="F220" s="3"/>
      <c r="G220" s="3"/>
      <c r="H220" s="3"/>
      <c r="I220" s="3"/>
    </row>
    <row r="221" spans="1:9" x14ac:dyDescent="0.25">
      <c r="A221" s="3"/>
      <c r="B221" s="3"/>
      <c r="C221" s="3"/>
      <c r="D221" s="3"/>
      <c r="E221" s="3"/>
      <c r="F221" s="3"/>
      <c r="G221" s="3"/>
      <c r="H221" s="3"/>
      <c r="I221" s="3"/>
    </row>
    <row r="222" spans="1:9" x14ac:dyDescent="0.25">
      <c r="A222" s="3"/>
      <c r="B222" s="3"/>
      <c r="C222" s="3"/>
      <c r="D222" s="3"/>
      <c r="E222" s="3"/>
      <c r="F222" s="3"/>
      <c r="G222" s="3"/>
      <c r="H222" s="3"/>
      <c r="I222" s="3"/>
    </row>
    <row r="223" spans="1:9" x14ac:dyDescent="0.25">
      <c r="A223" s="3"/>
      <c r="B223" s="3"/>
      <c r="C223" s="3"/>
      <c r="D223" s="3"/>
      <c r="E223" s="3"/>
      <c r="F223" s="3"/>
      <c r="G223" s="3"/>
      <c r="H223" s="3"/>
      <c r="I223" s="3"/>
    </row>
    <row r="224" spans="1:9" x14ac:dyDescent="0.25">
      <c r="A224" s="3"/>
      <c r="B224" s="3"/>
      <c r="C224" s="3"/>
      <c r="D224" s="3"/>
      <c r="E224" s="3"/>
      <c r="F224" s="3"/>
      <c r="G224" s="3"/>
      <c r="H224" s="3"/>
      <c r="I224" s="3"/>
    </row>
    <row r="225" spans="1:9" x14ac:dyDescent="0.25">
      <c r="A225" s="3"/>
      <c r="B225" s="3"/>
      <c r="C225" s="3"/>
      <c r="D225" s="3"/>
      <c r="E225" s="3"/>
      <c r="F225" s="3"/>
      <c r="G225" s="3"/>
      <c r="H225" s="3"/>
      <c r="I225" s="3"/>
    </row>
    <row r="226" spans="1:9" x14ac:dyDescent="0.25">
      <c r="A226" s="3"/>
      <c r="B226" s="3"/>
      <c r="C226" s="3"/>
      <c r="D226" s="3"/>
      <c r="E226" s="3"/>
      <c r="F226" s="3"/>
      <c r="G226" s="3"/>
      <c r="H226" s="3"/>
      <c r="I226" s="3"/>
    </row>
    <row r="227" spans="1:9" x14ac:dyDescent="0.25">
      <c r="A227" s="3"/>
      <c r="B227" s="3"/>
      <c r="C227" s="3"/>
      <c r="D227" s="3"/>
      <c r="E227" s="3"/>
      <c r="F227" s="3"/>
      <c r="G227" s="3"/>
      <c r="H227" s="3"/>
      <c r="I227" s="3"/>
    </row>
    <row r="228" spans="1:9" x14ac:dyDescent="0.25">
      <c r="A228" s="3"/>
      <c r="B228" s="3"/>
      <c r="C228" s="3"/>
      <c r="D228" s="3"/>
      <c r="E228" s="3"/>
      <c r="F228" s="3"/>
      <c r="G228" s="3"/>
      <c r="H228" s="3"/>
      <c r="I228" s="3"/>
    </row>
    <row r="229" spans="1:9" x14ac:dyDescent="0.25">
      <c r="A229" s="3"/>
      <c r="B229" s="3"/>
      <c r="C229" s="3"/>
      <c r="D229" s="3"/>
      <c r="E229" s="3"/>
      <c r="F229" s="3"/>
      <c r="G229" s="3"/>
      <c r="H229" s="3"/>
      <c r="I229" s="3"/>
    </row>
    <row r="230" spans="1:9" x14ac:dyDescent="0.25">
      <c r="A230" s="3"/>
      <c r="B230" s="3"/>
      <c r="C230" s="3"/>
      <c r="D230" s="3"/>
      <c r="E230" s="3"/>
      <c r="F230" s="3"/>
      <c r="G230" s="3"/>
      <c r="H230" s="3"/>
      <c r="I230" s="3"/>
    </row>
    <row r="231" spans="1:9" x14ac:dyDescent="0.25">
      <c r="A231" s="3"/>
      <c r="B231" s="3"/>
      <c r="C231" s="3"/>
      <c r="D231" s="3"/>
      <c r="E231" s="3"/>
      <c r="F231" s="3"/>
      <c r="G231" s="3"/>
      <c r="H231" s="3"/>
      <c r="I231" s="3"/>
    </row>
    <row r="232" spans="1:9" x14ac:dyDescent="0.25">
      <c r="A232" s="3"/>
      <c r="B232" s="3"/>
      <c r="C232" s="3"/>
      <c r="D232" s="3"/>
      <c r="E232" s="3"/>
      <c r="F232" s="3"/>
      <c r="G232" s="3"/>
      <c r="H232" s="3"/>
      <c r="I232" s="3"/>
    </row>
    <row r="233" spans="1:9" x14ac:dyDescent="0.25">
      <c r="A233" s="3"/>
      <c r="B233" s="3"/>
      <c r="C233" s="3"/>
      <c r="D233" s="3"/>
      <c r="E233" s="3"/>
      <c r="F233" s="3"/>
      <c r="G233" s="3"/>
      <c r="H233" s="3"/>
      <c r="I233" s="3"/>
    </row>
    <row r="234" spans="1:9" x14ac:dyDescent="0.25">
      <c r="A234" s="3"/>
      <c r="B234" s="3"/>
      <c r="C234" s="3"/>
      <c r="D234" s="3"/>
      <c r="E234" s="3"/>
      <c r="F234" s="3"/>
      <c r="G234" s="3"/>
      <c r="H234" s="3"/>
      <c r="I234" s="3"/>
    </row>
    <row r="235" spans="1:9" x14ac:dyDescent="0.25">
      <c r="A235" s="3"/>
      <c r="B235" s="3"/>
      <c r="C235" s="3"/>
      <c r="D235" s="3"/>
      <c r="E235" s="3"/>
      <c r="F235" s="3"/>
      <c r="G235" s="3"/>
      <c r="H235" s="3"/>
      <c r="I235" s="3"/>
    </row>
    <row r="236" spans="1:9" x14ac:dyDescent="0.25">
      <c r="A236" s="3"/>
      <c r="B236" s="3"/>
      <c r="C236" s="3"/>
      <c r="D236" s="3"/>
      <c r="E236" s="3"/>
      <c r="F236" s="3"/>
      <c r="G236" s="3"/>
      <c r="H236" s="3"/>
      <c r="I236" s="3"/>
    </row>
    <row r="237" spans="1:9" x14ac:dyDescent="0.25">
      <c r="A237" s="3"/>
      <c r="B237" s="3"/>
      <c r="C237" s="3"/>
      <c r="D237" s="3"/>
      <c r="E237" s="3"/>
      <c r="F237" s="3"/>
      <c r="G237" s="3"/>
      <c r="H237" s="3"/>
      <c r="I237" s="3"/>
    </row>
    <row r="238" spans="1:9" x14ac:dyDescent="0.25">
      <c r="A238" s="3"/>
      <c r="B238" s="3"/>
      <c r="C238" s="3"/>
      <c r="D238" s="3"/>
      <c r="E238" s="3"/>
      <c r="F238" s="3"/>
      <c r="G238" s="3"/>
      <c r="H238" s="3"/>
      <c r="I238" s="3"/>
    </row>
    <row r="239" spans="1:9" x14ac:dyDescent="0.25">
      <c r="A239" s="3"/>
      <c r="B239" s="3"/>
      <c r="C239" s="3"/>
      <c r="D239" s="3"/>
      <c r="E239" s="3"/>
      <c r="F239" s="3"/>
      <c r="G239" s="3"/>
      <c r="H239" s="3"/>
      <c r="I239" s="3"/>
    </row>
    <row r="240" spans="1:9" x14ac:dyDescent="0.25">
      <c r="A240" s="3"/>
      <c r="B240" s="3"/>
      <c r="C240" s="3"/>
      <c r="D240" s="3"/>
      <c r="E240" s="3"/>
      <c r="F240" s="3"/>
      <c r="G240" s="3"/>
      <c r="H240" s="3"/>
      <c r="I240" s="3"/>
    </row>
    <row r="241" spans="1:9" x14ac:dyDescent="0.25">
      <c r="A241" s="3"/>
      <c r="B241" s="3"/>
      <c r="C241" s="3"/>
      <c r="D241" s="3"/>
      <c r="E241" s="3"/>
      <c r="F241" s="3"/>
      <c r="G241" s="3"/>
      <c r="H241" s="3"/>
      <c r="I241" s="3"/>
    </row>
    <row r="242" spans="1:9" x14ac:dyDescent="0.25">
      <c r="A242" s="3"/>
      <c r="B242" s="3"/>
      <c r="C242" s="3"/>
      <c r="D242" s="3"/>
      <c r="E242" s="3"/>
      <c r="F242" s="3"/>
      <c r="G242" s="3"/>
      <c r="H242" s="3"/>
      <c r="I242" s="3"/>
    </row>
    <row r="243" spans="1:9" x14ac:dyDescent="0.25">
      <c r="A243" s="3"/>
      <c r="B243" s="3"/>
      <c r="C243" s="3"/>
      <c r="D243" s="3"/>
      <c r="E243" s="3"/>
      <c r="F243" s="3"/>
      <c r="G243" s="3"/>
      <c r="H243" s="3"/>
      <c r="I243" s="3"/>
    </row>
    <row r="244" spans="1:9" x14ac:dyDescent="0.25">
      <c r="A244" s="3"/>
      <c r="B244" s="3"/>
      <c r="C244" s="3"/>
      <c r="D244" s="3"/>
      <c r="E244" s="3"/>
      <c r="F244" s="3"/>
      <c r="G244" s="3"/>
      <c r="H244" s="3"/>
      <c r="I244" s="3"/>
    </row>
    <row r="245" spans="1:9" x14ac:dyDescent="0.25">
      <c r="A245" s="3"/>
      <c r="B245" s="3"/>
      <c r="C245" s="3"/>
      <c r="D245" s="3"/>
      <c r="E245" s="3"/>
      <c r="F245" s="3"/>
      <c r="G245" s="3"/>
      <c r="H245" s="3"/>
      <c r="I245" s="3"/>
    </row>
    <row r="246" spans="1:9" x14ac:dyDescent="0.25">
      <c r="A246" s="3"/>
      <c r="B246" s="3"/>
      <c r="C246" s="3"/>
      <c r="D246" s="3"/>
      <c r="E246" s="3"/>
      <c r="F246" s="3"/>
      <c r="G246" s="3"/>
      <c r="H246" s="3"/>
      <c r="I246" s="3"/>
    </row>
    <row r="247" spans="1:9" x14ac:dyDescent="0.25">
      <c r="A247" s="3"/>
      <c r="B247" s="3"/>
      <c r="C247" s="3"/>
      <c r="D247" s="3"/>
      <c r="E247" s="3"/>
      <c r="F247" s="3"/>
      <c r="G247" s="3"/>
      <c r="H247" s="3"/>
      <c r="I247" s="3"/>
    </row>
    <row r="248" spans="1:9" x14ac:dyDescent="0.25">
      <c r="A248" s="3"/>
      <c r="B248" s="3"/>
      <c r="C248" s="3"/>
      <c r="D248" s="3"/>
      <c r="E248" s="3"/>
      <c r="F248" s="3"/>
      <c r="G248" s="3"/>
      <c r="H248" s="3"/>
      <c r="I248" s="3"/>
    </row>
    <row r="249" spans="1:9" x14ac:dyDescent="0.25">
      <c r="A249" s="3"/>
      <c r="B249" s="3"/>
      <c r="C249" s="3"/>
      <c r="D249" s="3"/>
      <c r="E249" s="3"/>
      <c r="F249" s="3"/>
      <c r="G249" s="3"/>
      <c r="H249" s="3"/>
      <c r="I249" s="3"/>
    </row>
    <row r="250" spans="1:9" x14ac:dyDescent="0.25">
      <c r="A250" s="3"/>
      <c r="B250" s="3"/>
      <c r="C250" s="3"/>
      <c r="D250" s="3"/>
      <c r="E250" s="3"/>
      <c r="F250" s="3"/>
      <c r="G250" s="3"/>
      <c r="H250" s="3"/>
      <c r="I250" s="3"/>
    </row>
    <row r="251" spans="1:9" x14ac:dyDescent="0.25">
      <c r="A251" s="3"/>
      <c r="B251" s="3"/>
      <c r="C251" s="3"/>
      <c r="D251" s="3"/>
      <c r="E251" s="3"/>
      <c r="F251" s="3"/>
      <c r="G251" s="3"/>
      <c r="H251" s="3"/>
      <c r="I251" s="3"/>
    </row>
    <row r="252" spans="1:9" x14ac:dyDescent="0.25">
      <c r="A252" s="3"/>
      <c r="B252" s="3"/>
      <c r="C252" s="3"/>
      <c r="D252" s="3"/>
      <c r="E252" s="3"/>
      <c r="F252" s="3"/>
      <c r="G252" s="3"/>
      <c r="H252" s="3"/>
      <c r="I252" s="3"/>
    </row>
    <row r="253" spans="1:9" x14ac:dyDescent="0.25">
      <c r="A253" s="3"/>
      <c r="B253" s="3"/>
      <c r="C253" s="3"/>
      <c r="D253" s="3"/>
      <c r="E253" s="3"/>
      <c r="F253" s="3"/>
      <c r="G253" s="3"/>
      <c r="H253" s="3"/>
      <c r="I253" s="3"/>
    </row>
    <row r="254" spans="1:9" x14ac:dyDescent="0.25">
      <c r="A254" s="3"/>
      <c r="B254" s="3"/>
      <c r="C254" s="3"/>
      <c r="D254" s="3"/>
      <c r="E254" s="3"/>
      <c r="F254" s="3"/>
      <c r="G254" s="3"/>
      <c r="H254" s="3"/>
      <c r="I254" s="3"/>
    </row>
    <row r="255" spans="1:9" x14ac:dyDescent="0.25">
      <c r="A255" s="3"/>
      <c r="B255" s="3"/>
      <c r="C255" s="3"/>
      <c r="D255" s="3"/>
      <c r="E255" s="3"/>
      <c r="F255" s="3"/>
      <c r="G255" s="3"/>
      <c r="H255" s="3"/>
      <c r="I255" s="3"/>
    </row>
    <row r="256" spans="1:9" x14ac:dyDescent="0.25">
      <c r="A256" s="3"/>
      <c r="B256" s="3"/>
      <c r="C256" s="3"/>
      <c r="D256" s="3"/>
      <c r="E256" s="3"/>
      <c r="F256" s="3"/>
      <c r="G256" s="3"/>
      <c r="H256" s="3"/>
      <c r="I256" s="3"/>
    </row>
    <row r="257" spans="1:9" x14ac:dyDescent="0.25">
      <c r="A257" s="3"/>
      <c r="B257" s="3"/>
      <c r="C257" s="3"/>
      <c r="D257" s="3"/>
      <c r="E257" s="3"/>
      <c r="F257" s="3"/>
      <c r="G257" s="3"/>
      <c r="H257" s="3"/>
      <c r="I257" s="3"/>
    </row>
    <row r="258" spans="1:9" x14ac:dyDescent="0.25">
      <c r="A258" s="3"/>
      <c r="B258" s="3"/>
      <c r="C258" s="3"/>
      <c r="D258" s="3"/>
      <c r="E258" s="3"/>
      <c r="F258" s="3"/>
      <c r="G258" s="3"/>
      <c r="H258" s="3"/>
      <c r="I258" s="3"/>
    </row>
    <row r="259" spans="1:9" x14ac:dyDescent="0.25">
      <c r="A259" s="3"/>
      <c r="B259" s="3"/>
      <c r="C259" s="3"/>
      <c r="D259" s="3"/>
      <c r="E259" s="3"/>
      <c r="F259" s="3"/>
      <c r="G259" s="3"/>
      <c r="H259" s="3"/>
      <c r="I259" s="3"/>
    </row>
    <row r="260" spans="1:9" x14ac:dyDescent="0.25">
      <c r="A260" s="3"/>
      <c r="B260" s="3"/>
      <c r="C260" s="3"/>
      <c r="D260" s="3"/>
      <c r="E260" s="3"/>
      <c r="F260" s="3"/>
      <c r="G260" s="3"/>
      <c r="H260" s="3"/>
      <c r="I260" s="3"/>
    </row>
    <row r="261" spans="1:9" x14ac:dyDescent="0.25">
      <c r="A261" s="3"/>
      <c r="B261" s="3"/>
      <c r="C261" s="3"/>
      <c r="D261" s="3"/>
      <c r="E261" s="3"/>
      <c r="F261" s="3"/>
      <c r="G261" s="3"/>
      <c r="H261" s="3"/>
      <c r="I261" s="3"/>
    </row>
    <row r="262" spans="1:9" x14ac:dyDescent="0.25">
      <c r="A262" s="3"/>
      <c r="B262" s="3"/>
      <c r="C262" s="3"/>
      <c r="D262" s="3"/>
      <c r="E262" s="3"/>
      <c r="F262" s="3"/>
      <c r="G262" s="3"/>
      <c r="H262" s="3"/>
      <c r="I262" s="3"/>
    </row>
    <row r="263" spans="1:9" x14ac:dyDescent="0.25">
      <c r="A263" s="3"/>
      <c r="B263" s="3"/>
      <c r="C263" s="3"/>
      <c r="D263" s="3"/>
      <c r="E263" s="3"/>
      <c r="F263" s="3"/>
      <c r="G263" s="3"/>
      <c r="H263" s="3"/>
      <c r="I263" s="3"/>
    </row>
    <row r="264" spans="1:9" x14ac:dyDescent="0.25">
      <c r="A264" s="3"/>
      <c r="B264" s="3"/>
      <c r="C264" s="3"/>
      <c r="D264" s="3"/>
      <c r="E264" s="3"/>
      <c r="F264" s="3"/>
      <c r="G264" s="3"/>
      <c r="H264" s="3"/>
      <c r="I264" s="3"/>
    </row>
    <row r="265" spans="1:9" x14ac:dyDescent="0.25">
      <c r="A265" s="3"/>
      <c r="B265" s="3"/>
      <c r="C265" s="3"/>
      <c r="D265" s="3"/>
      <c r="E265" s="3"/>
      <c r="F265" s="3"/>
      <c r="G265" s="3"/>
      <c r="H265" s="3"/>
      <c r="I265" s="3"/>
    </row>
    <row r="266" spans="1:9" x14ac:dyDescent="0.25">
      <c r="A266" s="3"/>
      <c r="B266" s="3"/>
      <c r="C266" s="3"/>
      <c r="D266" s="3"/>
      <c r="E266" s="3"/>
      <c r="F266" s="3"/>
      <c r="G266" s="3"/>
      <c r="H266" s="3"/>
      <c r="I266" s="3"/>
    </row>
    <row r="267" spans="1:9" x14ac:dyDescent="0.25">
      <c r="A267" s="3"/>
      <c r="B267" s="3"/>
      <c r="C267" s="3"/>
      <c r="D267" s="3"/>
      <c r="E267" s="3"/>
      <c r="F267" s="3"/>
      <c r="G267" s="3"/>
      <c r="H267" s="3"/>
      <c r="I267" s="3"/>
    </row>
    <row r="268" spans="1:9" x14ac:dyDescent="0.25">
      <c r="A268" s="3"/>
      <c r="B268" s="3"/>
      <c r="C268" s="3"/>
      <c r="D268" s="3"/>
      <c r="E268" s="3"/>
      <c r="F268" s="3"/>
      <c r="G268" s="3"/>
      <c r="H268" s="3"/>
      <c r="I268" s="3"/>
    </row>
    <row r="269" spans="1:9" x14ac:dyDescent="0.25">
      <c r="A269" s="3"/>
      <c r="B269" s="3"/>
      <c r="C269" s="3"/>
      <c r="D269" s="3"/>
      <c r="E269" s="3"/>
      <c r="F269" s="3"/>
      <c r="G269" s="3"/>
      <c r="H269" s="3"/>
      <c r="I269" s="3"/>
    </row>
    <row r="270" spans="1:9" x14ac:dyDescent="0.25">
      <c r="A270" s="3"/>
      <c r="B270" s="3"/>
      <c r="C270" s="3"/>
      <c r="D270" s="3"/>
      <c r="E270" s="3"/>
      <c r="F270" s="3"/>
      <c r="G270" s="3"/>
      <c r="H270" s="3"/>
      <c r="I270" s="3"/>
    </row>
    <row r="271" spans="1:9" x14ac:dyDescent="0.25">
      <c r="A271" s="3"/>
      <c r="B271" s="3"/>
      <c r="C271" s="3"/>
      <c r="D271" s="3"/>
      <c r="E271" s="3"/>
      <c r="F271" s="3"/>
      <c r="G271" s="3"/>
      <c r="H271" s="3"/>
      <c r="I271" s="3"/>
    </row>
    <row r="272" spans="1:9" x14ac:dyDescent="0.25">
      <c r="A272" s="3"/>
      <c r="B272" s="3"/>
      <c r="C272" s="3"/>
      <c r="D272" s="3"/>
      <c r="E272" s="3"/>
      <c r="F272" s="3"/>
      <c r="G272" s="3"/>
      <c r="H272" s="3"/>
      <c r="I272" s="3"/>
    </row>
    <row r="273" spans="1:9" x14ac:dyDescent="0.25">
      <c r="A273" s="3"/>
      <c r="B273" s="3"/>
      <c r="C273" s="3"/>
      <c r="D273" s="3"/>
      <c r="E273" s="3"/>
      <c r="F273" s="3"/>
      <c r="G273" s="3"/>
      <c r="H273" s="3"/>
      <c r="I273" s="3"/>
    </row>
    <row r="274" spans="1:9" x14ac:dyDescent="0.25">
      <c r="A274" s="3"/>
      <c r="B274" s="3"/>
      <c r="C274" s="3"/>
      <c r="D274" s="3"/>
      <c r="E274" s="3"/>
      <c r="F274" s="3"/>
      <c r="G274" s="3"/>
      <c r="H274" s="3"/>
      <c r="I274" s="3"/>
    </row>
    <row r="275" spans="1:9" x14ac:dyDescent="0.25">
      <c r="A275" s="3"/>
      <c r="B275" s="3"/>
      <c r="C275" s="3"/>
      <c r="D275" s="3"/>
      <c r="E275" s="3"/>
      <c r="F275" s="3"/>
      <c r="G275" s="3"/>
      <c r="H275" s="3"/>
      <c r="I275" s="3"/>
    </row>
    <row r="276" spans="1:9" x14ac:dyDescent="0.25">
      <c r="A276" s="3"/>
      <c r="B276" s="3"/>
      <c r="C276" s="3"/>
      <c r="D276" s="3"/>
      <c r="E276" s="3"/>
      <c r="F276" s="3"/>
      <c r="G276" s="3"/>
      <c r="H276" s="3"/>
      <c r="I276" s="3"/>
    </row>
    <row r="277" spans="1:9" x14ac:dyDescent="0.25">
      <c r="A277" s="3"/>
      <c r="B277" s="3"/>
      <c r="C277" s="3"/>
      <c r="D277" s="3"/>
      <c r="E277" s="3"/>
      <c r="F277" s="3"/>
      <c r="G277" s="3"/>
      <c r="H277" s="3"/>
      <c r="I277" s="3"/>
    </row>
    <row r="278" spans="1:9" x14ac:dyDescent="0.25">
      <c r="A278" s="3"/>
      <c r="B278" s="3"/>
      <c r="C278" s="3"/>
      <c r="D278" s="3"/>
      <c r="E278" s="3"/>
      <c r="F278" s="3"/>
      <c r="G278" s="3"/>
      <c r="H278" s="3"/>
      <c r="I278" s="3"/>
    </row>
    <row r="279" spans="1:9" x14ac:dyDescent="0.25">
      <c r="A279" s="3"/>
      <c r="B279" s="3"/>
      <c r="C279" s="3"/>
      <c r="D279" s="3"/>
      <c r="E279" s="3"/>
      <c r="F279" s="3"/>
      <c r="G279" s="3"/>
      <c r="H279" s="3"/>
      <c r="I279" s="3"/>
    </row>
    <row r="280" spans="1:9" x14ac:dyDescent="0.25">
      <c r="A280" s="3"/>
      <c r="B280" s="3"/>
      <c r="C280" s="3"/>
      <c r="D280" s="3"/>
      <c r="E280" s="3"/>
      <c r="F280" s="3"/>
      <c r="G280" s="3"/>
      <c r="H280" s="3"/>
      <c r="I280" s="3"/>
    </row>
    <row r="281" spans="1:9" x14ac:dyDescent="0.25">
      <c r="A281" s="3"/>
      <c r="B281" s="3"/>
      <c r="C281" s="3"/>
      <c r="D281" s="3"/>
      <c r="E281" s="3"/>
      <c r="F281" s="3"/>
      <c r="G281" s="3"/>
      <c r="H281" s="3"/>
      <c r="I281" s="3"/>
    </row>
    <row r="282" spans="1:9" x14ac:dyDescent="0.25">
      <c r="A282" s="3"/>
      <c r="B282" s="3"/>
      <c r="C282" s="3"/>
      <c r="D282" s="3"/>
      <c r="E282" s="3"/>
      <c r="F282" s="3"/>
      <c r="G282" s="3"/>
      <c r="H282" s="3"/>
      <c r="I282" s="3"/>
    </row>
    <row r="283" spans="1:9" x14ac:dyDescent="0.25">
      <c r="A283" s="3"/>
      <c r="B283" s="3"/>
      <c r="C283" s="3"/>
      <c r="D283" s="3"/>
      <c r="E283" s="3"/>
      <c r="F283" s="3"/>
      <c r="G283" s="3"/>
      <c r="H283" s="3"/>
      <c r="I283" s="3"/>
    </row>
    <row r="284" spans="1:9" x14ac:dyDescent="0.25">
      <c r="A284" s="3"/>
      <c r="B284" s="3"/>
      <c r="C284" s="3"/>
      <c r="D284" s="3"/>
      <c r="E284" s="3"/>
      <c r="F284" s="3"/>
      <c r="G284" s="3"/>
      <c r="H284" s="3"/>
      <c r="I284" s="3"/>
    </row>
    <row r="285" spans="1:9" x14ac:dyDescent="0.25">
      <c r="A285" s="3"/>
      <c r="B285" s="3"/>
      <c r="C285" s="3"/>
      <c r="D285" s="3"/>
      <c r="E285" s="3"/>
      <c r="F285" s="3"/>
      <c r="G285" s="3"/>
      <c r="H285" s="3"/>
      <c r="I285" s="3"/>
    </row>
    <row r="286" spans="1:9" x14ac:dyDescent="0.25">
      <c r="A286" s="3"/>
      <c r="B286" s="3"/>
      <c r="C286" s="3"/>
      <c r="D286" s="3"/>
      <c r="E286" s="3"/>
      <c r="F286" s="3"/>
      <c r="G286" s="3"/>
      <c r="H286" s="3"/>
      <c r="I286" s="3"/>
    </row>
    <row r="287" spans="1:9" x14ac:dyDescent="0.25">
      <c r="A287" s="3"/>
      <c r="B287" s="3"/>
      <c r="C287" s="3"/>
      <c r="D287" s="3"/>
      <c r="E287" s="3"/>
      <c r="F287" s="3"/>
      <c r="G287" s="3"/>
      <c r="H287" s="3"/>
      <c r="I287" s="3"/>
    </row>
    <row r="288" spans="1:9" x14ac:dyDescent="0.25">
      <c r="A288" s="3"/>
      <c r="B288" s="3"/>
      <c r="C288" s="3"/>
      <c r="D288" s="3"/>
      <c r="E288" s="3"/>
      <c r="F288" s="3"/>
      <c r="G288" s="3"/>
      <c r="H288" s="3"/>
      <c r="I288" s="3"/>
    </row>
    <row r="289" spans="1:9" x14ac:dyDescent="0.25">
      <c r="A289" s="3"/>
      <c r="B289" s="3"/>
      <c r="C289" s="3"/>
      <c r="D289" s="3"/>
      <c r="E289" s="3"/>
      <c r="F289" s="3"/>
      <c r="G289" s="3"/>
      <c r="H289" s="3"/>
      <c r="I289" s="3"/>
    </row>
    <row r="290" spans="1:9" x14ac:dyDescent="0.25">
      <c r="A290" s="3"/>
      <c r="B290" s="3"/>
      <c r="C290" s="3"/>
      <c r="D290" s="3"/>
      <c r="E290" s="3"/>
      <c r="F290" s="3"/>
      <c r="G290" s="3"/>
      <c r="H290" s="3"/>
      <c r="I290" s="3"/>
    </row>
    <row r="291" spans="1:9" x14ac:dyDescent="0.25">
      <c r="A291" s="3"/>
      <c r="B291" s="3"/>
      <c r="C291" s="3"/>
      <c r="D291" s="3"/>
      <c r="E291" s="3"/>
      <c r="F291" s="3"/>
      <c r="G291" s="3"/>
      <c r="H291" s="3"/>
      <c r="I291" s="3"/>
    </row>
    <row r="292" spans="1:9" x14ac:dyDescent="0.25">
      <c r="A292" s="3"/>
      <c r="B292" s="3"/>
      <c r="C292" s="3"/>
      <c r="D292" s="3"/>
      <c r="E292" s="3"/>
      <c r="F292" s="3"/>
      <c r="G292" s="3"/>
      <c r="H292" s="3"/>
      <c r="I292" s="3"/>
    </row>
    <row r="293" spans="1:9" x14ac:dyDescent="0.25">
      <c r="A293" s="3"/>
      <c r="B293" s="3"/>
      <c r="C293" s="3"/>
      <c r="D293" s="3"/>
      <c r="E293" s="3"/>
      <c r="F293" s="3"/>
      <c r="G293" s="3"/>
      <c r="H293" s="3"/>
      <c r="I293" s="3"/>
    </row>
    <row r="294" spans="1:9" x14ac:dyDescent="0.25">
      <c r="A294" s="3"/>
      <c r="B294" s="3"/>
      <c r="C294" s="3"/>
      <c r="D294" s="3"/>
      <c r="E294" s="3"/>
      <c r="F294" s="3"/>
      <c r="G294" s="3"/>
      <c r="H294" s="3"/>
      <c r="I294" s="3"/>
    </row>
    <row r="295" spans="1:9" x14ac:dyDescent="0.25">
      <c r="A295" s="3"/>
      <c r="B295" s="3"/>
      <c r="C295" s="3"/>
      <c r="D295" s="3"/>
      <c r="E295" s="3"/>
      <c r="F295" s="3"/>
      <c r="G295" s="3"/>
      <c r="H295" s="3"/>
      <c r="I295" s="3"/>
    </row>
    <row r="296" spans="1:9" x14ac:dyDescent="0.25">
      <c r="A296" s="3"/>
      <c r="B296" s="3"/>
      <c r="C296" s="3"/>
      <c r="D296" s="3"/>
      <c r="E296" s="3"/>
      <c r="F296" s="3"/>
      <c r="G296" s="3"/>
      <c r="H296" s="3"/>
      <c r="I296" s="3"/>
    </row>
    <row r="297" spans="1:9" x14ac:dyDescent="0.25">
      <c r="A297" s="3"/>
      <c r="B297" s="3"/>
      <c r="C297" s="3"/>
      <c r="D297" s="3"/>
      <c r="E297" s="3"/>
      <c r="F297" s="3"/>
      <c r="G297" s="3"/>
      <c r="H297" s="3"/>
      <c r="I297" s="3"/>
    </row>
    <row r="298" spans="1:9" x14ac:dyDescent="0.25">
      <c r="A298" s="3"/>
      <c r="B298" s="3"/>
      <c r="C298" s="3"/>
      <c r="D298" s="3"/>
      <c r="E298" s="3"/>
      <c r="F298" s="3"/>
      <c r="G298" s="3"/>
      <c r="H298" s="3"/>
      <c r="I298" s="3"/>
    </row>
    <row r="299" spans="1:9" x14ac:dyDescent="0.25">
      <c r="A299" s="3"/>
      <c r="B299" s="3"/>
      <c r="C299" s="3"/>
      <c r="D299" s="3"/>
      <c r="E299" s="3"/>
      <c r="F299" s="3"/>
      <c r="G299" s="3"/>
      <c r="H299" s="3"/>
      <c r="I299" s="3"/>
    </row>
    <row r="300" spans="1:9" x14ac:dyDescent="0.25">
      <c r="A300" s="3"/>
      <c r="B300" s="3"/>
      <c r="C300" s="3"/>
      <c r="D300" s="3"/>
      <c r="E300" s="3"/>
      <c r="F300" s="3"/>
      <c r="G300" s="3"/>
      <c r="H300" s="3"/>
      <c r="I300" s="3"/>
    </row>
    <row r="301" spans="1:9" x14ac:dyDescent="0.25">
      <c r="A301" s="3"/>
      <c r="B301" s="3"/>
      <c r="C301" s="3"/>
      <c r="D301" s="3"/>
      <c r="E301" s="3"/>
      <c r="F301" s="3"/>
      <c r="G301" s="3"/>
      <c r="H301" s="3"/>
      <c r="I301" s="3"/>
    </row>
    <row r="302" spans="1:9" x14ac:dyDescent="0.25">
      <c r="A302" s="3"/>
      <c r="B302" s="3"/>
      <c r="C302" s="3"/>
      <c r="D302" s="3"/>
      <c r="E302" s="3"/>
      <c r="F302" s="3"/>
      <c r="G302" s="3"/>
      <c r="H302" s="3"/>
      <c r="I302" s="3"/>
    </row>
    <row r="303" spans="1:9" x14ac:dyDescent="0.25">
      <c r="A303" s="3"/>
      <c r="B303" s="3"/>
      <c r="C303" s="3"/>
      <c r="D303" s="3"/>
      <c r="E303" s="3"/>
      <c r="F303" s="3"/>
      <c r="G303" s="3"/>
      <c r="H303" s="3"/>
      <c r="I303" s="3"/>
    </row>
    <row r="304" spans="1:9" x14ac:dyDescent="0.25">
      <c r="A304" s="3"/>
      <c r="B304" s="3"/>
      <c r="C304" s="3"/>
      <c r="D304" s="3"/>
      <c r="E304" s="3"/>
      <c r="F304" s="3"/>
      <c r="G304" s="3"/>
      <c r="H304" s="3"/>
      <c r="I304" s="3"/>
    </row>
    <row r="305" spans="1:9" x14ac:dyDescent="0.25">
      <c r="A305" s="3"/>
      <c r="B305" s="3"/>
      <c r="C305" s="3"/>
      <c r="D305" s="3"/>
      <c r="E305" s="3"/>
      <c r="F305" s="3"/>
      <c r="G305" s="3"/>
      <c r="H305" s="3"/>
      <c r="I305" s="3"/>
    </row>
    <row r="306" spans="1:9" x14ac:dyDescent="0.25">
      <c r="A306" s="3"/>
      <c r="B306" s="3"/>
      <c r="C306" s="3"/>
      <c r="D306" s="3"/>
      <c r="E306" s="3"/>
      <c r="F306" s="3"/>
      <c r="G306" s="3"/>
      <c r="H306" s="3"/>
      <c r="I306" s="3"/>
    </row>
    <row r="307" spans="1:9" x14ac:dyDescent="0.25">
      <c r="A307" s="3"/>
      <c r="B307" s="3"/>
      <c r="C307" s="3"/>
      <c r="D307" s="3"/>
      <c r="E307" s="3"/>
      <c r="F307" s="3"/>
      <c r="G307" s="3"/>
      <c r="H307" s="3"/>
      <c r="I307" s="3"/>
    </row>
    <row r="308" spans="1:9" x14ac:dyDescent="0.25">
      <c r="A308" s="3"/>
      <c r="B308" s="3"/>
      <c r="C308" s="3"/>
      <c r="D308" s="3"/>
      <c r="E308" s="3"/>
      <c r="F308" s="3"/>
      <c r="G308" s="3"/>
      <c r="H308" s="3"/>
      <c r="I308" s="3"/>
    </row>
    <row r="309" spans="1:9" x14ac:dyDescent="0.25">
      <c r="A309" s="3"/>
      <c r="B309" s="3"/>
      <c r="C309" s="3"/>
      <c r="D309" s="3"/>
      <c r="E309" s="3"/>
      <c r="F309" s="3"/>
      <c r="G309" s="3"/>
      <c r="H309" s="3"/>
      <c r="I309" s="3"/>
    </row>
    <row r="310" spans="1:9" x14ac:dyDescent="0.25">
      <c r="A310" s="3"/>
      <c r="B310" s="3"/>
      <c r="C310" s="3"/>
      <c r="D310" s="3"/>
      <c r="E310" s="3"/>
      <c r="F310" s="3"/>
      <c r="G310" s="3"/>
      <c r="H310" s="3"/>
      <c r="I310" s="3"/>
    </row>
    <row r="311" spans="1:9" x14ac:dyDescent="0.25">
      <c r="A311" s="3"/>
      <c r="B311" s="3"/>
      <c r="C311" s="3"/>
      <c r="D311" s="3"/>
      <c r="E311" s="3"/>
      <c r="F311" s="3"/>
      <c r="G311" s="3"/>
      <c r="H311" s="3"/>
      <c r="I311" s="3"/>
    </row>
    <row r="312" spans="1:9" x14ac:dyDescent="0.25">
      <c r="A312" s="3"/>
      <c r="B312" s="3"/>
      <c r="C312" s="3"/>
      <c r="D312" s="3"/>
      <c r="E312" s="3"/>
      <c r="F312" s="3"/>
      <c r="G312" s="3"/>
      <c r="H312" s="3"/>
      <c r="I312" s="3"/>
    </row>
    <row r="313" spans="1:9" x14ac:dyDescent="0.25">
      <c r="A313" s="3"/>
      <c r="B313" s="3"/>
      <c r="C313" s="3"/>
      <c r="D313" s="3"/>
      <c r="E313" s="3"/>
      <c r="F313" s="3"/>
      <c r="G313" s="3"/>
      <c r="H313" s="3"/>
      <c r="I313" s="3"/>
    </row>
    <row r="314" spans="1:9" x14ac:dyDescent="0.25">
      <c r="A314" s="3"/>
      <c r="B314" s="3"/>
      <c r="C314" s="3"/>
      <c r="D314" s="3"/>
      <c r="E314" s="3"/>
      <c r="F314" s="3"/>
      <c r="G314" s="3"/>
      <c r="H314" s="3"/>
      <c r="I314" s="3"/>
    </row>
    <row r="315" spans="1:9" x14ac:dyDescent="0.25">
      <c r="A315" s="3"/>
      <c r="B315" s="3"/>
      <c r="C315" s="3"/>
      <c r="D315" s="3"/>
      <c r="E315" s="3"/>
      <c r="F315" s="3"/>
      <c r="G315" s="3"/>
      <c r="H315" s="3"/>
      <c r="I315" s="3"/>
    </row>
    <row r="316" spans="1:9" x14ac:dyDescent="0.25">
      <c r="A316" s="3"/>
      <c r="B316" s="3"/>
      <c r="C316" s="3"/>
      <c r="D316" s="3"/>
      <c r="E316" s="3"/>
      <c r="F316" s="3"/>
      <c r="G316" s="3"/>
      <c r="H316" s="3"/>
      <c r="I316" s="3"/>
    </row>
    <row r="317" spans="1:9" x14ac:dyDescent="0.25">
      <c r="A317" s="3"/>
      <c r="B317" s="3"/>
      <c r="C317" s="3"/>
      <c r="D317" s="3"/>
      <c r="E317" s="3"/>
      <c r="F317" s="3"/>
      <c r="G317" s="3"/>
      <c r="H317" s="3"/>
      <c r="I317" s="3"/>
    </row>
    <row r="318" spans="1:9" x14ac:dyDescent="0.25">
      <c r="A318" s="3"/>
      <c r="B318" s="3"/>
      <c r="C318" s="3"/>
      <c r="D318" s="3"/>
      <c r="E318" s="3"/>
      <c r="F318" s="3"/>
      <c r="G318" s="3"/>
      <c r="H318" s="3"/>
      <c r="I318" s="3"/>
    </row>
    <row r="319" spans="1:9" x14ac:dyDescent="0.25">
      <c r="A319" s="3"/>
      <c r="B319" s="3"/>
      <c r="C319" s="3"/>
      <c r="D319" s="3"/>
      <c r="E319" s="3"/>
      <c r="F319" s="3"/>
      <c r="G319" s="3"/>
      <c r="H319" s="3"/>
      <c r="I319" s="3"/>
    </row>
    <row r="320" spans="1:9" x14ac:dyDescent="0.25">
      <c r="A320" s="3"/>
      <c r="B320" s="3"/>
      <c r="C320" s="3"/>
      <c r="D320" s="3"/>
      <c r="E320" s="3"/>
      <c r="F320" s="3"/>
      <c r="G320" s="3"/>
      <c r="H320" s="3"/>
      <c r="I320" s="3"/>
    </row>
    <row r="321" spans="1:9" x14ac:dyDescent="0.25">
      <c r="A321" s="3"/>
      <c r="B321" s="3"/>
      <c r="C321" s="3"/>
      <c r="D321" s="3"/>
      <c r="E321" s="3"/>
      <c r="F321" s="3"/>
      <c r="G321" s="3"/>
      <c r="H321" s="3"/>
      <c r="I321" s="3"/>
    </row>
    <row r="322" spans="1:9" x14ac:dyDescent="0.25">
      <c r="A322" s="3"/>
      <c r="B322" s="3"/>
      <c r="C322" s="3"/>
      <c r="D322" s="3"/>
      <c r="E322" s="3"/>
      <c r="F322" s="3"/>
      <c r="G322" s="3"/>
      <c r="H322" s="3"/>
      <c r="I322" s="3"/>
    </row>
    <row r="323" spans="1:9" x14ac:dyDescent="0.25">
      <c r="A323" s="3"/>
      <c r="B323" s="3"/>
      <c r="C323" s="3"/>
      <c r="D323" s="3"/>
      <c r="E323" s="3"/>
      <c r="F323" s="3"/>
      <c r="G323" s="3"/>
      <c r="H323" s="3"/>
      <c r="I323" s="3"/>
    </row>
    <row r="324" spans="1:9" x14ac:dyDescent="0.25">
      <c r="A324" s="3"/>
      <c r="B324" s="3"/>
      <c r="C324" s="3"/>
      <c r="D324" s="3"/>
      <c r="E324" s="3"/>
      <c r="F324" s="3"/>
      <c r="G324" s="3"/>
      <c r="H324" s="3"/>
      <c r="I324" s="3"/>
    </row>
    <row r="325" spans="1:9" x14ac:dyDescent="0.25">
      <c r="A325" s="3"/>
      <c r="B325" s="3"/>
      <c r="C325" s="3"/>
      <c r="D325" s="3"/>
      <c r="E325" s="3"/>
      <c r="F325" s="3"/>
      <c r="G325" s="3"/>
      <c r="H325" s="3"/>
      <c r="I325" s="3"/>
    </row>
    <row r="326" spans="1:9" x14ac:dyDescent="0.25">
      <c r="A326" s="3"/>
      <c r="B326" s="3"/>
      <c r="C326" s="3"/>
      <c r="D326" s="3"/>
      <c r="E326" s="3"/>
      <c r="F326" s="3"/>
      <c r="G326" s="3"/>
      <c r="H326" s="3"/>
      <c r="I326" s="3"/>
    </row>
    <row r="327" spans="1:9" x14ac:dyDescent="0.25">
      <c r="A327" s="3"/>
      <c r="B327" s="3"/>
      <c r="C327" s="3"/>
      <c r="D327" s="3"/>
      <c r="E327" s="3"/>
      <c r="F327" s="3"/>
      <c r="G327" s="3"/>
      <c r="H327" s="3"/>
      <c r="I327" s="3"/>
    </row>
    <row r="328" spans="1:9" x14ac:dyDescent="0.25">
      <c r="A328" s="3"/>
      <c r="B328" s="3"/>
      <c r="C328" s="3"/>
      <c r="D328" s="3"/>
      <c r="E328" s="3"/>
      <c r="F328" s="3"/>
      <c r="G328" s="3"/>
      <c r="H328" s="3"/>
      <c r="I328" s="3"/>
    </row>
    <row r="329" spans="1:9" x14ac:dyDescent="0.25">
      <c r="A329" s="3"/>
      <c r="B329" s="3"/>
      <c r="C329" s="3"/>
      <c r="D329" s="3"/>
      <c r="E329" s="3"/>
      <c r="F329" s="3"/>
      <c r="G329" s="3"/>
      <c r="H329" s="3"/>
      <c r="I329" s="3"/>
    </row>
    <row r="330" spans="1:9" x14ac:dyDescent="0.25">
      <c r="A330" s="3"/>
      <c r="B330" s="3"/>
      <c r="C330" s="3"/>
      <c r="D330" s="3"/>
      <c r="E330" s="3"/>
      <c r="F330" s="3"/>
      <c r="G330" s="3"/>
      <c r="H330" s="3"/>
      <c r="I330" s="3"/>
    </row>
    <row r="331" spans="1:9" x14ac:dyDescent="0.25">
      <c r="A331" s="3"/>
      <c r="B331" s="3"/>
      <c r="C331" s="3"/>
      <c r="D331" s="3"/>
      <c r="E331" s="3"/>
      <c r="F331" s="3"/>
      <c r="G331" s="3"/>
      <c r="H331" s="3"/>
      <c r="I331" s="3"/>
    </row>
    <row r="332" spans="1:9" x14ac:dyDescent="0.25">
      <c r="A332" s="3"/>
      <c r="B332" s="3"/>
      <c r="C332" s="3"/>
      <c r="D332" s="3"/>
      <c r="E332" s="3"/>
      <c r="F332" s="3"/>
      <c r="G332" s="3"/>
      <c r="H332" s="3"/>
      <c r="I332" s="3"/>
    </row>
    <row r="333" spans="1:9" x14ac:dyDescent="0.25">
      <c r="A333" s="3"/>
      <c r="B333" s="3"/>
      <c r="C333" s="3"/>
      <c r="D333" s="3"/>
      <c r="E333" s="3"/>
      <c r="F333" s="3"/>
      <c r="G333" s="3"/>
      <c r="H333" s="3"/>
      <c r="I333" s="3"/>
    </row>
    <row r="334" spans="1:9" x14ac:dyDescent="0.25">
      <c r="A334" s="3"/>
      <c r="B334" s="3"/>
      <c r="C334" s="3"/>
      <c r="D334" s="3"/>
      <c r="E334" s="3"/>
      <c r="F334" s="3"/>
      <c r="G334" s="3"/>
      <c r="H334" s="3"/>
      <c r="I334" s="3"/>
    </row>
    <row r="335" spans="1:9" x14ac:dyDescent="0.25">
      <c r="A335" s="3"/>
      <c r="B335" s="3"/>
      <c r="C335" s="3"/>
      <c r="D335" s="3"/>
      <c r="E335" s="3"/>
      <c r="F335" s="3"/>
      <c r="G335" s="3"/>
      <c r="H335" s="3"/>
      <c r="I335" s="3"/>
    </row>
    <row r="336" spans="1:9" x14ac:dyDescent="0.25">
      <c r="A336" s="3"/>
      <c r="B336" s="3"/>
      <c r="C336" s="3"/>
      <c r="D336" s="3"/>
      <c r="E336" s="3"/>
      <c r="F336" s="3"/>
      <c r="G336" s="3"/>
      <c r="H336" s="3"/>
      <c r="I336" s="3"/>
    </row>
    <row r="337" spans="1:9" x14ac:dyDescent="0.25">
      <c r="A337" s="3"/>
      <c r="B337" s="3"/>
      <c r="C337" s="3"/>
      <c r="D337" s="3"/>
      <c r="E337" s="3"/>
      <c r="F337" s="3"/>
      <c r="G337" s="3"/>
      <c r="H337" s="3"/>
      <c r="I337" s="3"/>
    </row>
    <row r="338" spans="1:9" x14ac:dyDescent="0.25">
      <c r="A338" s="3"/>
      <c r="B338" s="3"/>
      <c r="C338" s="3"/>
      <c r="D338" s="3"/>
      <c r="E338" s="3"/>
      <c r="F338" s="3"/>
      <c r="G338" s="3"/>
      <c r="H338" s="3"/>
      <c r="I338" s="3"/>
    </row>
    <row r="339" spans="1:9" x14ac:dyDescent="0.25">
      <c r="A339" s="3"/>
      <c r="B339" s="3"/>
      <c r="C339" s="3"/>
      <c r="D339" s="3"/>
      <c r="E339" s="3"/>
      <c r="F339" s="3"/>
      <c r="G339" s="3"/>
      <c r="H339" s="3"/>
      <c r="I339" s="3"/>
    </row>
    <row r="340" spans="1:9" x14ac:dyDescent="0.25">
      <c r="A340" s="3"/>
      <c r="B340" s="3"/>
      <c r="C340" s="3"/>
      <c r="D340" s="3"/>
      <c r="E340" s="3"/>
      <c r="F340" s="3"/>
      <c r="G340" s="3"/>
      <c r="H340" s="3"/>
      <c r="I340" s="3"/>
    </row>
    <row r="341" spans="1:9" x14ac:dyDescent="0.25">
      <c r="A341" s="3"/>
      <c r="B341" s="3"/>
      <c r="C341" s="3"/>
      <c r="D341" s="3"/>
      <c r="E341" s="3"/>
      <c r="F341" s="3"/>
      <c r="G341" s="3"/>
      <c r="H341" s="3"/>
      <c r="I341" s="3"/>
    </row>
    <row r="342" spans="1:9" x14ac:dyDescent="0.25">
      <c r="A342" s="3"/>
      <c r="B342" s="3"/>
      <c r="C342" s="3"/>
      <c r="D342" s="3"/>
      <c r="E342" s="3"/>
      <c r="F342" s="3"/>
      <c r="G342" s="3"/>
      <c r="H342" s="3"/>
      <c r="I342" s="3"/>
    </row>
    <row r="343" spans="1:9" x14ac:dyDescent="0.25">
      <c r="A343" s="3"/>
      <c r="B343" s="3"/>
      <c r="C343" s="3"/>
      <c r="D343" s="3"/>
      <c r="E343" s="3"/>
      <c r="F343" s="3"/>
      <c r="G343" s="3"/>
      <c r="H343" s="3"/>
      <c r="I343" s="3"/>
    </row>
    <row r="344" spans="1:9" x14ac:dyDescent="0.25">
      <c r="A344" s="3"/>
      <c r="B344" s="3"/>
      <c r="C344" s="3"/>
      <c r="D344" s="3"/>
      <c r="E344" s="3"/>
      <c r="F344" s="3"/>
      <c r="G344" s="3"/>
      <c r="H344" s="3"/>
      <c r="I344" s="3"/>
    </row>
    <row r="345" spans="1:9" x14ac:dyDescent="0.25">
      <c r="A345" s="3"/>
      <c r="B345" s="3"/>
      <c r="C345" s="3"/>
      <c r="D345" s="3"/>
      <c r="E345" s="3"/>
      <c r="F345" s="3"/>
      <c r="G345" s="3"/>
      <c r="H345" s="3"/>
      <c r="I345" s="3"/>
    </row>
    <row r="346" spans="1:9" x14ac:dyDescent="0.25">
      <c r="A346" s="3"/>
      <c r="B346" s="3"/>
      <c r="C346" s="3"/>
      <c r="D346" s="3"/>
      <c r="E346" s="3"/>
      <c r="F346" s="3"/>
      <c r="G346" s="3"/>
      <c r="H346" s="3"/>
      <c r="I346" s="3"/>
    </row>
    <row r="347" spans="1:9" x14ac:dyDescent="0.25">
      <c r="A347" s="3"/>
      <c r="B347" s="3"/>
      <c r="C347" s="3"/>
      <c r="D347" s="3"/>
      <c r="E347" s="3"/>
      <c r="F347" s="3"/>
      <c r="G347" s="3"/>
      <c r="H347" s="3"/>
      <c r="I347" s="3"/>
    </row>
    <row r="348" spans="1:9" x14ac:dyDescent="0.25">
      <c r="A348" s="3"/>
      <c r="B348" s="3"/>
      <c r="C348" s="3"/>
      <c r="D348" s="3"/>
      <c r="E348" s="3"/>
      <c r="F348" s="3"/>
      <c r="G348" s="3"/>
      <c r="H348" s="3"/>
      <c r="I348" s="3"/>
    </row>
    <row r="349" spans="1:9" x14ac:dyDescent="0.25">
      <c r="A349" s="3"/>
      <c r="B349" s="3"/>
      <c r="C349" s="3"/>
      <c r="D349" s="3"/>
      <c r="E349" s="3"/>
      <c r="F349" s="3"/>
      <c r="G349" s="3"/>
      <c r="H349" s="3"/>
      <c r="I349" s="3"/>
    </row>
    <row r="350" spans="1:9" x14ac:dyDescent="0.25">
      <c r="A350" s="3"/>
      <c r="B350" s="3"/>
      <c r="C350" s="3"/>
      <c r="D350" s="3"/>
      <c r="E350" s="3"/>
      <c r="F350" s="3"/>
      <c r="G350" s="3"/>
      <c r="H350" s="3"/>
      <c r="I350" s="3"/>
    </row>
    <row r="351" spans="1:9" x14ac:dyDescent="0.25">
      <c r="A351" s="3"/>
      <c r="B351" s="3"/>
      <c r="C351" s="3"/>
      <c r="D351" s="3"/>
      <c r="E351" s="3"/>
      <c r="F351" s="3"/>
      <c r="G351" s="3"/>
      <c r="H351" s="3"/>
      <c r="I351" s="3"/>
    </row>
    <row r="352" spans="1:9" x14ac:dyDescent="0.25">
      <c r="A352" s="3"/>
      <c r="B352" s="3"/>
      <c r="C352" s="3"/>
      <c r="D352" s="3"/>
      <c r="E352" s="3"/>
      <c r="F352" s="3"/>
      <c r="G352" s="3"/>
      <c r="H352" s="3"/>
      <c r="I352" s="3"/>
    </row>
    <row r="353" spans="1:9" x14ac:dyDescent="0.25">
      <c r="A353" s="3"/>
      <c r="B353" s="3"/>
      <c r="C353" s="3"/>
      <c r="D353" s="3"/>
      <c r="E353" s="3"/>
      <c r="F353" s="3"/>
      <c r="G353" s="3"/>
      <c r="H353" s="3"/>
      <c r="I353" s="3"/>
    </row>
    <row r="354" spans="1:9" x14ac:dyDescent="0.25">
      <c r="A354" s="3"/>
      <c r="B354" s="3"/>
      <c r="C354" s="3"/>
      <c r="D354" s="3"/>
      <c r="E354" s="3"/>
      <c r="F354" s="3"/>
      <c r="G354" s="3"/>
      <c r="H354" s="3"/>
      <c r="I354" s="3"/>
    </row>
    <row r="355" spans="1:9" x14ac:dyDescent="0.25">
      <c r="A355" s="3"/>
      <c r="B355" s="3"/>
      <c r="C355" s="3"/>
      <c r="D355" s="3"/>
      <c r="E355" s="3"/>
      <c r="F355" s="3"/>
      <c r="G355" s="3"/>
      <c r="H355" s="3"/>
      <c r="I355" s="3"/>
    </row>
    <row r="356" spans="1:9" x14ac:dyDescent="0.25">
      <c r="A356" s="3"/>
      <c r="B356" s="3"/>
      <c r="C356" s="3"/>
      <c r="D356" s="3"/>
      <c r="E356" s="3"/>
      <c r="F356" s="3"/>
      <c r="G356" s="3"/>
      <c r="H356" s="3"/>
      <c r="I356" s="3"/>
    </row>
    <row r="357" spans="1:9" x14ac:dyDescent="0.25">
      <c r="A357" s="3"/>
      <c r="B357" s="3"/>
      <c r="C357" s="3"/>
      <c r="D357" s="3"/>
      <c r="E357" s="3"/>
      <c r="F357" s="3"/>
      <c r="G357" s="3"/>
      <c r="H357" s="3"/>
      <c r="I357" s="3"/>
    </row>
    <row r="358" spans="1:9" x14ac:dyDescent="0.25">
      <c r="A358" s="3"/>
      <c r="B358" s="3"/>
      <c r="C358" s="3"/>
      <c r="D358" s="3"/>
      <c r="E358" s="3"/>
      <c r="F358" s="3"/>
      <c r="G358" s="3"/>
      <c r="H358" s="3"/>
      <c r="I358" s="3"/>
    </row>
    <row r="359" spans="1:9" x14ac:dyDescent="0.25">
      <c r="A359" s="3"/>
      <c r="B359" s="3"/>
      <c r="C359" s="3"/>
      <c r="D359" s="3"/>
      <c r="E359" s="3"/>
      <c r="F359" s="3"/>
      <c r="G359" s="3"/>
      <c r="H359" s="3"/>
      <c r="I359" s="3"/>
    </row>
    <row r="360" spans="1:9" x14ac:dyDescent="0.25">
      <c r="A360" s="3"/>
      <c r="B360" s="3"/>
      <c r="C360" s="3"/>
      <c r="D360" s="3"/>
      <c r="E360" s="3"/>
      <c r="F360" s="3"/>
      <c r="G360" s="3"/>
      <c r="H360" s="3"/>
      <c r="I360" s="3"/>
    </row>
    <row r="361" spans="1:9" x14ac:dyDescent="0.25">
      <c r="A361" s="3"/>
      <c r="B361" s="3"/>
      <c r="C361" s="3"/>
      <c r="D361" s="3"/>
      <c r="E361" s="3"/>
      <c r="F361" s="3"/>
      <c r="G361" s="3"/>
      <c r="H361" s="3"/>
      <c r="I361" s="3"/>
    </row>
    <row r="362" spans="1:9" x14ac:dyDescent="0.25">
      <c r="A362" s="3"/>
      <c r="B362" s="3"/>
      <c r="C362" s="3"/>
      <c r="D362" s="3"/>
      <c r="E362" s="3"/>
      <c r="F362" s="3"/>
      <c r="G362" s="3"/>
      <c r="H362" s="3"/>
      <c r="I362" s="3"/>
    </row>
    <row r="363" spans="1:9" x14ac:dyDescent="0.25">
      <c r="A363" s="3"/>
      <c r="B363" s="3"/>
      <c r="C363" s="3"/>
      <c r="D363" s="3"/>
      <c r="E363" s="3"/>
      <c r="F363" s="3"/>
      <c r="G363" s="3"/>
      <c r="H363" s="3"/>
      <c r="I363" s="3"/>
    </row>
    <row r="364" spans="1:9" x14ac:dyDescent="0.25">
      <c r="A364" s="3"/>
      <c r="B364" s="3"/>
      <c r="C364" s="3"/>
      <c r="D364" s="3"/>
      <c r="E364" s="3"/>
      <c r="F364" s="3"/>
      <c r="G364" s="3"/>
      <c r="H364" s="3"/>
      <c r="I364" s="3"/>
    </row>
    <row r="365" spans="1:9" x14ac:dyDescent="0.25">
      <c r="A365" s="3"/>
      <c r="B365" s="3"/>
      <c r="C365" s="3"/>
      <c r="D365" s="3"/>
      <c r="E365" s="3"/>
      <c r="F365" s="3"/>
      <c r="G365" s="3"/>
      <c r="H365" s="3"/>
      <c r="I365" s="3"/>
    </row>
    <row r="366" spans="1:9" x14ac:dyDescent="0.25">
      <c r="A366" s="3"/>
      <c r="B366" s="3"/>
      <c r="C366" s="3"/>
      <c r="D366" s="3"/>
      <c r="E366" s="3"/>
      <c r="F366" s="3"/>
      <c r="G366" s="3"/>
      <c r="H366" s="3"/>
      <c r="I366" s="3"/>
    </row>
    <row r="367" spans="1:9" x14ac:dyDescent="0.25">
      <c r="A367" s="3"/>
      <c r="B367" s="3"/>
      <c r="C367" s="3"/>
      <c r="D367" s="3"/>
      <c r="E367" s="3"/>
      <c r="F367" s="3"/>
      <c r="G367" s="3"/>
      <c r="H367" s="3"/>
      <c r="I367" s="3"/>
    </row>
    <row r="368" spans="1:9" x14ac:dyDescent="0.25">
      <c r="A368" s="3"/>
      <c r="B368" s="3"/>
      <c r="C368" s="3"/>
      <c r="D368" s="3"/>
      <c r="E368" s="3"/>
      <c r="F368" s="3"/>
      <c r="G368" s="3"/>
      <c r="H368" s="3"/>
      <c r="I368" s="3"/>
    </row>
    <row r="369" spans="1:9" x14ac:dyDescent="0.25">
      <c r="A369" s="3"/>
      <c r="B369" s="3"/>
      <c r="C369" s="3"/>
      <c r="D369" s="3"/>
      <c r="E369" s="3"/>
      <c r="F369" s="3"/>
      <c r="G369" s="3"/>
      <c r="H369" s="3"/>
      <c r="I369" s="3"/>
    </row>
    <row r="370" spans="1:9" x14ac:dyDescent="0.25">
      <c r="A370" s="3"/>
      <c r="B370" s="3"/>
      <c r="C370" s="3"/>
      <c r="D370" s="3"/>
      <c r="E370" s="3"/>
      <c r="F370" s="3"/>
      <c r="G370" s="3"/>
      <c r="H370" s="3"/>
      <c r="I370" s="3"/>
    </row>
    <row r="371" spans="1:9" x14ac:dyDescent="0.25">
      <c r="A371" s="3"/>
      <c r="B371" s="3"/>
      <c r="C371" s="3"/>
      <c r="D371" s="3"/>
      <c r="E371" s="3"/>
      <c r="F371" s="3"/>
      <c r="G371" s="3"/>
      <c r="H371" s="3"/>
      <c r="I371" s="3"/>
    </row>
    <row r="372" spans="1:9" x14ac:dyDescent="0.25">
      <c r="A372" s="3"/>
      <c r="B372" s="3"/>
      <c r="C372" s="3"/>
      <c r="D372" s="3"/>
      <c r="E372" s="3"/>
      <c r="F372" s="3"/>
      <c r="G372" s="3"/>
      <c r="H372" s="3"/>
      <c r="I372" s="3"/>
    </row>
    <row r="373" spans="1:9" x14ac:dyDescent="0.25">
      <c r="A373" s="3"/>
      <c r="B373" s="3"/>
      <c r="C373" s="3"/>
      <c r="D373" s="3"/>
      <c r="E373" s="3"/>
      <c r="F373" s="3"/>
      <c r="G373" s="3"/>
      <c r="H373" s="3"/>
      <c r="I373" s="3"/>
    </row>
    <row r="374" spans="1:9" x14ac:dyDescent="0.25">
      <c r="A374" s="3"/>
      <c r="B374" s="3"/>
      <c r="C374" s="3"/>
      <c r="D374" s="3"/>
      <c r="E374" s="3"/>
      <c r="F374" s="3"/>
      <c r="G374" s="3"/>
      <c r="H374" s="3"/>
      <c r="I374" s="3"/>
    </row>
    <row r="375" spans="1:9" x14ac:dyDescent="0.25">
      <c r="A375" s="3"/>
      <c r="B375" s="3"/>
      <c r="C375" s="3"/>
      <c r="D375" s="3"/>
      <c r="E375" s="3"/>
      <c r="F375" s="3"/>
      <c r="G375" s="3"/>
      <c r="H375" s="3"/>
      <c r="I375" s="3"/>
    </row>
    <row r="376" spans="1:9" x14ac:dyDescent="0.25">
      <c r="A376" s="3"/>
      <c r="B376" s="3"/>
      <c r="C376" s="3"/>
      <c r="D376" s="3"/>
      <c r="E376" s="3"/>
      <c r="F376" s="3"/>
      <c r="G376" s="3"/>
      <c r="H376" s="3"/>
      <c r="I376" s="3"/>
    </row>
    <row r="377" spans="1:9" x14ac:dyDescent="0.25">
      <c r="A377" s="3"/>
      <c r="B377" s="3"/>
      <c r="C377" s="3"/>
      <c r="D377" s="3"/>
      <c r="E377" s="3"/>
      <c r="F377" s="3"/>
      <c r="G377" s="3"/>
      <c r="H377" s="3"/>
      <c r="I377" s="3"/>
    </row>
    <row r="378" spans="1:9" x14ac:dyDescent="0.25">
      <c r="A378" s="3"/>
      <c r="B378" s="3"/>
      <c r="C378" s="3"/>
      <c r="D378" s="3"/>
      <c r="E378" s="3"/>
      <c r="F378" s="3"/>
      <c r="G378" s="3"/>
      <c r="H378" s="3"/>
      <c r="I378" s="3"/>
    </row>
    <row r="379" spans="1:9" x14ac:dyDescent="0.25">
      <c r="A379" s="3"/>
      <c r="B379" s="3"/>
      <c r="C379" s="3"/>
      <c r="D379" s="3"/>
      <c r="E379" s="3"/>
      <c r="F379" s="3"/>
      <c r="G379" s="3"/>
      <c r="H379" s="3"/>
      <c r="I379" s="3"/>
    </row>
    <row r="380" spans="1:9" x14ac:dyDescent="0.25">
      <c r="A380" s="3"/>
      <c r="B380" s="3"/>
      <c r="C380" s="3"/>
      <c r="D380" s="3"/>
      <c r="E380" s="3"/>
      <c r="F380" s="3"/>
      <c r="G380" s="3"/>
      <c r="H380" s="3"/>
      <c r="I380" s="3"/>
    </row>
    <row r="381" spans="1:9" x14ac:dyDescent="0.25">
      <c r="A381" s="3"/>
      <c r="B381" s="3"/>
      <c r="C381" s="3"/>
      <c r="D381" s="3"/>
      <c r="E381" s="3"/>
      <c r="F381" s="3"/>
      <c r="G381" s="3"/>
      <c r="H381" s="3"/>
      <c r="I381" s="3"/>
    </row>
    <row r="382" spans="1:9" x14ac:dyDescent="0.25">
      <c r="A382" s="3"/>
      <c r="B382" s="3"/>
      <c r="C382" s="3"/>
      <c r="D382" s="3"/>
      <c r="E382" s="3"/>
      <c r="F382" s="3"/>
      <c r="G382" s="3"/>
      <c r="H382" s="3"/>
      <c r="I382" s="3"/>
    </row>
    <row r="383" spans="1:9" x14ac:dyDescent="0.25">
      <c r="A383" s="3"/>
      <c r="B383" s="3"/>
      <c r="C383" s="3"/>
      <c r="D383" s="3"/>
      <c r="E383" s="3"/>
      <c r="F383" s="3"/>
      <c r="G383" s="3"/>
      <c r="H383" s="3"/>
      <c r="I383" s="3"/>
    </row>
    <row r="384" spans="1:9" x14ac:dyDescent="0.25">
      <c r="A384" s="3"/>
      <c r="B384" s="3"/>
      <c r="C384" s="3"/>
      <c r="D384" s="3"/>
      <c r="E384" s="3"/>
      <c r="F384" s="3"/>
      <c r="G384" s="3"/>
      <c r="H384" s="3"/>
      <c r="I384" s="3"/>
    </row>
    <row r="385" spans="1:9" x14ac:dyDescent="0.25">
      <c r="A385" s="3"/>
      <c r="B385" s="3"/>
      <c r="C385" s="3"/>
      <c r="D385" s="3"/>
      <c r="E385" s="3"/>
      <c r="F385" s="3"/>
      <c r="G385" s="3"/>
      <c r="H385" s="3"/>
      <c r="I385" s="3"/>
    </row>
    <row r="386" spans="1:9" x14ac:dyDescent="0.25">
      <c r="A386" s="3"/>
      <c r="B386" s="3"/>
      <c r="C386" s="3"/>
      <c r="D386" s="3"/>
      <c r="E386" s="3"/>
      <c r="F386" s="3"/>
      <c r="G386" s="3"/>
      <c r="H386" s="3"/>
      <c r="I386" s="3"/>
    </row>
    <row r="387" spans="1:9" x14ac:dyDescent="0.25">
      <c r="A387" s="3"/>
      <c r="B387" s="3"/>
      <c r="C387" s="3"/>
      <c r="D387" s="3"/>
      <c r="E387" s="3"/>
      <c r="F387" s="3"/>
      <c r="G387" s="3"/>
      <c r="H387" s="3"/>
      <c r="I387" s="3"/>
    </row>
    <row r="388" spans="1:9" x14ac:dyDescent="0.25">
      <c r="A388" s="3"/>
      <c r="B388" s="3"/>
      <c r="C388" s="3"/>
      <c r="D388" s="3"/>
      <c r="E388" s="3"/>
      <c r="F388" s="3"/>
      <c r="G388" s="3"/>
      <c r="H388" s="3"/>
      <c r="I388" s="3"/>
    </row>
    <row r="389" spans="1:9" x14ac:dyDescent="0.25">
      <c r="A389" s="3"/>
      <c r="B389" s="3"/>
      <c r="C389" s="3"/>
      <c r="D389" s="3"/>
      <c r="E389" s="3"/>
      <c r="F389" s="3"/>
      <c r="G389" s="3"/>
      <c r="H389" s="3"/>
      <c r="I389" s="3"/>
    </row>
    <row r="390" spans="1:9" x14ac:dyDescent="0.25">
      <c r="A390" s="3"/>
      <c r="B390" s="3"/>
      <c r="C390" s="3"/>
      <c r="D390" s="3"/>
      <c r="E390" s="3"/>
      <c r="F390" s="3"/>
      <c r="G390" s="3"/>
      <c r="H390" s="3"/>
      <c r="I390" s="3"/>
    </row>
    <row r="391" spans="1:9" x14ac:dyDescent="0.25">
      <c r="A391" s="3"/>
      <c r="B391" s="3"/>
      <c r="C391" s="3"/>
      <c r="D391" s="3"/>
      <c r="E391" s="3"/>
      <c r="F391" s="3"/>
      <c r="G391" s="3"/>
      <c r="H391" s="3"/>
      <c r="I391" s="3"/>
    </row>
    <row r="392" spans="1:9" x14ac:dyDescent="0.25">
      <c r="A392" s="3"/>
      <c r="B392" s="3"/>
      <c r="C392" s="3"/>
      <c r="D392" s="3"/>
      <c r="E392" s="3"/>
      <c r="F392" s="3"/>
      <c r="G392" s="3"/>
      <c r="H392" s="3"/>
      <c r="I392" s="3"/>
    </row>
    <row r="393" spans="1:9" x14ac:dyDescent="0.25">
      <c r="A393" s="3"/>
      <c r="B393" s="3"/>
      <c r="C393" s="3"/>
      <c r="D393" s="3"/>
      <c r="E393" s="3"/>
      <c r="F393" s="3"/>
      <c r="G393" s="3"/>
      <c r="H393" s="3"/>
      <c r="I393" s="3"/>
    </row>
    <row r="394" spans="1:9" x14ac:dyDescent="0.25">
      <c r="A394" s="3"/>
      <c r="B394" s="3"/>
      <c r="C394" s="3"/>
      <c r="D394" s="3"/>
      <c r="E394" s="3"/>
      <c r="F394" s="3"/>
      <c r="G394" s="3"/>
      <c r="H394" s="3"/>
      <c r="I394" s="3"/>
    </row>
    <row r="395" spans="1:9" x14ac:dyDescent="0.25">
      <c r="A395" s="3"/>
      <c r="B395" s="3"/>
      <c r="C395" s="3"/>
      <c r="D395" s="3"/>
      <c r="E395" s="3"/>
      <c r="F395" s="3"/>
      <c r="G395" s="3"/>
      <c r="H395" s="3"/>
      <c r="I395" s="3"/>
    </row>
    <row r="396" spans="1:9" x14ac:dyDescent="0.25">
      <c r="A396" s="3"/>
      <c r="B396" s="3"/>
      <c r="C396" s="3"/>
      <c r="D396" s="3"/>
      <c r="E396" s="3"/>
      <c r="F396" s="3"/>
      <c r="G396" s="3"/>
      <c r="H396" s="3"/>
      <c r="I396" s="3"/>
    </row>
    <row r="397" spans="1:9" x14ac:dyDescent="0.25">
      <c r="A397" s="3"/>
      <c r="B397" s="3"/>
      <c r="C397" s="3"/>
      <c r="D397" s="3"/>
      <c r="E397" s="3"/>
      <c r="F397" s="3"/>
      <c r="G397" s="3"/>
      <c r="H397" s="3"/>
      <c r="I397" s="3"/>
    </row>
    <row r="398" spans="1:9" x14ac:dyDescent="0.25">
      <c r="A398" s="3"/>
      <c r="B398" s="3"/>
      <c r="C398" s="3"/>
      <c r="D398" s="3"/>
      <c r="E398" s="3"/>
      <c r="F398" s="3"/>
      <c r="G398" s="3"/>
      <c r="H398" s="3"/>
      <c r="I398" s="3"/>
    </row>
    <row r="399" spans="1:9" x14ac:dyDescent="0.25">
      <c r="A399" s="3"/>
      <c r="B399" s="3"/>
      <c r="C399" s="3"/>
      <c r="D399" s="3"/>
      <c r="E399" s="3"/>
      <c r="F399" s="3"/>
      <c r="G399" s="3"/>
      <c r="H399" s="3"/>
      <c r="I399" s="3"/>
    </row>
    <row r="400" spans="1:9" x14ac:dyDescent="0.25">
      <c r="A400" s="3"/>
      <c r="B400" s="3"/>
      <c r="C400" s="3"/>
      <c r="D400" s="3"/>
      <c r="E400" s="3"/>
      <c r="F400" s="3"/>
      <c r="G400" s="3"/>
      <c r="H400" s="3"/>
      <c r="I400" s="3"/>
    </row>
    <row r="401" spans="1:9" x14ac:dyDescent="0.25">
      <c r="A401" s="3"/>
      <c r="B401" s="3"/>
      <c r="C401" s="3"/>
      <c r="D401" s="3"/>
      <c r="E401" s="3"/>
      <c r="F401" s="3"/>
      <c r="G401" s="3"/>
      <c r="H401" s="3"/>
      <c r="I401" s="3"/>
    </row>
    <row r="402" spans="1:9" x14ac:dyDescent="0.25">
      <c r="A402" s="3"/>
      <c r="B402" s="3"/>
      <c r="C402" s="3"/>
      <c r="D402" s="3"/>
      <c r="E402" s="3"/>
      <c r="F402" s="3"/>
      <c r="G402" s="3"/>
      <c r="H402" s="3"/>
      <c r="I402" s="3"/>
    </row>
    <row r="403" spans="1:9" x14ac:dyDescent="0.25">
      <c r="A403" s="3"/>
      <c r="B403" s="3"/>
      <c r="C403" s="3"/>
      <c r="D403" s="3"/>
      <c r="E403" s="3"/>
      <c r="F403" s="3"/>
      <c r="G403" s="3"/>
      <c r="H403" s="3"/>
      <c r="I403" s="3"/>
    </row>
    <row r="404" spans="1:9" x14ac:dyDescent="0.25">
      <c r="A404" s="3"/>
      <c r="B404" s="3"/>
      <c r="C404" s="3"/>
      <c r="D404" s="3"/>
      <c r="E404" s="3"/>
      <c r="F404" s="3"/>
      <c r="G404" s="3"/>
      <c r="H404" s="3"/>
      <c r="I404" s="3"/>
    </row>
    <row r="405" spans="1:9" x14ac:dyDescent="0.25">
      <c r="A405" s="3"/>
      <c r="B405" s="3"/>
      <c r="C405" s="3"/>
      <c r="D405" s="3"/>
      <c r="E405" s="3"/>
      <c r="F405" s="3"/>
      <c r="G405" s="3"/>
      <c r="H405" s="3"/>
      <c r="I405" s="3"/>
    </row>
    <row r="406" spans="1:9" x14ac:dyDescent="0.25">
      <c r="A406" s="3"/>
      <c r="B406" s="3"/>
      <c r="C406" s="3"/>
      <c r="D406" s="3"/>
      <c r="E406" s="3"/>
      <c r="F406" s="3"/>
      <c r="G406" s="3"/>
      <c r="H406" s="3"/>
      <c r="I406" s="3"/>
    </row>
    <row r="407" spans="1:9" x14ac:dyDescent="0.25">
      <c r="A407" s="3"/>
      <c r="B407" s="3"/>
      <c r="C407" s="3"/>
      <c r="D407" s="3"/>
      <c r="E407" s="3"/>
      <c r="F407" s="3"/>
      <c r="G407" s="3"/>
      <c r="H407" s="3"/>
      <c r="I407" s="3"/>
    </row>
    <row r="408" spans="1:9" x14ac:dyDescent="0.25">
      <c r="A408" s="3"/>
      <c r="B408" s="3"/>
      <c r="C408" s="3"/>
      <c r="D408" s="3"/>
      <c r="E408" s="3"/>
      <c r="F408" s="3"/>
      <c r="G408" s="3"/>
      <c r="H408" s="3"/>
      <c r="I408" s="3"/>
    </row>
    <row r="409" spans="1:9" x14ac:dyDescent="0.25">
      <c r="A409" s="3"/>
      <c r="B409" s="3"/>
      <c r="C409" s="3"/>
      <c r="D409" s="3"/>
      <c r="E409" s="3"/>
      <c r="F409" s="3"/>
      <c r="G409" s="3"/>
      <c r="H409" s="3"/>
      <c r="I409" s="3"/>
    </row>
    <row r="410" spans="1:9" x14ac:dyDescent="0.25">
      <c r="A410" s="3"/>
      <c r="B410" s="3"/>
      <c r="C410" s="3"/>
      <c r="D410" s="3"/>
      <c r="E410" s="3"/>
      <c r="F410" s="3"/>
      <c r="G410" s="3"/>
      <c r="H410" s="3"/>
      <c r="I410" s="3"/>
    </row>
    <row r="411" spans="1:9" x14ac:dyDescent="0.25">
      <c r="A411" s="3"/>
      <c r="B411" s="3"/>
      <c r="C411" s="3"/>
      <c r="D411" s="3"/>
      <c r="E411" s="3"/>
      <c r="F411" s="3"/>
      <c r="G411" s="3"/>
      <c r="H411" s="3"/>
      <c r="I411" s="3"/>
    </row>
    <row r="412" spans="1:9" x14ac:dyDescent="0.25">
      <c r="A412" s="3"/>
      <c r="B412" s="3"/>
      <c r="C412" s="3"/>
      <c r="D412" s="3"/>
      <c r="E412" s="3"/>
      <c r="F412" s="3"/>
      <c r="G412" s="3"/>
      <c r="H412" s="3"/>
      <c r="I412" s="3"/>
    </row>
    <row r="413" spans="1:9" x14ac:dyDescent="0.25">
      <c r="A413" s="3"/>
      <c r="B413" s="3"/>
      <c r="C413" s="3"/>
      <c r="D413" s="3"/>
      <c r="E413" s="3"/>
      <c r="F413" s="3"/>
      <c r="G413" s="3"/>
      <c r="H413" s="3"/>
      <c r="I413" s="3"/>
    </row>
    <row r="414" spans="1:9" x14ac:dyDescent="0.25">
      <c r="A414" s="3"/>
      <c r="B414" s="3"/>
      <c r="C414" s="3"/>
      <c r="D414" s="3"/>
      <c r="E414" s="3"/>
      <c r="F414" s="3"/>
      <c r="G414" s="3"/>
      <c r="H414" s="3"/>
      <c r="I414" s="3"/>
    </row>
    <row r="415" spans="1:9" x14ac:dyDescent="0.25">
      <c r="A415" s="3"/>
      <c r="B415" s="3"/>
      <c r="C415" s="3"/>
      <c r="D415" s="3"/>
      <c r="E415" s="3"/>
      <c r="F415" s="3"/>
      <c r="G415" s="3"/>
      <c r="H415" s="3"/>
      <c r="I415" s="3"/>
    </row>
    <row r="416" spans="1:9" x14ac:dyDescent="0.25">
      <c r="A416" s="3"/>
      <c r="B416" s="3"/>
      <c r="C416" s="3"/>
      <c r="D416" s="3"/>
      <c r="E416" s="3"/>
      <c r="F416" s="3"/>
      <c r="G416" s="3"/>
      <c r="H416" s="3"/>
      <c r="I416" s="3"/>
    </row>
    <row r="417" spans="1:9" x14ac:dyDescent="0.25">
      <c r="A417" s="3"/>
      <c r="B417" s="3"/>
      <c r="C417" s="3"/>
      <c r="D417" s="3"/>
      <c r="E417" s="3"/>
      <c r="F417" s="3"/>
      <c r="G417" s="3"/>
      <c r="H417" s="3"/>
      <c r="I417" s="3"/>
    </row>
    <row r="418" spans="1:9" x14ac:dyDescent="0.25">
      <c r="A418" s="3"/>
      <c r="B418" s="3"/>
      <c r="C418" s="3"/>
      <c r="D418" s="3"/>
      <c r="E418" s="3"/>
      <c r="F418" s="3"/>
      <c r="G418" s="3"/>
      <c r="H418" s="3"/>
      <c r="I418" s="3"/>
    </row>
    <row r="419" spans="1:9" x14ac:dyDescent="0.25">
      <c r="A419" s="3"/>
      <c r="B419" s="3"/>
      <c r="C419" s="3"/>
      <c r="D419" s="3"/>
      <c r="E419" s="3"/>
      <c r="F419" s="3"/>
      <c r="G419" s="3"/>
      <c r="H419" s="3"/>
      <c r="I419" s="3"/>
    </row>
    <row r="420" spans="1:9" x14ac:dyDescent="0.25">
      <c r="A420" s="3"/>
      <c r="B420" s="3"/>
      <c r="C420" s="3"/>
      <c r="D420" s="3"/>
      <c r="E420" s="3"/>
      <c r="F420" s="3"/>
      <c r="G420" s="3"/>
      <c r="H420" s="3"/>
      <c r="I420" s="3"/>
    </row>
    <row r="421" spans="1:9" x14ac:dyDescent="0.25">
      <c r="A421" s="3"/>
      <c r="B421" s="3"/>
      <c r="C421" s="3"/>
      <c r="D421" s="3"/>
      <c r="E421" s="3"/>
      <c r="F421" s="3"/>
      <c r="G421" s="3"/>
      <c r="H421" s="3"/>
      <c r="I421" s="3"/>
    </row>
    <row r="422" spans="1:9" x14ac:dyDescent="0.25">
      <c r="A422" s="3"/>
      <c r="B422" s="3"/>
      <c r="C422" s="3"/>
      <c r="D422" s="3"/>
      <c r="E422" s="3"/>
      <c r="F422" s="3"/>
      <c r="G422" s="3"/>
      <c r="H422" s="3"/>
      <c r="I422" s="3"/>
    </row>
    <row r="423" spans="1:9" x14ac:dyDescent="0.25">
      <c r="A423" s="3"/>
      <c r="B423" s="3"/>
      <c r="C423" s="3"/>
      <c r="D423" s="3"/>
      <c r="E423" s="3"/>
      <c r="F423" s="3"/>
      <c r="G423" s="3"/>
      <c r="H423" s="3"/>
      <c r="I423" s="3"/>
    </row>
    <row r="424" spans="1:9" x14ac:dyDescent="0.25">
      <c r="A424" s="3"/>
      <c r="B424" s="3"/>
      <c r="C424" s="3"/>
      <c r="D424" s="3"/>
      <c r="E424" s="3"/>
      <c r="F424" s="3"/>
      <c r="G424" s="3"/>
      <c r="H424" s="3"/>
      <c r="I424" s="3"/>
    </row>
    <row r="425" spans="1:9" x14ac:dyDescent="0.25">
      <c r="A425" s="3"/>
      <c r="B425" s="3"/>
      <c r="C425" s="3"/>
      <c r="D425" s="3"/>
      <c r="E425" s="3"/>
      <c r="F425" s="3"/>
      <c r="G425" s="3"/>
      <c r="H425" s="3"/>
      <c r="I425" s="3"/>
    </row>
    <row r="426" spans="1:9" x14ac:dyDescent="0.25">
      <c r="A426" s="3"/>
      <c r="B426" s="3"/>
      <c r="C426" s="3"/>
      <c r="D426" s="3"/>
      <c r="E426" s="3"/>
      <c r="F426" s="3"/>
      <c r="G426" s="3"/>
      <c r="H426" s="3"/>
      <c r="I426" s="3"/>
    </row>
    <row r="427" spans="1:9" x14ac:dyDescent="0.25">
      <c r="A427" s="3"/>
      <c r="B427" s="3"/>
      <c r="C427" s="3"/>
      <c r="D427" s="3"/>
      <c r="E427" s="3"/>
      <c r="F427" s="3"/>
      <c r="G427" s="3"/>
      <c r="H427" s="3"/>
      <c r="I427" s="3"/>
    </row>
    <row r="428" spans="1:9" x14ac:dyDescent="0.25">
      <c r="A428" s="3"/>
      <c r="B428" s="3"/>
      <c r="C428" s="3"/>
      <c r="D428" s="3"/>
      <c r="E428" s="3"/>
      <c r="F428" s="3"/>
      <c r="G428" s="3"/>
      <c r="H428" s="3"/>
      <c r="I428" s="3"/>
    </row>
    <row r="429" spans="1:9" x14ac:dyDescent="0.25">
      <c r="A429" s="3"/>
      <c r="B429" s="3"/>
      <c r="C429" s="3"/>
      <c r="D429" s="3"/>
      <c r="E429" s="3"/>
      <c r="F429" s="3"/>
      <c r="G429" s="3"/>
      <c r="H429" s="3"/>
      <c r="I429" s="3"/>
    </row>
    <row r="430" spans="1:9" x14ac:dyDescent="0.25">
      <c r="A430" s="3"/>
      <c r="B430" s="3"/>
      <c r="C430" s="3"/>
      <c r="D430" s="3"/>
      <c r="E430" s="3"/>
      <c r="F430" s="3"/>
      <c r="G430" s="3"/>
      <c r="H430" s="3"/>
      <c r="I430" s="3"/>
    </row>
    <row r="431" spans="1:9" x14ac:dyDescent="0.25">
      <c r="A431" s="3"/>
      <c r="B431" s="3"/>
      <c r="C431" s="3"/>
      <c r="D431" s="3"/>
      <c r="E431" s="3"/>
      <c r="F431" s="3"/>
      <c r="G431" s="3"/>
      <c r="H431" s="3"/>
      <c r="I431" s="3"/>
    </row>
    <row r="432" spans="1:9" x14ac:dyDescent="0.25">
      <c r="A432" s="3"/>
      <c r="B432" s="3"/>
      <c r="C432" s="3"/>
      <c r="D432" s="3"/>
      <c r="E432" s="3"/>
      <c r="F432" s="3"/>
      <c r="G432" s="3"/>
      <c r="H432" s="3"/>
      <c r="I432" s="3"/>
    </row>
    <row r="433" spans="1:9" x14ac:dyDescent="0.25">
      <c r="A433" s="3"/>
      <c r="B433" s="3"/>
      <c r="C433" s="3"/>
      <c r="D433" s="3"/>
      <c r="E433" s="3"/>
      <c r="F433" s="3"/>
      <c r="G433" s="3"/>
      <c r="H433" s="3"/>
      <c r="I433" s="3"/>
    </row>
    <row r="434" spans="1:9" x14ac:dyDescent="0.25">
      <c r="A434" s="3"/>
      <c r="B434" s="3"/>
      <c r="C434" s="3"/>
      <c r="D434" s="3"/>
      <c r="E434" s="3"/>
      <c r="F434" s="3"/>
      <c r="G434" s="3"/>
      <c r="H434" s="3"/>
      <c r="I434" s="3"/>
    </row>
    <row r="435" spans="1:9" x14ac:dyDescent="0.25">
      <c r="A435" s="3"/>
      <c r="B435" s="3"/>
      <c r="C435" s="3"/>
      <c r="D435" s="3"/>
      <c r="E435" s="3"/>
      <c r="F435" s="3"/>
      <c r="G435" s="3"/>
      <c r="H435" s="3"/>
      <c r="I435" s="3"/>
    </row>
    <row r="436" spans="1:9" x14ac:dyDescent="0.25">
      <c r="A436" s="3"/>
      <c r="B436" s="3"/>
      <c r="C436" s="3"/>
      <c r="D436" s="3"/>
      <c r="E436" s="3"/>
      <c r="F436" s="3"/>
      <c r="G436" s="3"/>
      <c r="H436" s="3"/>
      <c r="I436" s="3"/>
    </row>
    <row r="437" spans="1:9" x14ac:dyDescent="0.25">
      <c r="A437" s="3"/>
      <c r="B437" s="3"/>
      <c r="C437" s="3"/>
      <c r="D437" s="3"/>
      <c r="E437" s="3"/>
      <c r="F437" s="3"/>
      <c r="G437" s="3"/>
      <c r="H437" s="3"/>
      <c r="I437" s="3"/>
    </row>
    <row r="438" spans="1:9" x14ac:dyDescent="0.25">
      <c r="A438" s="3"/>
      <c r="B438" s="3"/>
      <c r="C438" s="3"/>
      <c r="D438" s="3"/>
      <c r="E438" s="3"/>
      <c r="F438" s="3"/>
      <c r="G438" s="3"/>
      <c r="H438" s="3"/>
      <c r="I438" s="3"/>
    </row>
    <row r="439" spans="1:9" x14ac:dyDescent="0.25">
      <c r="A439" s="3"/>
      <c r="B439" s="3"/>
      <c r="C439" s="3"/>
      <c r="D439" s="3"/>
      <c r="E439" s="3"/>
      <c r="F439" s="3"/>
      <c r="G439" s="3"/>
      <c r="H439" s="3"/>
      <c r="I439" s="3"/>
    </row>
    <row r="440" spans="1:9" x14ac:dyDescent="0.25">
      <c r="A440" s="3"/>
      <c r="B440" s="3"/>
      <c r="C440" s="3"/>
      <c r="D440" s="3"/>
      <c r="E440" s="3"/>
      <c r="F440" s="3"/>
      <c r="G440" s="3"/>
      <c r="H440" s="3"/>
      <c r="I440" s="3"/>
    </row>
    <row r="441" spans="1:9" x14ac:dyDescent="0.25">
      <c r="A441" s="3"/>
      <c r="B441" s="3"/>
      <c r="C441" s="3"/>
      <c r="D441" s="3"/>
      <c r="E441" s="3"/>
      <c r="F441" s="3"/>
      <c r="G441" s="3"/>
      <c r="H441" s="3"/>
      <c r="I441" s="3"/>
    </row>
    <row r="442" spans="1:9" x14ac:dyDescent="0.25">
      <c r="A442" s="3"/>
      <c r="B442" s="3"/>
      <c r="C442" s="3"/>
      <c r="D442" s="3"/>
      <c r="E442" s="3"/>
      <c r="F442" s="3"/>
      <c r="G442" s="3"/>
      <c r="H442" s="3"/>
      <c r="I442" s="3"/>
    </row>
    <row r="443" spans="1:9" x14ac:dyDescent="0.25">
      <c r="A443" s="3"/>
      <c r="B443" s="3"/>
      <c r="C443" s="3"/>
      <c r="D443" s="3"/>
      <c r="E443" s="3"/>
      <c r="F443" s="3"/>
      <c r="G443" s="3"/>
      <c r="H443" s="3"/>
      <c r="I443" s="3"/>
    </row>
    <row r="444" spans="1:9" x14ac:dyDescent="0.25">
      <c r="A444" s="3"/>
      <c r="B444" s="3"/>
      <c r="C444" s="3"/>
      <c r="D444" s="3"/>
      <c r="E444" s="3"/>
      <c r="F444" s="3"/>
      <c r="G444" s="3"/>
      <c r="H444" s="3"/>
      <c r="I444" s="3"/>
    </row>
    <row r="445" spans="1:9" x14ac:dyDescent="0.25">
      <c r="A445" s="3"/>
      <c r="B445" s="3"/>
      <c r="C445" s="3"/>
      <c r="D445" s="3"/>
      <c r="E445" s="3"/>
      <c r="F445" s="3"/>
      <c r="G445" s="3"/>
      <c r="H445" s="3"/>
      <c r="I445" s="3"/>
    </row>
    <row r="446" spans="1:9" x14ac:dyDescent="0.25">
      <c r="A446" s="3"/>
      <c r="B446" s="3"/>
      <c r="C446" s="3"/>
      <c r="D446" s="3"/>
      <c r="E446" s="3"/>
      <c r="F446" s="3"/>
      <c r="G446" s="3"/>
      <c r="H446" s="3"/>
      <c r="I446" s="3"/>
    </row>
    <row r="447" spans="1:9" x14ac:dyDescent="0.25">
      <c r="A447" s="3"/>
      <c r="B447" s="3"/>
      <c r="C447" s="3"/>
      <c r="D447" s="3"/>
      <c r="E447" s="3"/>
      <c r="F447" s="3"/>
      <c r="G447" s="3"/>
      <c r="H447" s="3"/>
      <c r="I447" s="3"/>
    </row>
    <row r="448" spans="1:9" x14ac:dyDescent="0.25">
      <c r="A448" s="3"/>
      <c r="B448" s="3"/>
      <c r="C448" s="3"/>
      <c r="D448" s="3"/>
      <c r="E448" s="3"/>
      <c r="F448" s="3"/>
      <c r="G448" s="3"/>
      <c r="H448" s="3"/>
      <c r="I448" s="3"/>
    </row>
    <row r="449" spans="1:9" x14ac:dyDescent="0.25">
      <c r="A449" s="3"/>
      <c r="B449" s="3"/>
      <c r="C449" s="3"/>
      <c r="D449" s="3"/>
      <c r="E449" s="3"/>
      <c r="F449" s="3"/>
      <c r="G449" s="3"/>
      <c r="H449" s="3"/>
      <c r="I449" s="3"/>
    </row>
    <row r="450" spans="1:9" x14ac:dyDescent="0.25">
      <c r="A450" s="3"/>
      <c r="B450" s="3"/>
      <c r="C450" s="3"/>
      <c r="D450" s="3"/>
      <c r="E450" s="3"/>
      <c r="F450" s="3"/>
      <c r="G450" s="3"/>
      <c r="H450" s="3"/>
      <c r="I450" s="3"/>
    </row>
    <row r="451" spans="1:9" x14ac:dyDescent="0.25">
      <c r="A451" s="3"/>
      <c r="B451" s="3"/>
      <c r="C451" s="3"/>
      <c r="D451" s="3"/>
      <c r="E451" s="3"/>
      <c r="F451" s="3"/>
      <c r="G451" s="3"/>
      <c r="H451" s="3"/>
      <c r="I451" s="3"/>
    </row>
    <row r="452" spans="1:9" x14ac:dyDescent="0.25">
      <c r="A452" s="3"/>
      <c r="B452" s="3"/>
      <c r="C452" s="3"/>
      <c r="D452" s="3"/>
      <c r="E452" s="3"/>
      <c r="F452" s="3"/>
      <c r="G452" s="3"/>
      <c r="H452" s="3"/>
      <c r="I452" s="3"/>
    </row>
    <row r="453" spans="1:9" x14ac:dyDescent="0.25">
      <c r="A453" s="3"/>
      <c r="B453" s="3"/>
      <c r="C453" s="3"/>
      <c r="D453" s="3"/>
      <c r="E453" s="3"/>
      <c r="F453" s="3"/>
      <c r="G453" s="3"/>
      <c r="H453" s="3"/>
      <c r="I453" s="3"/>
    </row>
    <row r="454" spans="1:9" x14ac:dyDescent="0.25">
      <c r="A454" s="3"/>
      <c r="B454" s="3"/>
      <c r="C454" s="3"/>
      <c r="D454" s="3"/>
      <c r="E454" s="3"/>
      <c r="F454" s="3"/>
      <c r="G454" s="3"/>
      <c r="H454" s="3"/>
      <c r="I454" s="3"/>
    </row>
    <row r="455" spans="1:9" x14ac:dyDescent="0.25">
      <c r="A455" s="3"/>
      <c r="B455" s="3"/>
      <c r="C455" s="3"/>
      <c r="D455" s="3"/>
      <c r="E455" s="3"/>
      <c r="F455" s="3"/>
      <c r="G455" s="3"/>
      <c r="H455" s="3"/>
      <c r="I455" s="3"/>
    </row>
    <row r="456" spans="1:9" x14ac:dyDescent="0.25">
      <c r="A456" s="3"/>
      <c r="B456" s="3"/>
      <c r="C456" s="3"/>
      <c r="D456" s="3"/>
      <c r="E456" s="3"/>
      <c r="F456" s="3"/>
      <c r="G456" s="3"/>
      <c r="H456" s="3"/>
      <c r="I456" s="3"/>
    </row>
    <row r="457" spans="1:9" x14ac:dyDescent="0.25">
      <c r="A457" s="3"/>
      <c r="B457" s="3"/>
      <c r="C457" s="3"/>
      <c r="D457" s="3"/>
      <c r="E457" s="3"/>
      <c r="F457" s="3"/>
      <c r="G457" s="3"/>
      <c r="H457" s="3"/>
      <c r="I457" s="3"/>
    </row>
    <row r="458" spans="1:9" x14ac:dyDescent="0.25">
      <c r="A458" s="3"/>
      <c r="B458" s="3"/>
      <c r="C458" s="3"/>
      <c r="D458" s="3"/>
      <c r="E458" s="3"/>
      <c r="F458" s="3"/>
      <c r="G458" s="3"/>
      <c r="H458" s="3"/>
      <c r="I458" s="3"/>
    </row>
    <row r="459" spans="1:9" x14ac:dyDescent="0.25">
      <c r="A459" s="3"/>
      <c r="B459" s="3"/>
      <c r="C459" s="3"/>
      <c r="D459" s="3"/>
      <c r="E459" s="3"/>
      <c r="F459" s="3"/>
      <c r="G459" s="3"/>
      <c r="H459" s="3"/>
      <c r="I459" s="3"/>
    </row>
    <row r="460" spans="1:9" x14ac:dyDescent="0.25">
      <c r="A460" s="3"/>
      <c r="B460" s="3"/>
      <c r="C460" s="3"/>
      <c r="D460" s="3"/>
      <c r="E460" s="3"/>
      <c r="F460" s="3"/>
      <c r="G460" s="3"/>
      <c r="H460" s="3"/>
      <c r="I460" s="3"/>
    </row>
    <row r="461" spans="1:9" x14ac:dyDescent="0.25">
      <c r="A461" s="3"/>
      <c r="B461" s="3"/>
      <c r="C461" s="3"/>
      <c r="D461" s="3"/>
      <c r="E461" s="3"/>
      <c r="F461" s="3"/>
      <c r="G461" s="3"/>
      <c r="H461" s="3"/>
      <c r="I461" s="3"/>
    </row>
    <row r="462" spans="1:9" x14ac:dyDescent="0.25">
      <c r="A462" s="3"/>
      <c r="B462" s="3"/>
      <c r="C462" s="3"/>
      <c r="D462" s="3"/>
      <c r="E462" s="3"/>
      <c r="F462" s="3"/>
      <c r="G462" s="3"/>
      <c r="H462" s="3"/>
      <c r="I462" s="3"/>
    </row>
    <row r="463" spans="1:9" x14ac:dyDescent="0.25">
      <c r="A463" s="3"/>
      <c r="B463" s="3"/>
      <c r="C463" s="3"/>
      <c r="D463" s="3"/>
      <c r="E463" s="3"/>
      <c r="F463" s="3"/>
      <c r="G463" s="3"/>
      <c r="H463" s="3"/>
      <c r="I463" s="3"/>
    </row>
    <row r="464" spans="1:9" x14ac:dyDescent="0.25">
      <c r="A464" s="3"/>
      <c r="B464" s="3"/>
      <c r="C464" s="3"/>
      <c r="D464" s="3"/>
      <c r="E464" s="3"/>
      <c r="F464" s="3"/>
      <c r="G464" s="3"/>
      <c r="H464" s="3"/>
      <c r="I464" s="3"/>
    </row>
    <row r="465" spans="1:9" x14ac:dyDescent="0.25">
      <c r="A465" s="3"/>
      <c r="B465" s="3"/>
      <c r="C465" s="3"/>
      <c r="D465" s="3"/>
      <c r="E465" s="3"/>
      <c r="F465" s="3"/>
      <c r="G465" s="3"/>
      <c r="H465" s="3"/>
      <c r="I465" s="3"/>
    </row>
    <row r="466" spans="1:9" x14ac:dyDescent="0.25">
      <c r="A466" s="3"/>
      <c r="B466" s="3"/>
      <c r="C466" s="3"/>
      <c r="D466" s="3"/>
      <c r="E466" s="3"/>
      <c r="F466" s="3"/>
      <c r="G466" s="3"/>
      <c r="H466" s="3"/>
      <c r="I466" s="3"/>
    </row>
    <row r="467" spans="1:9" x14ac:dyDescent="0.25">
      <c r="A467" s="3"/>
      <c r="B467" s="3"/>
      <c r="C467" s="3"/>
      <c r="D467" s="3"/>
      <c r="E467" s="3"/>
      <c r="F467" s="3"/>
      <c r="G467" s="3"/>
      <c r="H467" s="3"/>
      <c r="I467" s="3"/>
    </row>
    <row r="468" spans="1:9" x14ac:dyDescent="0.25">
      <c r="A468" s="3"/>
      <c r="B468" s="3"/>
      <c r="C468" s="3"/>
      <c r="D468" s="3"/>
      <c r="E468" s="3"/>
      <c r="F468" s="3"/>
      <c r="G468" s="3"/>
      <c r="H468" s="3"/>
      <c r="I468" s="3"/>
    </row>
    <row r="469" spans="1:9" x14ac:dyDescent="0.25">
      <c r="A469" s="3"/>
      <c r="B469" s="3"/>
      <c r="C469" s="3"/>
      <c r="D469" s="3"/>
      <c r="E469" s="3"/>
      <c r="F469" s="3"/>
      <c r="G469" s="3"/>
      <c r="H469" s="3"/>
      <c r="I469" s="3"/>
    </row>
    <row r="470" spans="1:9" x14ac:dyDescent="0.25">
      <c r="A470" s="3"/>
      <c r="B470" s="3"/>
      <c r="C470" s="3"/>
      <c r="D470" s="3"/>
      <c r="E470" s="3"/>
      <c r="F470" s="3"/>
      <c r="G470" s="3"/>
      <c r="H470" s="3"/>
      <c r="I470" s="3"/>
    </row>
    <row r="471" spans="1:9" x14ac:dyDescent="0.25">
      <c r="A471" s="3"/>
      <c r="B471" s="3"/>
      <c r="C471" s="3"/>
      <c r="D471" s="3"/>
      <c r="E471" s="3"/>
      <c r="F471" s="3"/>
      <c r="G471" s="3"/>
      <c r="H471" s="3"/>
      <c r="I471" s="3"/>
    </row>
    <row r="472" spans="1:9" x14ac:dyDescent="0.25">
      <c r="A472" s="3"/>
      <c r="B472" s="3"/>
      <c r="C472" s="3"/>
      <c r="D472" s="3"/>
      <c r="E472" s="3"/>
      <c r="F472" s="3"/>
      <c r="G472" s="3"/>
      <c r="H472" s="3"/>
      <c r="I472" s="3"/>
    </row>
    <row r="473" spans="1:9" x14ac:dyDescent="0.25">
      <c r="A473" s="3"/>
      <c r="B473" s="3"/>
      <c r="C473" s="3"/>
      <c r="D473" s="3"/>
      <c r="E473" s="3"/>
      <c r="F473" s="3"/>
      <c r="G473" s="3"/>
      <c r="H473" s="3"/>
      <c r="I473" s="3"/>
    </row>
    <row r="474" spans="1:9" x14ac:dyDescent="0.25">
      <c r="A474" s="3"/>
      <c r="B474" s="3"/>
      <c r="C474" s="3"/>
      <c r="D474" s="3"/>
      <c r="E474" s="3"/>
      <c r="F474" s="3"/>
      <c r="G474" s="3"/>
      <c r="H474" s="3"/>
      <c r="I474" s="3"/>
    </row>
    <row r="475" spans="1:9" x14ac:dyDescent="0.25">
      <c r="A475" s="3"/>
      <c r="B475" s="3"/>
      <c r="C475" s="3"/>
      <c r="D475" s="3"/>
      <c r="E475" s="3"/>
      <c r="F475" s="3"/>
      <c r="G475" s="3"/>
      <c r="H475" s="3"/>
      <c r="I475" s="3"/>
    </row>
    <row r="476" spans="1:9" x14ac:dyDescent="0.25">
      <c r="A476" s="3"/>
      <c r="B476" s="3"/>
      <c r="C476" s="3"/>
      <c r="D476" s="3"/>
      <c r="E476" s="3"/>
      <c r="F476" s="3"/>
      <c r="G476" s="3"/>
      <c r="H476" s="3"/>
      <c r="I476" s="3"/>
    </row>
    <row r="477" spans="1:9" x14ac:dyDescent="0.25">
      <c r="A477" s="3"/>
      <c r="B477" s="3"/>
      <c r="C477" s="3"/>
      <c r="D477" s="3"/>
      <c r="E477" s="3"/>
      <c r="F477" s="3"/>
      <c r="G477" s="3"/>
      <c r="H477" s="3"/>
      <c r="I477" s="3"/>
    </row>
    <row r="478" spans="1:9" x14ac:dyDescent="0.25">
      <c r="A478" s="3"/>
      <c r="B478" s="3"/>
      <c r="C478" s="3"/>
      <c r="D478" s="3"/>
      <c r="E478" s="3"/>
      <c r="F478" s="3"/>
      <c r="G478" s="3"/>
      <c r="H478" s="3"/>
      <c r="I478" s="3"/>
    </row>
    <row r="479" spans="1:9" x14ac:dyDescent="0.25">
      <c r="A479" s="3"/>
      <c r="B479" s="3"/>
      <c r="C479" s="3"/>
      <c r="D479" s="3"/>
      <c r="E479" s="3"/>
      <c r="F479" s="3"/>
      <c r="G479" s="3"/>
      <c r="H479" s="3"/>
      <c r="I479" s="3"/>
    </row>
    <row r="480" spans="1:9" x14ac:dyDescent="0.25">
      <c r="A480" s="3"/>
      <c r="B480" s="3"/>
      <c r="C480" s="3"/>
      <c r="D480" s="3"/>
      <c r="E480" s="3"/>
      <c r="F480" s="3"/>
      <c r="G480" s="3"/>
      <c r="H480" s="3"/>
      <c r="I480" s="3"/>
    </row>
    <row r="481" spans="1:9" x14ac:dyDescent="0.25">
      <c r="A481" s="3"/>
      <c r="B481" s="3"/>
      <c r="C481" s="3"/>
      <c r="D481" s="3"/>
      <c r="E481" s="3"/>
      <c r="F481" s="3"/>
      <c r="G481" s="3"/>
      <c r="H481" s="3"/>
      <c r="I481" s="3"/>
    </row>
    <row r="482" spans="1:9" x14ac:dyDescent="0.25">
      <c r="A482" s="3"/>
      <c r="B482" s="3"/>
      <c r="C482" s="3"/>
      <c r="D482" s="3"/>
      <c r="E482" s="3"/>
      <c r="F482" s="3"/>
      <c r="G482" s="3"/>
      <c r="H482" s="3"/>
      <c r="I482" s="3"/>
    </row>
    <row r="483" spans="1:9" x14ac:dyDescent="0.25">
      <c r="A483" s="3"/>
      <c r="B483" s="3"/>
      <c r="C483" s="3"/>
      <c r="D483" s="3"/>
      <c r="E483" s="3"/>
      <c r="F483" s="3"/>
      <c r="G483" s="3"/>
      <c r="H483" s="3"/>
      <c r="I483" s="3"/>
    </row>
    <row r="484" spans="1:9" x14ac:dyDescent="0.25">
      <c r="A484" s="3"/>
      <c r="B484" s="3"/>
      <c r="C484" s="3"/>
      <c r="D484" s="3"/>
      <c r="E484" s="3"/>
      <c r="F484" s="3"/>
      <c r="G484" s="3"/>
      <c r="H484" s="3"/>
      <c r="I484" s="3"/>
    </row>
    <row r="485" spans="1:9" x14ac:dyDescent="0.25">
      <c r="A485" s="3"/>
      <c r="B485" s="3"/>
      <c r="C485" s="3"/>
      <c r="D485" s="3"/>
      <c r="E485" s="3"/>
      <c r="F485" s="3"/>
      <c r="G485" s="3"/>
      <c r="H485" s="3"/>
      <c r="I485" s="3"/>
    </row>
    <row r="486" spans="1:9" x14ac:dyDescent="0.25">
      <c r="A486" s="3"/>
      <c r="B486" s="3"/>
      <c r="C486" s="3"/>
      <c r="D486" s="3"/>
      <c r="E486" s="3"/>
      <c r="F486" s="3"/>
      <c r="G486" s="3"/>
      <c r="H486" s="3"/>
      <c r="I486" s="3"/>
    </row>
    <row r="487" spans="1:9" x14ac:dyDescent="0.25">
      <c r="A487" s="3"/>
      <c r="B487" s="3"/>
      <c r="C487" s="3"/>
      <c r="D487" s="3"/>
      <c r="E487" s="3"/>
      <c r="F487" s="3"/>
      <c r="G487" s="3"/>
      <c r="H487" s="3"/>
      <c r="I487" s="3"/>
    </row>
    <row r="488" spans="1:9" x14ac:dyDescent="0.25">
      <c r="A488" s="3"/>
      <c r="B488" s="3"/>
      <c r="C488" s="3"/>
      <c r="D488" s="3"/>
      <c r="E488" s="3"/>
      <c r="F488" s="3"/>
      <c r="G488" s="3"/>
      <c r="H488" s="3"/>
      <c r="I488" s="3"/>
    </row>
    <row r="489" spans="1:9" x14ac:dyDescent="0.25">
      <c r="A489" s="3"/>
      <c r="B489" s="3"/>
      <c r="C489" s="3"/>
      <c r="D489" s="3"/>
      <c r="E489" s="3"/>
      <c r="F489" s="3"/>
      <c r="G489" s="3"/>
      <c r="H489" s="3"/>
      <c r="I489" s="3"/>
    </row>
    <row r="490" spans="1:9" x14ac:dyDescent="0.25">
      <c r="A490" s="3"/>
      <c r="B490" s="3"/>
      <c r="C490" s="3"/>
      <c r="D490" s="3"/>
      <c r="E490" s="3"/>
      <c r="F490" s="3"/>
      <c r="G490" s="3"/>
      <c r="H490" s="3"/>
      <c r="I490" s="3"/>
    </row>
    <row r="491" spans="1:9" x14ac:dyDescent="0.25">
      <c r="A491" s="3"/>
      <c r="B491" s="3"/>
      <c r="C491" s="3"/>
      <c r="D491" s="3"/>
      <c r="E491" s="3"/>
      <c r="F491" s="3"/>
      <c r="G491" s="3"/>
      <c r="H491" s="3"/>
      <c r="I491" s="3"/>
    </row>
    <row r="492" spans="1:9" x14ac:dyDescent="0.25">
      <c r="A492" s="3"/>
      <c r="B492" s="3"/>
      <c r="C492" s="3"/>
      <c r="D492" s="3"/>
      <c r="E492" s="3"/>
      <c r="F492" s="3"/>
      <c r="G492" s="3"/>
      <c r="H492" s="3"/>
      <c r="I492" s="3"/>
    </row>
    <row r="493" spans="1:9" x14ac:dyDescent="0.25">
      <c r="A493" s="3"/>
      <c r="B493" s="3"/>
      <c r="C493" s="3"/>
      <c r="D493" s="3"/>
      <c r="E493" s="3"/>
      <c r="F493" s="3"/>
      <c r="G493" s="3"/>
      <c r="H493" s="3"/>
      <c r="I493" s="3"/>
    </row>
    <row r="494" spans="1:9" x14ac:dyDescent="0.25">
      <c r="A494" s="3"/>
      <c r="B494" s="3"/>
      <c r="C494" s="3"/>
      <c r="D494" s="3"/>
      <c r="E494" s="3"/>
      <c r="F494" s="3"/>
      <c r="G494" s="3"/>
      <c r="H494" s="3"/>
      <c r="I494" s="3"/>
    </row>
    <row r="495" spans="1:9" x14ac:dyDescent="0.25">
      <c r="A495" s="3"/>
      <c r="B495" s="3"/>
      <c r="C495" s="3"/>
      <c r="D495" s="3"/>
      <c r="E495" s="3"/>
      <c r="F495" s="3"/>
      <c r="G495" s="3"/>
      <c r="H495" s="3"/>
      <c r="I495" s="3"/>
    </row>
    <row r="496" spans="1:9" x14ac:dyDescent="0.25">
      <c r="A496" s="3"/>
      <c r="B496" s="3"/>
      <c r="C496" s="3"/>
      <c r="D496" s="3"/>
      <c r="E496" s="3"/>
      <c r="F496" s="3"/>
      <c r="G496" s="3"/>
      <c r="H496" s="3"/>
      <c r="I496" s="3"/>
    </row>
    <row r="497" spans="1:9" x14ac:dyDescent="0.25">
      <c r="A497" s="3"/>
      <c r="B497" s="3"/>
      <c r="C497" s="3"/>
      <c r="D497" s="3"/>
      <c r="E497" s="3"/>
      <c r="F497" s="3"/>
      <c r="G497" s="3"/>
      <c r="H497" s="3"/>
      <c r="I497" s="3"/>
    </row>
    <row r="498" spans="1:9" x14ac:dyDescent="0.25">
      <c r="A498" s="3"/>
      <c r="B498" s="3"/>
      <c r="C498" s="3"/>
      <c r="D498" s="3"/>
      <c r="E498" s="3"/>
      <c r="F498" s="3"/>
      <c r="G498" s="3"/>
      <c r="H498" s="3"/>
      <c r="I498" s="3"/>
    </row>
    <row r="499" spans="1:9" x14ac:dyDescent="0.25">
      <c r="A499" s="3"/>
      <c r="B499" s="3"/>
      <c r="C499" s="3"/>
      <c r="D499" s="3"/>
      <c r="E499" s="3"/>
      <c r="F499" s="3"/>
      <c r="G499" s="3"/>
      <c r="H499" s="3"/>
      <c r="I499" s="3"/>
    </row>
    <row r="500" spans="1:9" x14ac:dyDescent="0.25">
      <c r="A500" s="3"/>
      <c r="B500" s="3"/>
      <c r="C500" s="3"/>
      <c r="D500" s="3"/>
      <c r="E500" s="3"/>
      <c r="F500" s="3"/>
      <c r="G500" s="3"/>
      <c r="H500" s="3"/>
      <c r="I500" s="3"/>
    </row>
    <row r="501" spans="1:9" x14ac:dyDescent="0.25">
      <c r="A501" s="3"/>
      <c r="B501" s="3"/>
      <c r="C501" s="3"/>
      <c r="D501" s="3"/>
      <c r="E501" s="3"/>
      <c r="F501" s="3"/>
      <c r="G501" s="3"/>
      <c r="H501" s="3"/>
      <c r="I501" s="3"/>
    </row>
    <row r="502" spans="1:9" x14ac:dyDescent="0.25">
      <c r="A502" s="3"/>
      <c r="B502" s="3"/>
      <c r="C502" s="3"/>
      <c r="D502" s="3"/>
      <c r="E502" s="3"/>
      <c r="F502" s="3"/>
      <c r="G502" s="3"/>
      <c r="H502" s="3"/>
      <c r="I502" s="3"/>
    </row>
    <row r="503" spans="1:9" x14ac:dyDescent="0.25">
      <c r="A503" s="3"/>
      <c r="B503" s="3"/>
      <c r="C503" s="3"/>
      <c r="D503" s="3"/>
      <c r="E503" s="3"/>
      <c r="F503" s="3"/>
      <c r="G503" s="3"/>
      <c r="H503" s="3"/>
      <c r="I503" s="3"/>
    </row>
    <row r="504" spans="1:9" x14ac:dyDescent="0.25">
      <c r="A504" s="3"/>
      <c r="B504" s="3"/>
      <c r="C504" s="3"/>
      <c r="D504" s="3"/>
      <c r="E504" s="3"/>
      <c r="F504" s="3"/>
      <c r="G504" s="3"/>
      <c r="H504" s="3"/>
      <c r="I504" s="3"/>
    </row>
    <row r="505" spans="1:9" x14ac:dyDescent="0.25">
      <c r="A505" s="3"/>
      <c r="B505" s="3"/>
      <c r="C505" s="3"/>
      <c r="D505" s="3"/>
      <c r="E505" s="3"/>
      <c r="F505" s="3"/>
      <c r="G505" s="3"/>
      <c r="H505" s="3"/>
      <c r="I505" s="3"/>
    </row>
    <row r="506" spans="1:9" x14ac:dyDescent="0.25">
      <c r="A506" s="3"/>
      <c r="B506" s="3"/>
      <c r="C506" s="3"/>
      <c r="D506" s="3"/>
      <c r="E506" s="3"/>
      <c r="F506" s="3"/>
      <c r="G506" s="3"/>
      <c r="H506" s="3"/>
      <c r="I506" s="3"/>
    </row>
    <row r="507" spans="1:9" x14ac:dyDescent="0.25">
      <c r="A507" s="3"/>
      <c r="B507" s="3"/>
      <c r="C507" s="3"/>
      <c r="D507" s="3"/>
      <c r="E507" s="3"/>
      <c r="F507" s="3"/>
      <c r="G507" s="3"/>
      <c r="H507" s="3"/>
      <c r="I507" s="3"/>
    </row>
    <row r="508" spans="1:9" x14ac:dyDescent="0.25">
      <c r="A508" s="3"/>
      <c r="B508" s="3"/>
      <c r="C508" s="3"/>
      <c r="D508" s="3"/>
      <c r="E508" s="3"/>
      <c r="F508" s="3"/>
      <c r="G508" s="3"/>
      <c r="H508" s="3"/>
      <c r="I508" s="3"/>
    </row>
    <row r="509" spans="1:9" x14ac:dyDescent="0.25">
      <c r="A509" s="3"/>
      <c r="B509" s="3"/>
      <c r="C509" s="3"/>
      <c r="D509" s="3"/>
      <c r="E509" s="3"/>
      <c r="F509" s="3"/>
      <c r="G509" s="3"/>
      <c r="H509" s="3"/>
      <c r="I509" s="3"/>
    </row>
    <row r="510" spans="1:9" x14ac:dyDescent="0.25">
      <c r="A510" s="3"/>
      <c r="B510" s="3"/>
      <c r="C510" s="3"/>
      <c r="D510" s="3"/>
      <c r="E510" s="3"/>
      <c r="F510" s="3"/>
      <c r="G510" s="3"/>
      <c r="H510" s="3"/>
      <c r="I510" s="3"/>
    </row>
    <row r="511" spans="1:9" x14ac:dyDescent="0.25">
      <c r="A511" s="3"/>
      <c r="B511" s="3"/>
      <c r="C511" s="3"/>
      <c r="D511" s="3"/>
      <c r="E511" s="3"/>
      <c r="F511" s="3"/>
      <c r="G511" s="3"/>
      <c r="H511" s="3"/>
      <c r="I511" s="3"/>
    </row>
    <row r="512" spans="1:9" x14ac:dyDescent="0.25">
      <c r="A512" s="3"/>
      <c r="B512" s="3"/>
      <c r="C512" s="3"/>
      <c r="D512" s="3"/>
      <c r="E512" s="3"/>
      <c r="F512" s="3"/>
      <c r="G512" s="3"/>
      <c r="H512" s="3"/>
      <c r="I512" s="3"/>
    </row>
    <row r="513" spans="1:9" x14ac:dyDescent="0.25">
      <c r="A513" s="3"/>
      <c r="B513" s="3"/>
      <c r="C513" s="3"/>
      <c r="D513" s="3"/>
      <c r="E513" s="3"/>
      <c r="F513" s="3"/>
      <c r="G513" s="3"/>
      <c r="H513" s="3"/>
      <c r="I513" s="3"/>
    </row>
    <row r="514" spans="1:9" x14ac:dyDescent="0.25">
      <c r="A514" s="3"/>
      <c r="B514" s="3"/>
      <c r="C514" s="3"/>
      <c r="D514" s="3"/>
      <c r="E514" s="3"/>
      <c r="F514" s="3"/>
      <c r="G514" s="3"/>
      <c r="H514" s="3"/>
      <c r="I514" s="3"/>
    </row>
    <row r="515" spans="1:9" x14ac:dyDescent="0.25">
      <c r="A515" s="3"/>
      <c r="B515" s="3"/>
      <c r="C515" s="3"/>
      <c r="D515" s="3"/>
      <c r="E515" s="3"/>
      <c r="F515" s="3"/>
      <c r="G515" s="3"/>
      <c r="H515" s="3"/>
      <c r="I515" s="3"/>
    </row>
    <row r="516" spans="1:9" x14ac:dyDescent="0.25">
      <c r="A516" s="3"/>
      <c r="B516" s="3"/>
      <c r="C516" s="3"/>
      <c r="D516" s="3"/>
      <c r="E516" s="3"/>
      <c r="F516" s="3"/>
      <c r="G516" s="3"/>
      <c r="H516" s="3"/>
      <c r="I516" s="3"/>
    </row>
    <row r="517" spans="1:9" x14ac:dyDescent="0.25">
      <c r="A517" s="3"/>
      <c r="B517" s="3"/>
      <c r="C517" s="3"/>
      <c r="D517" s="3"/>
      <c r="E517" s="3"/>
      <c r="F517" s="3"/>
      <c r="G517" s="3"/>
      <c r="H517" s="3"/>
      <c r="I517" s="3"/>
    </row>
    <row r="518" spans="1:9" x14ac:dyDescent="0.25">
      <c r="A518" s="3"/>
      <c r="B518" s="3"/>
      <c r="C518" s="3"/>
      <c r="D518" s="3"/>
      <c r="E518" s="3"/>
      <c r="F518" s="3"/>
      <c r="G518" s="3"/>
      <c r="H518" s="3"/>
      <c r="I518" s="3"/>
    </row>
    <row r="519" spans="1:9" x14ac:dyDescent="0.25">
      <c r="A519" s="3"/>
      <c r="B519" s="3"/>
      <c r="C519" s="3"/>
      <c r="D519" s="3"/>
      <c r="E519" s="3"/>
      <c r="F519" s="3"/>
      <c r="G519" s="3"/>
      <c r="H519" s="3"/>
      <c r="I519" s="3"/>
    </row>
    <row r="520" spans="1:9" x14ac:dyDescent="0.25">
      <c r="A520" s="3"/>
      <c r="B520" s="3"/>
      <c r="C520" s="3"/>
      <c r="D520" s="3"/>
      <c r="E520" s="3"/>
      <c r="F520" s="3"/>
      <c r="G520" s="3"/>
      <c r="H520" s="3"/>
      <c r="I520" s="3"/>
    </row>
    <row r="521" spans="1:9" x14ac:dyDescent="0.25">
      <c r="A521" s="3"/>
      <c r="B521" s="3"/>
      <c r="C521" s="3"/>
      <c r="D521" s="3"/>
      <c r="E521" s="3"/>
      <c r="F521" s="3"/>
      <c r="G521" s="3"/>
      <c r="H521" s="3"/>
      <c r="I521" s="3"/>
    </row>
    <row r="522" spans="1:9" x14ac:dyDescent="0.25">
      <c r="A522" s="3"/>
      <c r="B522" s="3"/>
      <c r="C522" s="3"/>
      <c r="D522" s="3"/>
      <c r="E522" s="3"/>
      <c r="F522" s="3"/>
      <c r="G522" s="3"/>
      <c r="H522" s="3"/>
      <c r="I522" s="3"/>
    </row>
    <row r="523" spans="1:9" x14ac:dyDescent="0.25">
      <c r="A523" s="3"/>
      <c r="B523" s="3"/>
      <c r="C523" s="3"/>
      <c r="D523" s="3"/>
      <c r="E523" s="3"/>
      <c r="F523" s="3"/>
      <c r="G523" s="3"/>
      <c r="H523" s="3"/>
      <c r="I523" s="3"/>
    </row>
    <row r="524" spans="1:9" x14ac:dyDescent="0.25">
      <c r="A524" s="3"/>
      <c r="B524" s="3"/>
      <c r="C524" s="3"/>
      <c r="D524" s="3"/>
      <c r="E524" s="3"/>
      <c r="F524" s="3"/>
      <c r="G524" s="3"/>
      <c r="H524" s="3"/>
      <c r="I524" s="3"/>
    </row>
    <row r="525" spans="1:9" x14ac:dyDescent="0.25">
      <c r="A525" s="3"/>
      <c r="B525" s="3"/>
      <c r="C525" s="3"/>
      <c r="D525" s="3"/>
      <c r="E525" s="3"/>
      <c r="F525" s="3"/>
      <c r="G525" s="3"/>
      <c r="H525" s="3"/>
      <c r="I525" s="3"/>
    </row>
    <row r="526" spans="1:9" x14ac:dyDescent="0.25">
      <c r="A526" s="3"/>
      <c r="B526" s="3"/>
      <c r="C526" s="3"/>
      <c r="D526" s="3"/>
      <c r="E526" s="3"/>
      <c r="F526" s="3"/>
      <c r="G526" s="3"/>
      <c r="H526" s="3"/>
      <c r="I526" s="3"/>
    </row>
    <row r="527" spans="1:9" x14ac:dyDescent="0.25">
      <c r="A527" s="3"/>
      <c r="B527" s="3"/>
      <c r="C527" s="3"/>
      <c r="D527" s="3"/>
      <c r="E527" s="3"/>
      <c r="F527" s="3"/>
      <c r="G527" s="3"/>
      <c r="H527" s="3"/>
      <c r="I527" s="3"/>
    </row>
    <row r="528" spans="1:9" x14ac:dyDescent="0.25">
      <c r="A528" s="3"/>
      <c r="B528" s="3"/>
      <c r="C528" s="3"/>
      <c r="D528" s="3"/>
      <c r="E528" s="3"/>
      <c r="F528" s="3"/>
      <c r="G528" s="3"/>
      <c r="H528" s="3"/>
      <c r="I528" s="3"/>
    </row>
    <row r="529" spans="1:9" x14ac:dyDescent="0.25">
      <c r="A529" s="3"/>
      <c r="B529" s="3"/>
      <c r="C529" s="3"/>
      <c r="D529" s="3"/>
      <c r="E529" s="3"/>
      <c r="F529" s="3"/>
      <c r="G529" s="3"/>
      <c r="H529" s="3"/>
      <c r="I529" s="3"/>
    </row>
    <row r="530" spans="1:9" x14ac:dyDescent="0.25">
      <c r="A530" s="3"/>
      <c r="B530" s="3"/>
      <c r="C530" s="3"/>
      <c r="D530" s="3"/>
      <c r="E530" s="3"/>
      <c r="F530" s="3"/>
      <c r="G530" s="3"/>
      <c r="H530" s="3"/>
      <c r="I530" s="3"/>
    </row>
    <row r="531" spans="1:9" x14ac:dyDescent="0.25">
      <c r="A531" s="3"/>
      <c r="B531" s="3"/>
      <c r="C531" s="3"/>
      <c r="D531" s="3"/>
      <c r="E531" s="3"/>
      <c r="F531" s="3"/>
      <c r="G531" s="3"/>
      <c r="H531" s="3"/>
      <c r="I531" s="3"/>
    </row>
    <row r="532" spans="1:9" x14ac:dyDescent="0.25">
      <c r="A532" s="3"/>
      <c r="B532" s="3"/>
      <c r="C532" s="3"/>
      <c r="D532" s="3"/>
      <c r="E532" s="3"/>
      <c r="F532" s="3"/>
      <c r="G532" s="3"/>
      <c r="H532" s="3"/>
      <c r="I532" s="3"/>
    </row>
    <row r="533" spans="1:9" x14ac:dyDescent="0.25">
      <c r="A533" s="3"/>
      <c r="B533" s="3"/>
      <c r="C533" s="3"/>
      <c r="D533" s="3"/>
      <c r="E533" s="3"/>
      <c r="F533" s="3"/>
      <c r="G533" s="3"/>
      <c r="H533" s="3"/>
      <c r="I533" s="3"/>
    </row>
    <row r="534" spans="1:9" x14ac:dyDescent="0.25">
      <c r="A534" s="3"/>
      <c r="B534" s="3"/>
      <c r="C534" s="3"/>
      <c r="D534" s="3"/>
      <c r="E534" s="3"/>
      <c r="F534" s="3"/>
      <c r="G534" s="3"/>
      <c r="H534" s="3"/>
      <c r="I534" s="3"/>
    </row>
    <row r="535" spans="1:9" x14ac:dyDescent="0.25">
      <c r="A535" s="3"/>
      <c r="B535" s="3"/>
      <c r="C535" s="3"/>
      <c r="D535" s="3"/>
      <c r="E535" s="3"/>
      <c r="F535" s="3"/>
      <c r="G535" s="3"/>
      <c r="H535" s="3"/>
      <c r="I535" s="3"/>
    </row>
    <row r="536" spans="1:9" x14ac:dyDescent="0.25">
      <c r="A536" s="3"/>
      <c r="B536" s="3"/>
      <c r="C536" s="3"/>
      <c r="D536" s="3"/>
      <c r="E536" s="3"/>
      <c r="F536" s="3"/>
      <c r="G536" s="3"/>
      <c r="H536" s="3"/>
      <c r="I536" s="3"/>
    </row>
    <row r="537" spans="1:9" x14ac:dyDescent="0.25">
      <c r="A537" s="3"/>
      <c r="B537" s="3"/>
      <c r="C537" s="3"/>
      <c r="D537" s="3"/>
      <c r="E537" s="3"/>
      <c r="F537" s="3"/>
      <c r="G537" s="3"/>
      <c r="H537" s="3"/>
      <c r="I537" s="3"/>
    </row>
    <row r="538" spans="1:9" x14ac:dyDescent="0.25">
      <c r="A538" s="3"/>
      <c r="B538" s="3"/>
      <c r="C538" s="3"/>
      <c r="D538" s="3"/>
      <c r="E538" s="3"/>
      <c r="F538" s="3"/>
      <c r="G538" s="3"/>
      <c r="H538" s="3"/>
      <c r="I538" s="3"/>
    </row>
    <row r="539" spans="1:9" x14ac:dyDescent="0.25">
      <c r="A539" s="3"/>
      <c r="B539" s="3"/>
      <c r="C539" s="3"/>
      <c r="D539" s="3"/>
      <c r="E539" s="3"/>
      <c r="F539" s="3"/>
      <c r="G539" s="3"/>
      <c r="H539" s="3"/>
      <c r="I539" s="3"/>
    </row>
    <row r="540" spans="1:9" x14ac:dyDescent="0.25">
      <c r="A540" s="3"/>
      <c r="B540" s="3"/>
      <c r="C540" s="3"/>
      <c r="D540" s="3"/>
      <c r="E540" s="3"/>
      <c r="F540" s="3"/>
      <c r="G540" s="3"/>
      <c r="H540" s="3"/>
      <c r="I540" s="3"/>
    </row>
    <row r="541" spans="1:9" x14ac:dyDescent="0.25">
      <c r="A541" s="3"/>
      <c r="B541" s="3"/>
      <c r="C541" s="3"/>
      <c r="D541" s="3"/>
      <c r="E541" s="3"/>
      <c r="F541" s="3"/>
      <c r="G541" s="3"/>
      <c r="H541" s="3"/>
      <c r="I541" s="3"/>
    </row>
    <row r="542" spans="1:9" x14ac:dyDescent="0.25">
      <c r="A542" s="3"/>
      <c r="B542" s="3"/>
      <c r="C542" s="3"/>
      <c r="D542" s="3"/>
      <c r="E542" s="3"/>
      <c r="F542" s="3"/>
      <c r="G542" s="3"/>
      <c r="H542" s="3"/>
      <c r="I542" s="3"/>
    </row>
    <row r="543" spans="1:9" x14ac:dyDescent="0.25">
      <c r="A543" s="3"/>
      <c r="B543" s="3"/>
      <c r="C543" s="3"/>
      <c r="D543" s="3"/>
      <c r="E543" s="3"/>
      <c r="F543" s="3"/>
      <c r="G543" s="3"/>
      <c r="H543" s="3"/>
      <c r="I543" s="3"/>
    </row>
    <row r="544" spans="1:9" x14ac:dyDescent="0.25">
      <c r="A544" s="3"/>
      <c r="B544" s="3"/>
      <c r="C544" s="3"/>
      <c r="D544" s="3"/>
      <c r="E544" s="3"/>
      <c r="F544" s="3"/>
      <c r="G544" s="3"/>
      <c r="H544" s="3"/>
      <c r="I544" s="3"/>
    </row>
    <row r="545" spans="1:9" x14ac:dyDescent="0.25">
      <c r="A545" s="3"/>
      <c r="B545" s="3"/>
      <c r="C545" s="3"/>
      <c r="D545" s="3"/>
      <c r="E545" s="3"/>
      <c r="F545" s="3"/>
      <c r="G545" s="3"/>
      <c r="H545" s="3"/>
      <c r="I545" s="3"/>
    </row>
    <row r="546" spans="1:9" x14ac:dyDescent="0.25">
      <c r="A546" s="3"/>
      <c r="B546" s="3"/>
      <c r="C546" s="3"/>
      <c r="D546" s="3"/>
      <c r="E546" s="3"/>
      <c r="F546" s="3"/>
      <c r="G546" s="3"/>
      <c r="H546" s="3"/>
      <c r="I546" s="3"/>
    </row>
    <row r="547" spans="1:9" x14ac:dyDescent="0.25">
      <c r="A547" s="3"/>
      <c r="B547" s="3"/>
      <c r="C547" s="3"/>
      <c r="D547" s="3"/>
      <c r="E547" s="3"/>
      <c r="F547" s="3"/>
      <c r="G547" s="3"/>
      <c r="H547" s="3"/>
      <c r="I547" s="3"/>
    </row>
    <row r="548" spans="1:9" x14ac:dyDescent="0.25">
      <c r="A548" s="3"/>
      <c r="B548" s="3"/>
      <c r="C548" s="3"/>
      <c r="D548" s="3"/>
      <c r="E548" s="3"/>
      <c r="F548" s="3"/>
      <c r="G548" s="3"/>
      <c r="H548" s="3"/>
      <c r="I548" s="3"/>
    </row>
    <row r="549" spans="1:9" x14ac:dyDescent="0.25">
      <c r="A549" s="3"/>
      <c r="B549" s="3"/>
      <c r="C549" s="3"/>
      <c r="D549" s="3"/>
      <c r="E549" s="3"/>
      <c r="F549" s="3"/>
      <c r="G549" s="3"/>
      <c r="H549" s="3"/>
      <c r="I549" s="3"/>
    </row>
    <row r="550" spans="1:9" x14ac:dyDescent="0.25">
      <c r="A550" s="3"/>
      <c r="B550" s="3"/>
      <c r="C550" s="3"/>
      <c r="D550" s="3"/>
      <c r="E550" s="3"/>
      <c r="F550" s="3"/>
      <c r="G550" s="3"/>
      <c r="H550" s="3"/>
      <c r="I550" s="3"/>
    </row>
    <row r="551" spans="1:9" x14ac:dyDescent="0.25">
      <c r="A551" s="3"/>
      <c r="B551" s="3"/>
      <c r="C551" s="3"/>
      <c r="D551" s="3"/>
      <c r="E551" s="3"/>
      <c r="F551" s="3"/>
      <c r="G551" s="3"/>
      <c r="H551" s="3"/>
      <c r="I551" s="3"/>
    </row>
    <row r="552" spans="1:9" x14ac:dyDescent="0.25">
      <c r="A552" s="3"/>
      <c r="B552" s="3"/>
      <c r="C552" s="3"/>
      <c r="D552" s="3"/>
      <c r="E552" s="3"/>
      <c r="F552" s="3"/>
      <c r="G552" s="3"/>
      <c r="H552" s="3"/>
      <c r="I552" s="3"/>
    </row>
    <row r="553" spans="1:9" x14ac:dyDescent="0.25">
      <c r="A553" s="3"/>
      <c r="B553" s="3"/>
      <c r="C553" s="3"/>
      <c r="D553" s="3"/>
      <c r="E553" s="3"/>
      <c r="F553" s="3"/>
      <c r="G553" s="3"/>
      <c r="H553" s="3"/>
      <c r="I553" s="3"/>
    </row>
    <row r="554" spans="1:9" x14ac:dyDescent="0.25">
      <c r="A554" s="3"/>
      <c r="B554" s="3"/>
      <c r="C554" s="3"/>
      <c r="D554" s="3"/>
      <c r="E554" s="3"/>
      <c r="F554" s="3"/>
      <c r="G554" s="3"/>
      <c r="H554" s="3"/>
      <c r="I554" s="3"/>
    </row>
    <row r="555" spans="1:9" x14ac:dyDescent="0.25">
      <c r="A555" s="3"/>
      <c r="B555" s="3"/>
      <c r="C555" s="3"/>
      <c r="D555" s="3"/>
      <c r="E555" s="3"/>
      <c r="F555" s="3"/>
      <c r="G555" s="3"/>
      <c r="H555" s="3"/>
      <c r="I555" s="3"/>
    </row>
    <row r="556" spans="1:9" x14ac:dyDescent="0.25">
      <c r="A556" s="3"/>
      <c r="B556" s="3"/>
      <c r="C556" s="3"/>
      <c r="D556" s="3"/>
      <c r="E556" s="3"/>
      <c r="F556" s="3"/>
      <c r="G556" s="3"/>
      <c r="H556" s="3"/>
      <c r="I556" s="3"/>
    </row>
    <row r="557" spans="1:9" x14ac:dyDescent="0.25">
      <c r="A557" s="3"/>
      <c r="B557" s="3"/>
      <c r="C557" s="3"/>
      <c r="D557" s="3"/>
      <c r="E557" s="3"/>
      <c r="F557" s="3"/>
      <c r="G557" s="3"/>
      <c r="H557" s="3"/>
      <c r="I557" s="3"/>
    </row>
    <row r="558" spans="1:9" x14ac:dyDescent="0.25">
      <c r="A558" s="3"/>
      <c r="B558" s="3"/>
      <c r="C558" s="3"/>
      <c r="D558" s="3"/>
      <c r="E558" s="3"/>
      <c r="F558" s="3"/>
      <c r="G558" s="3"/>
      <c r="H558" s="3"/>
      <c r="I558" s="3"/>
    </row>
    <row r="559" spans="1:9" x14ac:dyDescent="0.25">
      <c r="A559" s="3"/>
      <c r="B559" s="3"/>
      <c r="C559" s="3"/>
      <c r="D559" s="3"/>
      <c r="E559" s="3"/>
      <c r="F559" s="3"/>
      <c r="G559" s="3"/>
      <c r="H559" s="3"/>
      <c r="I559" s="3"/>
    </row>
    <row r="560" spans="1:9" x14ac:dyDescent="0.25">
      <c r="A560" s="3"/>
      <c r="B560" s="3"/>
      <c r="C560" s="3"/>
      <c r="D560" s="3"/>
      <c r="E560" s="3"/>
      <c r="F560" s="3"/>
      <c r="G560" s="3"/>
      <c r="H560" s="3"/>
      <c r="I560" s="3"/>
    </row>
    <row r="561" spans="1:9" x14ac:dyDescent="0.25">
      <c r="A561" s="3"/>
      <c r="B561" s="3"/>
      <c r="C561" s="3"/>
      <c r="D561" s="3"/>
      <c r="E561" s="3"/>
      <c r="F561" s="3"/>
      <c r="G561" s="3"/>
      <c r="H561" s="3"/>
      <c r="I561" s="3"/>
    </row>
    <row r="562" spans="1:9" x14ac:dyDescent="0.25">
      <c r="A562" s="3"/>
      <c r="B562" s="3"/>
      <c r="C562" s="3"/>
      <c r="D562" s="3"/>
      <c r="E562" s="3"/>
      <c r="F562" s="3"/>
      <c r="G562" s="3"/>
      <c r="H562" s="3"/>
      <c r="I562" s="3"/>
    </row>
    <row r="563" spans="1:9" x14ac:dyDescent="0.25">
      <c r="A563" s="3"/>
      <c r="B563" s="3"/>
      <c r="C563" s="3"/>
      <c r="D563" s="3"/>
      <c r="E563" s="3"/>
      <c r="F563" s="3"/>
      <c r="G563" s="3"/>
      <c r="H563" s="3"/>
      <c r="I563" s="3"/>
    </row>
    <row r="564" spans="1:9" x14ac:dyDescent="0.25">
      <c r="A564" s="3"/>
      <c r="B564" s="3"/>
      <c r="C564" s="3"/>
      <c r="D564" s="3"/>
      <c r="E564" s="3"/>
      <c r="F564" s="3"/>
      <c r="G564" s="3"/>
      <c r="H564" s="3"/>
      <c r="I564" s="3"/>
    </row>
    <row r="565" spans="1:9" x14ac:dyDescent="0.25">
      <c r="A565" s="3"/>
      <c r="B565" s="3"/>
      <c r="C565" s="3"/>
      <c r="D565" s="3"/>
      <c r="E565" s="3"/>
      <c r="F565" s="3"/>
      <c r="G565" s="3"/>
      <c r="H565" s="3"/>
      <c r="I565" s="3"/>
    </row>
    <row r="566" spans="1:9" x14ac:dyDescent="0.25">
      <c r="A566" s="3"/>
      <c r="B566" s="3"/>
      <c r="C566" s="3"/>
      <c r="D566" s="3"/>
      <c r="E566" s="3"/>
      <c r="F566" s="3"/>
      <c r="G566" s="3"/>
      <c r="H566" s="3"/>
      <c r="I566" s="3"/>
    </row>
    <row r="567" spans="1:9" x14ac:dyDescent="0.25">
      <c r="A567" s="3"/>
      <c r="B567" s="3"/>
      <c r="C567" s="3"/>
      <c r="D567" s="3"/>
      <c r="E567" s="3"/>
      <c r="F567" s="3"/>
      <c r="G567" s="3"/>
      <c r="H567" s="3"/>
      <c r="I567" s="3"/>
    </row>
    <row r="568" spans="1:9" x14ac:dyDescent="0.25">
      <c r="A568" s="3"/>
      <c r="B568" s="3"/>
      <c r="C568" s="3"/>
      <c r="D568" s="3"/>
      <c r="E568" s="3"/>
      <c r="F568" s="3"/>
      <c r="G568" s="3"/>
      <c r="H568" s="3"/>
      <c r="I568" s="3"/>
    </row>
    <row r="569" spans="1:9" x14ac:dyDescent="0.25">
      <c r="A569" s="3"/>
      <c r="B569" s="3"/>
      <c r="C569" s="3"/>
      <c r="D569" s="3"/>
      <c r="E569" s="3"/>
      <c r="F569" s="3"/>
      <c r="G569" s="3"/>
      <c r="H569" s="3"/>
      <c r="I569" s="3"/>
    </row>
    <row r="570" spans="1:9" x14ac:dyDescent="0.25">
      <c r="A570" s="3"/>
      <c r="B570" s="3"/>
      <c r="C570" s="3"/>
      <c r="D570" s="3"/>
      <c r="E570" s="3"/>
      <c r="F570" s="3"/>
      <c r="G570" s="3"/>
      <c r="H570" s="3"/>
      <c r="I570" s="3"/>
    </row>
    <row r="571" spans="1:9" x14ac:dyDescent="0.25">
      <c r="A571" s="3"/>
      <c r="B571" s="3"/>
      <c r="C571" s="3"/>
      <c r="D571" s="3"/>
      <c r="E571" s="3"/>
      <c r="F571" s="3"/>
      <c r="G571" s="3"/>
      <c r="H571" s="3"/>
      <c r="I571" s="3"/>
    </row>
    <row r="572" spans="1:9" x14ac:dyDescent="0.25">
      <c r="A572" s="3"/>
      <c r="B572" s="3"/>
      <c r="C572" s="3"/>
      <c r="D572" s="3"/>
      <c r="E572" s="3"/>
      <c r="F572" s="3"/>
      <c r="G572" s="3"/>
      <c r="H572" s="3"/>
      <c r="I572" s="3"/>
    </row>
    <row r="573" spans="1:9" x14ac:dyDescent="0.25">
      <c r="A573" s="3"/>
      <c r="B573" s="3"/>
      <c r="C573" s="3"/>
      <c r="D573" s="3"/>
      <c r="E573" s="3"/>
      <c r="F573" s="3"/>
      <c r="G573" s="3"/>
      <c r="H573" s="3"/>
      <c r="I573" s="3"/>
    </row>
    <row r="574" spans="1:9" x14ac:dyDescent="0.25">
      <c r="A574" s="3"/>
      <c r="B574" s="3"/>
      <c r="C574" s="3"/>
      <c r="D574" s="3"/>
      <c r="E574" s="3"/>
      <c r="F574" s="3"/>
      <c r="G574" s="3"/>
      <c r="H574" s="3"/>
      <c r="I574" s="3"/>
    </row>
    <row r="575" spans="1:9" x14ac:dyDescent="0.25">
      <c r="A575" s="3"/>
      <c r="B575" s="3"/>
      <c r="C575" s="3"/>
      <c r="D575" s="3"/>
      <c r="E575" s="3"/>
      <c r="F575" s="3"/>
      <c r="G575" s="3"/>
      <c r="H575" s="3"/>
      <c r="I575" s="3"/>
    </row>
    <row r="576" spans="1:9" x14ac:dyDescent="0.25">
      <c r="A576" s="3"/>
      <c r="B576" s="3"/>
      <c r="C576" s="3"/>
      <c r="D576" s="3"/>
      <c r="E576" s="3"/>
      <c r="F576" s="3"/>
      <c r="G576" s="3"/>
      <c r="H576" s="3"/>
      <c r="I576" s="3"/>
    </row>
    <row r="577" spans="1:9" x14ac:dyDescent="0.25">
      <c r="A577" s="3"/>
      <c r="B577" s="3"/>
      <c r="C577" s="3"/>
      <c r="D577" s="3"/>
      <c r="E577" s="3"/>
      <c r="F577" s="3"/>
      <c r="G577" s="3"/>
      <c r="H577" s="3"/>
      <c r="I577" s="3"/>
    </row>
    <row r="578" spans="1:9" x14ac:dyDescent="0.25">
      <c r="A578" s="3"/>
      <c r="B578" s="3"/>
      <c r="C578" s="3"/>
      <c r="D578" s="3"/>
      <c r="E578" s="3"/>
      <c r="F578" s="3"/>
      <c r="G578" s="3"/>
      <c r="H578" s="3"/>
      <c r="I578" s="3"/>
    </row>
    <row r="579" spans="1:9" x14ac:dyDescent="0.25">
      <c r="A579" s="3"/>
      <c r="B579" s="3"/>
      <c r="C579" s="3"/>
      <c r="D579" s="3"/>
      <c r="E579" s="3"/>
      <c r="F579" s="3"/>
      <c r="G579" s="3"/>
      <c r="H579" s="3"/>
      <c r="I579" s="3"/>
    </row>
    <row r="580" spans="1:9" x14ac:dyDescent="0.25">
      <c r="A580" s="3"/>
      <c r="B580" s="3"/>
      <c r="C580" s="3"/>
      <c r="D580" s="3"/>
      <c r="E580" s="3"/>
      <c r="F580" s="3"/>
      <c r="G580" s="3"/>
      <c r="H580" s="3"/>
      <c r="I580" s="3"/>
    </row>
    <row r="581" spans="1:9" x14ac:dyDescent="0.25">
      <c r="A581" s="3"/>
      <c r="B581" s="3"/>
      <c r="C581" s="3"/>
      <c r="D581" s="3"/>
      <c r="E581" s="3"/>
      <c r="F581" s="3"/>
      <c r="G581" s="3"/>
      <c r="H581" s="3"/>
      <c r="I581" s="3"/>
    </row>
    <row r="582" spans="1:9" x14ac:dyDescent="0.25">
      <c r="A582" s="3"/>
      <c r="B582" s="3"/>
      <c r="C582" s="3"/>
      <c r="D582" s="3"/>
      <c r="E582" s="3"/>
      <c r="F582" s="3"/>
      <c r="G582" s="3"/>
      <c r="H582" s="3"/>
      <c r="I582" s="3"/>
    </row>
    <row r="583" spans="1:9" x14ac:dyDescent="0.25">
      <c r="A583" s="3"/>
      <c r="B583" s="3"/>
      <c r="C583" s="3"/>
      <c r="D583" s="3"/>
      <c r="E583" s="3"/>
      <c r="F583" s="3"/>
      <c r="G583" s="3"/>
      <c r="H583" s="3"/>
      <c r="I583" s="3"/>
    </row>
    <row r="584" spans="1:9" x14ac:dyDescent="0.25">
      <c r="A584" s="3"/>
      <c r="B584" s="3"/>
      <c r="C584" s="3"/>
      <c r="D584" s="3"/>
      <c r="E584" s="3"/>
      <c r="F584" s="3"/>
      <c r="G584" s="3"/>
      <c r="H584" s="3"/>
      <c r="I584" s="3"/>
    </row>
    <row r="585" spans="1:9" x14ac:dyDescent="0.25">
      <c r="A585" s="3"/>
      <c r="B585" s="3"/>
      <c r="C585" s="3"/>
      <c r="D585" s="3"/>
      <c r="E585" s="3"/>
      <c r="F585" s="3"/>
      <c r="G585" s="3"/>
      <c r="H585" s="3"/>
      <c r="I585" s="3"/>
    </row>
    <row r="586" spans="1:9" x14ac:dyDescent="0.25">
      <c r="A586" s="3"/>
      <c r="B586" s="3"/>
      <c r="C586" s="3"/>
      <c r="D586" s="3"/>
      <c r="E586" s="3"/>
      <c r="F586" s="3"/>
      <c r="G586" s="3"/>
      <c r="H586" s="3"/>
      <c r="I586" s="3"/>
    </row>
    <row r="587" spans="1:9" x14ac:dyDescent="0.25">
      <c r="A587" s="3"/>
      <c r="B587" s="3"/>
      <c r="C587" s="3"/>
      <c r="D587" s="3"/>
      <c r="E587" s="3"/>
      <c r="F587" s="3"/>
      <c r="G587" s="3"/>
      <c r="H587" s="3"/>
      <c r="I587" s="3"/>
    </row>
    <row r="588" spans="1:9" x14ac:dyDescent="0.25">
      <c r="A588" s="3"/>
      <c r="B588" s="3"/>
      <c r="C588" s="3"/>
      <c r="D588" s="3"/>
      <c r="E588" s="3"/>
      <c r="F588" s="3"/>
      <c r="G588" s="3"/>
      <c r="H588" s="3"/>
      <c r="I588" s="3"/>
    </row>
    <row r="589" spans="1:9" x14ac:dyDescent="0.25">
      <c r="A589" s="3"/>
      <c r="B589" s="3"/>
      <c r="C589" s="3"/>
      <c r="D589" s="3"/>
      <c r="E589" s="3"/>
      <c r="F589" s="3"/>
      <c r="G589" s="3"/>
      <c r="H589" s="3"/>
      <c r="I589" s="3"/>
    </row>
    <row r="590" spans="1:9" x14ac:dyDescent="0.25">
      <c r="A590" s="3"/>
      <c r="B590" s="3"/>
      <c r="C590" s="3"/>
      <c r="D590" s="3"/>
      <c r="E590" s="3"/>
      <c r="F590" s="3"/>
      <c r="G590" s="3"/>
      <c r="H590" s="3"/>
      <c r="I590" s="3"/>
    </row>
    <row r="591" spans="1:9" x14ac:dyDescent="0.25">
      <c r="A591" s="3"/>
      <c r="B591" s="3"/>
      <c r="C591" s="3"/>
      <c r="D591" s="3"/>
      <c r="E591" s="3"/>
      <c r="F591" s="3"/>
      <c r="G591" s="3"/>
      <c r="H591" s="3"/>
      <c r="I591" s="3"/>
    </row>
    <row r="592" spans="1:9" x14ac:dyDescent="0.25">
      <c r="A592" s="3"/>
      <c r="B592" s="3"/>
      <c r="C592" s="3"/>
      <c r="D592" s="3"/>
      <c r="E592" s="3"/>
      <c r="F592" s="3"/>
      <c r="G592" s="3"/>
      <c r="H592" s="3"/>
      <c r="I592" s="3"/>
    </row>
    <row r="593" spans="1:9" x14ac:dyDescent="0.25">
      <c r="A593" s="3"/>
      <c r="B593" s="3"/>
      <c r="C593" s="3"/>
      <c r="D593" s="3"/>
      <c r="E593" s="3"/>
      <c r="F593" s="3"/>
      <c r="G593" s="3"/>
      <c r="H593" s="3"/>
      <c r="I593" s="3"/>
    </row>
    <row r="594" spans="1:9" x14ac:dyDescent="0.25">
      <c r="A594" s="3"/>
      <c r="B594" s="3"/>
      <c r="C594" s="3"/>
      <c r="D594" s="3"/>
      <c r="E594" s="3"/>
      <c r="F594" s="3"/>
      <c r="G594" s="3"/>
      <c r="H594" s="3"/>
      <c r="I594" s="3"/>
    </row>
    <row r="595" spans="1:9" x14ac:dyDescent="0.25">
      <c r="A595" s="3"/>
      <c r="B595" s="3"/>
      <c r="C595" s="3"/>
      <c r="D595" s="3"/>
      <c r="E595" s="3"/>
      <c r="F595" s="3"/>
      <c r="G595" s="3"/>
      <c r="H595" s="3"/>
      <c r="I595" s="3"/>
    </row>
    <row r="596" spans="1:9" x14ac:dyDescent="0.25">
      <c r="A596" s="3"/>
      <c r="B596" s="3"/>
      <c r="C596" s="3"/>
      <c r="D596" s="3"/>
      <c r="E596" s="3"/>
      <c r="F596" s="3"/>
      <c r="G596" s="3"/>
      <c r="H596" s="3"/>
      <c r="I596" s="3"/>
    </row>
    <row r="597" spans="1:9" x14ac:dyDescent="0.25">
      <c r="A597" s="3"/>
      <c r="B597" s="3"/>
      <c r="C597" s="3"/>
      <c r="D597" s="3"/>
      <c r="E597" s="3"/>
      <c r="F597" s="3"/>
      <c r="G597" s="3"/>
      <c r="H597" s="3"/>
      <c r="I597" s="3"/>
    </row>
    <row r="598" spans="1:9" x14ac:dyDescent="0.25">
      <c r="A598" s="3"/>
      <c r="B598" s="3"/>
      <c r="C598" s="3"/>
      <c r="D598" s="3"/>
      <c r="E598" s="3"/>
      <c r="F598" s="3"/>
      <c r="G598" s="3"/>
      <c r="H598" s="3"/>
      <c r="I598" s="3"/>
    </row>
    <row r="599" spans="1:9" x14ac:dyDescent="0.25">
      <c r="A599" s="3"/>
      <c r="B599" s="3"/>
      <c r="C599" s="3"/>
      <c r="D599" s="3"/>
      <c r="E599" s="3"/>
      <c r="F599" s="3"/>
      <c r="G599" s="3"/>
      <c r="H599" s="3"/>
      <c r="I599" s="3"/>
    </row>
    <row r="600" spans="1:9" x14ac:dyDescent="0.25">
      <c r="A600" s="3"/>
      <c r="B600" s="3"/>
      <c r="C600" s="3"/>
      <c r="D600" s="3"/>
      <c r="E600" s="3"/>
      <c r="F600" s="3"/>
      <c r="G600" s="3"/>
      <c r="H600" s="3"/>
      <c r="I600" s="3"/>
    </row>
    <row r="601" spans="1:9" x14ac:dyDescent="0.25">
      <c r="A601" s="3"/>
      <c r="B601" s="3"/>
      <c r="C601" s="3"/>
      <c r="D601" s="3"/>
      <c r="E601" s="3"/>
      <c r="F601" s="3"/>
      <c r="G601" s="3"/>
      <c r="H601" s="3"/>
      <c r="I601" s="3"/>
    </row>
    <row r="602" spans="1:9" x14ac:dyDescent="0.25">
      <c r="A602" s="3"/>
      <c r="B602" s="3"/>
      <c r="C602" s="3"/>
      <c r="D602" s="3"/>
      <c r="E602" s="3"/>
      <c r="F602" s="3"/>
      <c r="G602" s="3"/>
      <c r="H602" s="3"/>
      <c r="I602" s="3"/>
    </row>
    <row r="603" spans="1:9" x14ac:dyDescent="0.25">
      <c r="A603" s="3"/>
      <c r="B603" s="3"/>
      <c r="C603" s="3"/>
      <c r="D603" s="3"/>
      <c r="E603" s="3"/>
      <c r="F603" s="3"/>
      <c r="G603" s="3"/>
      <c r="H603" s="3"/>
      <c r="I603" s="3"/>
    </row>
    <row r="604" spans="1:9" x14ac:dyDescent="0.25">
      <c r="A604" s="3"/>
      <c r="B604" s="3"/>
      <c r="C604" s="3"/>
      <c r="D604" s="3"/>
      <c r="E604" s="3"/>
      <c r="F604" s="3"/>
      <c r="G604" s="3"/>
      <c r="H604" s="3"/>
      <c r="I604" s="3"/>
    </row>
    <row r="605" spans="1:9" x14ac:dyDescent="0.25">
      <c r="A605" s="3"/>
      <c r="B605" s="3"/>
      <c r="C605" s="3"/>
      <c r="D605" s="3"/>
      <c r="E605" s="3"/>
      <c r="F605" s="3"/>
      <c r="G605" s="3"/>
      <c r="H605" s="3"/>
      <c r="I605" s="3"/>
    </row>
    <row r="606" spans="1:9" x14ac:dyDescent="0.25">
      <c r="A606" s="3"/>
      <c r="B606" s="3"/>
      <c r="C606" s="3"/>
      <c r="D606" s="3"/>
      <c r="E606" s="3"/>
      <c r="F606" s="3"/>
      <c r="G606" s="3"/>
      <c r="H606" s="3"/>
      <c r="I606" s="3"/>
    </row>
    <row r="607" spans="1:9" x14ac:dyDescent="0.25">
      <c r="A607" s="3"/>
      <c r="B607" s="3"/>
      <c r="C607" s="3"/>
      <c r="D607" s="3"/>
      <c r="E607" s="3"/>
      <c r="F607" s="3"/>
      <c r="G607" s="3"/>
      <c r="H607" s="3"/>
      <c r="I607" s="3"/>
    </row>
    <row r="608" spans="1:9" x14ac:dyDescent="0.25">
      <c r="A608" s="3"/>
      <c r="B608" s="3"/>
      <c r="C608" s="3"/>
      <c r="D608" s="3"/>
      <c r="E608" s="3"/>
      <c r="F608" s="3"/>
      <c r="G608" s="3"/>
      <c r="H608" s="3"/>
      <c r="I608" s="3"/>
    </row>
    <row r="609" spans="1:9" x14ac:dyDescent="0.25">
      <c r="A609" s="3"/>
      <c r="B609" s="3"/>
      <c r="C609" s="3"/>
      <c r="D609" s="3"/>
      <c r="E609" s="3"/>
      <c r="F609" s="3"/>
      <c r="G609" s="3"/>
      <c r="H609" s="3"/>
      <c r="I609" s="3"/>
    </row>
    <row r="610" spans="1:9" x14ac:dyDescent="0.25">
      <c r="A610" s="3"/>
      <c r="B610" s="3"/>
      <c r="C610" s="3"/>
      <c r="D610" s="3"/>
      <c r="E610" s="3"/>
      <c r="F610" s="3"/>
      <c r="G610" s="3"/>
      <c r="H610" s="3"/>
      <c r="I610" s="3"/>
    </row>
    <row r="611" spans="1:9" x14ac:dyDescent="0.25">
      <c r="A611" s="3"/>
      <c r="B611" s="3"/>
      <c r="C611" s="3"/>
      <c r="D611" s="3"/>
      <c r="E611" s="3"/>
      <c r="F611" s="3"/>
      <c r="G611" s="3"/>
      <c r="H611" s="3"/>
      <c r="I611" s="3"/>
    </row>
    <row r="612" spans="1:9" x14ac:dyDescent="0.25">
      <c r="A612" s="3"/>
      <c r="B612" s="3"/>
      <c r="C612" s="3"/>
      <c r="D612" s="3"/>
      <c r="E612" s="3"/>
      <c r="F612" s="3"/>
      <c r="G612" s="3"/>
      <c r="H612" s="3"/>
      <c r="I612" s="3"/>
    </row>
    <row r="613" spans="1:9" x14ac:dyDescent="0.25">
      <c r="A613" s="3"/>
      <c r="B613" s="3"/>
      <c r="C613" s="3"/>
      <c r="D613" s="3"/>
      <c r="E613" s="3"/>
      <c r="F613" s="3"/>
      <c r="G613" s="3"/>
      <c r="H613" s="3"/>
      <c r="I613" s="3"/>
    </row>
    <row r="614" spans="1:9" x14ac:dyDescent="0.25">
      <c r="A614" s="3"/>
      <c r="B614" s="3"/>
      <c r="C614" s="3"/>
      <c r="D614" s="3"/>
      <c r="E614" s="3"/>
      <c r="F614" s="3"/>
      <c r="G614" s="3"/>
      <c r="H614" s="3"/>
      <c r="I614" s="3"/>
    </row>
    <row r="615" spans="1:9" x14ac:dyDescent="0.25">
      <c r="A615" s="3"/>
      <c r="B615" s="3"/>
      <c r="C615" s="3"/>
      <c r="D615" s="3"/>
      <c r="E615" s="3"/>
      <c r="F615" s="3"/>
      <c r="G615" s="3"/>
      <c r="H615" s="3"/>
      <c r="I615" s="3"/>
    </row>
    <row r="616" spans="1:9" x14ac:dyDescent="0.25">
      <c r="A616" s="3"/>
      <c r="B616" s="3"/>
      <c r="C616" s="3"/>
      <c r="D616" s="3"/>
      <c r="E616" s="3"/>
      <c r="F616" s="3"/>
      <c r="G616" s="3"/>
      <c r="H616" s="3"/>
      <c r="I616" s="3"/>
    </row>
    <row r="617" spans="1:9" x14ac:dyDescent="0.25">
      <c r="A617" s="3"/>
      <c r="B617" s="3"/>
      <c r="C617" s="3"/>
      <c r="D617" s="3"/>
      <c r="E617" s="3"/>
      <c r="F617" s="3"/>
      <c r="G617" s="3"/>
      <c r="H617" s="3"/>
      <c r="I617" s="3"/>
    </row>
    <row r="618" spans="1:9" x14ac:dyDescent="0.25">
      <c r="A618" s="3"/>
      <c r="B618" s="3"/>
      <c r="C618" s="3"/>
      <c r="D618" s="3"/>
      <c r="E618" s="3"/>
      <c r="F618" s="3"/>
      <c r="G618" s="3"/>
      <c r="H618" s="3"/>
      <c r="I618" s="3"/>
    </row>
    <row r="619" spans="1:9" x14ac:dyDescent="0.25">
      <c r="A619" s="3"/>
      <c r="B619" s="3"/>
      <c r="C619" s="3"/>
      <c r="D619" s="3"/>
      <c r="E619" s="3"/>
      <c r="F619" s="3"/>
      <c r="G619" s="3"/>
      <c r="H619" s="3"/>
      <c r="I619" s="3"/>
    </row>
    <row r="620" spans="1:9" x14ac:dyDescent="0.25">
      <c r="A620" s="3"/>
      <c r="B620" s="3"/>
      <c r="C620" s="3"/>
      <c r="D620" s="3"/>
      <c r="E620" s="3"/>
      <c r="F620" s="3"/>
      <c r="G620" s="3"/>
      <c r="H620" s="3"/>
      <c r="I620" s="3"/>
    </row>
    <row r="621" spans="1:9" x14ac:dyDescent="0.25">
      <c r="A621" s="3"/>
      <c r="B621" s="3"/>
      <c r="C621" s="3"/>
      <c r="D621" s="3"/>
      <c r="E621" s="3"/>
      <c r="F621" s="3"/>
      <c r="G621" s="3"/>
      <c r="H621" s="3"/>
      <c r="I621" s="3"/>
    </row>
    <row r="622" spans="1:9" x14ac:dyDescent="0.25">
      <c r="A622" s="3"/>
      <c r="B622" s="3"/>
      <c r="C622" s="3"/>
      <c r="D622" s="3"/>
      <c r="E622" s="3"/>
      <c r="F622" s="3"/>
      <c r="G622" s="3"/>
      <c r="H622" s="3"/>
      <c r="I622" s="3"/>
    </row>
    <row r="623" spans="1:9" x14ac:dyDescent="0.25">
      <c r="A623" s="3"/>
      <c r="B623" s="3"/>
      <c r="C623" s="3"/>
      <c r="D623" s="3"/>
      <c r="E623" s="3"/>
      <c r="F623" s="3"/>
      <c r="G623" s="3"/>
      <c r="H623" s="3"/>
      <c r="I623" s="3"/>
    </row>
    <row r="624" spans="1:9" x14ac:dyDescent="0.25">
      <c r="A624" s="3"/>
      <c r="B624" s="3"/>
      <c r="C624" s="3"/>
      <c r="D624" s="3"/>
      <c r="E624" s="3"/>
      <c r="F624" s="3"/>
      <c r="G624" s="3"/>
      <c r="H624" s="3"/>
      <c r="I624" s="3"/>
    </row>
    <row r="625" spans="1:9" x14ac:dyDescent="0.25">
      <c r="A625" s="3"/>
      <c r="B625" s="3"/>
      <c r="C625" s="3"/>
      <c r="D625" s="3"/>
      <c r="E625" s="3"/>
      <c r="F625" s="3"/>
      <c r="G625" s="3"/>
      <c r="H625" s="3"/>
      <c r="I625" s="3"/>
    </row>
    <row r="626" spans="1:9" x14ac:dyDescent="0.25">
      <c r="A626" s="3"/>
      <c r="B626" s="3"/>
      <c r="C626" s="3"/>
      <c r="D626" s="3"/>
      <c r="E626" s="3"/>
      <c r="F626" s="3"/>
      <c r="G626" s="3"/>
      <c r="H626" s="3"/>
      <c r="I626" s="3"/>
    </row>
    <row r="627" spans="1:9" x14ac:dyDescent="0.25">
      <c r="A627" s="3"/>
      <c r="B627" s="3"/>
      <c r="C627" s="3"/>
      <c r="D627" s="3"/>
      <c r="E627" s="3"/>
      <c r="F627" s="3"/>
      <c r="G627" s="3"/>
      <c r="H627" s="3"/>
      <c r="I627" s="3"/>
    </row>
    <row r="628" spans="1:9" x14ac:dyDescent="0.25">
      <c r="A628" s="3"/>
      <c r="B628" s="3"/>
      <c r="C628" s="3"/>
      <c r="D628" s="3"/>
      <c r="E628" s="3"/>
      <c r="F628" s="3"/>
      <c r="G628" s="3"/>
      <c r="H628" s="3"/>
      <c r="I628" s="3"/>
    </row>
    <row r="629" spans="1:9" x14ac:dyDescent="0.25">
      <c r="A629" s="3"/>
      <c r="B629" s="3"/>
      <c r="C629" s="3"/>
      <c r="D629" s="3"/>
      <c r="E629" s="3"/>
      <c r="F629" s="3"/>
      <c r="G629" s="3"/>
      <c r="H629" s="3"/>
      <c r="I629" s="3"/>
    </row>
    <row r="630" spans="1:9" x14ac:dyDescent="0.25">
      <c r="A630" s="3"/>
      <c r="B630" s="3"/>
      <c r="C630" s="3"/>
      <c r="D630" s="3"/>
      <c r="E630" s="3"/>
      <c r="F630" s="3"/>
      <c r="G630" s="3"/>
      <c r="H630" s="3"/>
      <c r="I630" s="3"/>
    </row>
    <row r="631" spans="1:9" x14ac:dyDescent="0.25">
      <c r="A631" s="3"/>
      <c r="B631" s="3"/>
      <c r="C631" s="3"/>
      <c r="D631" s="3"/>
      <c r="E631" s="3"/>
      <c r="F631" s="3"/>
      <c r="G631" s="3"/>
      <c r="H631" s="3"/>
      <c r="I631" s="3"/>
    </row>
    <row r="632" spans="1:9" x14ac:dyDescent="0.25">
      <c r="A632" s="3"/>
      <c r="B632" s="3"/>
      <c r="C632" s="3"/>
      <c r="D632" s="3"/>
      <c r="E632" s="3"/>
      <c r="F632" s="3"/>
      <c r="G632" s="3"/>
      <c r="H632" s="3"/>
      <c r="I632" s="3"/>
    </row>
    <row r="633" spans="1:9" x14ac:dyDescent="0.25">
      <c r="A633" s="3"/>
      <c r="B633" s="3"/>
      <c r="C633" s="3"/>
      <c r="D633" s="3"/>
      <c r="E633" s="3"/>
      <c r="F633" s="3"/>
      <c r="G633" s="3"/>
      <c r="H633" s="3"/>
      <c r="I633" s="3"/>
    </row>
    <row r="634" spans="1:9" x14ac:dyDescent="0.25">
      <c r="A634" s="3"/>
      <c r="B634" s="3"/>
      <c r="C634" s="3"/>
      <c r="D634" s="3"/>
      <c r="E634" s="3"/>
      <c r="F634" s="3"/>
      <c r="G634" s="3"/>
      <c r="H634" s="3"/>
      <c r="I634" s="3"/>
    </row>
    <row r="635" spans="1:9" x14ac:dyDescent="0.25">
      <c r="A635" s="3"/>
      <c r="B635" s="3"/>
      <c r="C635" s="3"/>
      <c r="D635" s="3"/>
      <c r="E635" s="3"/>
      <c r="F635" s="3"/>
      <c r="G635" s="3"/>
      <c r="H635" s="3"/>
      <c r="I635" s="3"/>
    </row>
    <row r="636" spans="1:9" x14ac:dyDescent="0.25">
      <c r="A636" s="3"/>
      <c r="B636" s="3"/>
      <c r="C636" s="3"/>
      <c r="D636" s="3"/>
      <c r="E636" s="3"/>
      <c r="F636" s="3"/>
      <c r="G636" s="3"/>
      <c r="H636" s="3"/>
      <c r="I636" s="3"/>
    </row>
    <row r="637" spans="1:9" x14ac:dyDescent="0.25">
      <c r="A637" s="3"/>
      <c r="B637" s="3"/>
      <c r="C637" s="3"/>
      <c r="D637" s="3"/>
      <c r="E637" s="3"/>
      <c r="F637" s="3"/>
      <c r="G637" s="3"/>
      <c r="H637" s="3"/>
      <c r="I637" s="3"/>
    </row>
    <row r="638" spans="1:9" x14ac:dyDescent="0.25">
      <c r="A638" s="3"/>
      <c r="B638" s="3"/>
      <c r="C638" s="3"/>
      <c r="D638" s="3"/>
      <c r="E638" s="3"/>
      <c r="F638" s="3"/>
      <c r="G638" s="3"/>
      <c r="H638" s="3"/>
      <c r="I638" s="3"/>
    </row>
    <row r="639" spans="1:9" x14ac:dyDescent="0.25">
      <c r="A639" s="3"/>
      <c r="B639" s="3"/>
      <c r="C639" s="3"/>
      <c r="D639" s="3"/>
      <c r="E639" s="3"/>
      <c r="F639" s="3"/>
      <c r="G639" s="3"/>
      <c r="H639" s="3"/>
      <c r="I639" s="3"/>
    </row>
    <row r="640" spans="1:9" x14ac:dyDescent="0.25">
      <c r="A640" s="3"/>
      <c r="B640" s="3"/>
      <c r="C640" s="3"/>
      <c r="D640" s="3"/>
      <c r="E640" s="3"/>
      <c r="F640" s="3"/>
      <c r="G640" s="3"/>
      <c r="H640" s="3"/>
      <c r="I640" s="3"/>
    </row>
    <row r="641" spans="1:9" x14ac:dyDescent="0.25">
      <c r="A641" s="3"/>
      <c r="B641" s="3"/>
      <c r="C641" s="3"/>
      <c r="D641" s="3"/>
      <c r="E641" s="3"/>
      <c r="F641" s="3"/>
      <c r="G641" s="3"/>
      <c r="H641" s="3"/>
      <c r="I641" s="3"/>
    </row>
    <row r="642" spans="1:9" x14ac:dyDescent="0.25">
      <c r="A642" s="3"/>
      <c r="B642" s="3"/>
      <c r="C642" s="3"/>
      <c r="D642" s="3"/>
      <c r="E642" s="3"/>
      <c r="F642" s="3"/>
      <c r="G642" s="3"/>
      <c r="H642" s="3"/>
      <c r="I642" s="3"/>
    </row>
    <row r="643" spans="1:9" x14ac:dyDescent="0.25">
      <c r="A643" s="3"/>
      <c r="B643" s="3"/>
      <c r="C643" s="3"/>
      <c r="D643" s="3"/>
      <c r="E643" s="3"/>
      <c r="F643" s="3"/>
      <c r="G643" s="3"/>
      <c r="H643" s="3"/>
      <c r="I643" s="3"/>
    </row>
    <row r="644" spans="1:9" x14ac:dyDescent="0.25">
      <c r="A644" s="3"/>
      <c r="B644" s="3"/>
      <c r="C644" s="3"/>
      <c r="D644" s="3"/>
      <c r="E644" s="3"/>
      <c r="F644" s="3"/>
      <c r="G644" s="3"/>
      <c r="H644" s="3"/>
      <c r="I644" s="3"/>
    </row>
    <row r="645" spans="1:9" x14ac:dyDescent="0.25">
      <c r="A645" s="3"/>
      <c r="B645" s="3"/>
      <c r="C645" s="3"/>
      <c r="D645" s="3"/>
      <c r="E645" s="3"/>
      <c r="F645" s="3"/>
      <c r="G645" s="3"/>
      <c r="H645" s="3"/>
      <c r="I645" s="3"/>
    </row>
    <row r="646" spans="1:9" x14ac:dyDescent="0.25">
      <c r="A646" s="3"/>
      <c r="B646" s="3"/>
      <c r="C646" s="3"/>
      <c r="D646" s="3"/>
      <c r="E646" s="3"/>
      <c r="F646" s="3"/>
      <c r="G646" s="3"/>
      <c r="H646" s="3"/>
      <c r="I646" s="3"/>
    </row>
    <row r="647" spans="1:9" x14ac:dyDescent="0.25">
      <c r="A647" s="3"/>
      <c r="B647" s="3"/>
      <c r="C647" s="3"/>
      <c r="D647" s="3"/>
      <c r="E647" s="3"/>
      <c r="F647" s="3"/>
      <c r="G647" s="3"/>
      <c r="H647" s="3"/>
      <c r="I647" s="3"/>
    </row>
    <row r="648" spans="1:9" x14ac:dyDescent="0.25">
      <c r="A648" s="3"/>
      <c r="B648" s="3"/>
      <c r="C648" s="3"/>
      <c r="D648" s="3"/>
      <c r="E648" s="3"/>
      <c r="F648" s="3"/>
      <c r="G648" s="3"/>
      <c r="H648" s="3"/>
      <c r="I648" s="3"/>
    </row>
    <row r="649" spans="1:9" x14ac:dyDescent="0.25">
      <c r="A649" s="3"/>
      <c r="B649" s="3"/>
      <c r="C649" s="3"/>
      <c r="D649" s="3"/>
      <c r="E649" s="3"/>
      <c r="F649" s="3"/>
      <c r="G649" s="3"/>
      <c r="H649" s="3"/>
      <c r="I649" s="3"/>
    </row>
    <row r="650" spans="1:9" x14ac:dyDescent="0.25">
      <c r="A650" s="3"/>
      <c r="B650" s="3"/>
      <c r="C650" s="3"/>
      <c r="D650" s="3"/>
      <c r="E650" s="3"/>
      <c r="F650" s="3"/>
      <c r="G650" s="3"/>
      <c r="H650" s="3"/>
      <c r="I650" s="3"/>
    </row>
    <row r="651" spans="1:9" x14ac:dyDescent="0.25">
      <c r="A651" s="3"/>
      <c r="B651" s="3"/>
      <c r="C651" s="3"/>
      <c r="D651" s="3"/>
      <c r="E651" s="3"/>
      <c r="F651" s="3"/>
      <c r="G651" s="3"/>
      <c r="H651" s="3"/>
      <c r="I651" s="3"/>
    </row>
    <row r="652" spans="1:9" x14ac:dyDescent="0.25">
      <c r="A652" s="3"/>
      <c r="B652" s="3"/>
      <c r="C652" s="3"/>
      <c r="D652" s="3"/>
      <c r="E652" s="3"/>
      <c r="F652" s="3"/>
      <c r="G652" s="3"/>
      <c r="H652" s="3"/>
      <c r="I652" s="3"/>
    </row>
    <row r="653" spans="1:9" x14ac:dyDescent="0.25">
      <c r="A653" s="3"/>
      <c r="B653" s="3"/>
      <c r="C653" s="3"/>
      <c r="D653" s="3"/>
      <c r="E653" s="3"/>
      <c r="F653" s="3"/>
      <c r="G653" s="3"/>
      <c r="H653" s="3"/>
      <c r="I653" s="3"/>
    </row>
    <row r="654" spans="1:9" x14ac:dyDescent="0.25">
      <c r="A654" s="3"/>
      <c r="B654" s="3"/>
      <c r="C654" s="3"/>
      <c r="D654" s="3"/>
      <c r="E654" s="3"/>
      <c r="F654" s="3"/>
      <c r="G654" s="3"/>
      <c r="H654" s="3"/>
      <c r="I654" s="3"/>
    </row>
    <row r="655" spans="1:9" x14ac:dyDescent="0.25">
      <c r="A655" s="3"/>
      <c r="B655" s="3"/>
      <c r="C655" s="3"/>
      <c r="D655" s="3"/>
      <c r="E655" s="3"/>
      <c r="F655" s="3"/>
      <c r="G655" s="3"/>
      <c r="H655" s="3"/>
      <c r="I655" s="3"/>
    </row>
    <row r="656" spans="1:9" x14ac:dyDescent="0.25">
      <c r="A656" s="3"/>
      <c r="B656" s="3"/>
      <c r="C656" s="3"/>
      <c r="D656" s="3"/>
      <c r="E656" s="3"/>
      <c r="F656" s="3"/>
      <c r="G656" s="3"/>
      <c r="H656" s="3"/>
      <c r="I656" s="3"/>
    </row>
    <row r="657" spans="1:9" x14ac:dyDescent="0.25">
      <c r="A657" s="3"/>
      <c r="B657" s="3"/>
      <c r="C657" s="3"/>
      <c r="D657" s="3"/>
      <c r="E657" s="3"/>
      <c r="F657" s="3"/>
      <c r="G657" s="3"/>
      <c r="H657" s="3"/>
      <c r="I657" s="3"/>
    </row>
    <row r="658" spans="1:9" x14ac:dyDescent="0.25">
      <c r="A658" s="3"/>
      <c r="B658" s="3"/>
      <c r="C658" s="3"/>
      <c r="D658" s="3"/>
      <c r="E658" s="3"/>
      <c r="F658" s="3"/>
      <c r="G658" s="3"/>
      <c r="H658" s="3"/>
      <c r="I658" s="3"/>
    </row>
    <row r="659" spans="1:9" x14ac:dyDescent="0.25">
      <c r="A659" s="3"/>
      <c r="B659" s="3"/>
      <c r="C659" s="3"/>
      <c r="D659" s="3"/>
      <c r="E659" s="3"/>
      <c r="F659" s="3"/>
      <c r="G659" s="3"/>
      <c r="H659" s="3"/>
      <c r="I659" s="3"/>
    </row>
    <row r="660" spans="1:9" x14ac:dyDescent="0.25">
      <c r="A660" s="3"/>
      <c r="B660" s="3"/>
      <c r="C660" s="3"/>
      <c r="D660" s="3"/>
      <c r="E660" s="3"/>
      <c r="F660" s="3"/>
      <c r="G660" s="3"/>
      <c r="H660" s="3"/>
      <c r="I660" s="3"/>
    </row>
    <row r="661" spans="1:9" x14ac:dyDescent="0.25">
      <c r="A661" s="3"/>
      <c r="B661" s="3"/>
      <c r="C661" s="3"/>
      <c r="D661" s="3"/>
      <c r="E661" s="3"/>
      <c r="F661" s="3"/>
      <c r="G661" s="3"/>
      <c r="H661" s="3"/>
      <c r="I661" s="3"/>
    </row>
    <row r="662" spans="1:9" x14ac:dyDescent="0.25">
      <c r="A662" s="3"/>
      <c r="B662" s="3"/>
      <c r="C662" s="3"/>
      <c r="D662" s="3"/>
      <c r="E662" s="3"/>
      <c r="F662" s="3"/>
      <c r="G662" s="3"/>
      <c r="H662" s="3"/>
      <c r="I662" s="3"/>
    </row>
    <row r="663" spans="1:9" x14ac:dyDescent="0.25">
      <c r="A663" s="3"/>
      <c r="B663" s="3"/>
      <c r="C663" s="3"/>
      <c r="D663" s="3"/>
      <c r="E663" s="3"/>
      <c r="F663" s="3"/>
      <c r="G663" s="3"/>
      <c r="H663" s="3"/>
      <c r="I663" s="3"/>
    </row>
    <row r="664" spans="1:9" x14ac:dyDescent="0.25">
      <c r="A664" s="3"/>
      <c r="B664" s="3"/>
      <c r="C664" s="3"/>
      <c r="D664" s="3"/>
      <c r="E664" s="3"/>
      <c r="F664" s="3"/>
      <c r="G664" s="3"/>
      <c r="H664" s="3"/>
      <c r="I664" s="3"/>
    </row>
    <row r="665" spans="1:9" x14ac:dyDescent="0.25">
      <c r="A665" s="3"/>
      <c r="B665" s="3"/>
      <c r="C665" s="3"/>
      <c r="D665" s="3"/>
      <c r="E665" s="3"/>
      <c r="F665" s="3"/>
      <c r="G665" s="3"/>
      <c r="H665" s="3"/>
      <c r="I665" s="3"/>
    </row>
    <row r="666" spans="1:9" x14ac:dyDescent="0.25">
      <c r="A666" s="3"/>
      <c r="B666" s="3"/>
      <c r="C666" s="3"/>
      <c r="D666" s="3"/>
      <c r="E666" s="3"/>
      <c r="F666" s="3"/>
      <c r="G666" s="3"/>
      <c r="H666" s="3"/>
      <c r="I666" s="3"/>
    </row>
    <row r="667" spans="1:9" x14ac:dyDescent="0.25">
      <c r="A667" s="3"/>
      <c r="B667" s="3"/>
      <c r="C667" s="3"/>
      <c r="D667" s="3"/>
      <c r="E667" s="3"/>
      <c r="F667" s="3"/>
      <c r="G667" s="3"/>
      <c r="H667" s="3"/>
      <c r="I667" s="3"/>
    </row>
    <row r="668" spans="1:9" x14ac:dyDescent="0.25">
      <c r="A668" s="3"/>
      <c r="B668" s="3"/>
      <c r="C668" s="3"/>
      <c r="D668" s="3"/>
      <c r="E668" s="3"/>
      <c r="F668" s="3"/>
      <c r="G668" s="3"/>
      <c r="H668" s="3"/>
      <c r="I668" s="3"/>
    </row>
    <row r="669" spans="1:9" x14ac:dyDescent="0.25">
      <c r="A669" s="3"/>
      <c r="B669" s="3"/>
      <c r="C669" s="3"/>
      <c r="D669" s="3"/>
      <c r="E669" s="3"/>
      <c r="F669" s="3"/>
      <c r="G669" s="3"/>
      <c r="H669" s="3"/>
      <c r="I669" s="3"/>
    </row>
    <row r="670" spans="1:9" x14ac:dyDescent="0.25">
      <c r="A670" s="3"/>
      <c r="B670" s="3"/>
      <c r="C670" s="3"/>
      <c r="D670" s="3"/>
      <c r="E670" s="3"/>
      <c r="F670" s="3"/>
      <c r="G670" s="3"/>
      <c r="H670" s="3"/>
      <c r="I670" s="3"/>
    </row>
    <row r="671" spans="1:9" x14ac:dyDescent="0.25">
      <c r="A671" s="3"/>
      <c r="B671" s="3"/>
      <c r="C671" s="3"/>
      <c r="D671" s="3"/>
      <c r="E671" s="3"/>
      <c r="F671" s="3"/>
      <c r="G671" s="3"/>
      <c r="H671" s="3"/>
      <c r="I671" s="3"/>
    </row>
    <row r="672" spans="1:9" x14ac:dyDescent="0.25">
      <c r="A672" s="3"/>
      <c r="B672" s="3"/>
      <c r="C672" s="3"/>
      <c r="D672" s="3"/>
      <c r="E672" s="3"/>
      <c r="F672" s="3"/>
      <c r="G672" s="3"/>
      <c r="H672" s="3"/>
      <c r="I672" s="3"/>
    </row>
    <row r="673" spans="1:9" x14ac:dyDescent="0.25">
      <c r="A673" s="3"/>
      <c r="B673" s="3"/>
      <c r="C673" s="3"/>
      <c r="D673" s="3"/>
      <c r="E673" s="3"/>
      <c r="F673" s="3"/>
      <c r="G673" s="3"/>
      <c r="H673" s="3"/>
      <c r="I673" s="3"/>
    </row>
    <row r="674" spans="1:9" x14ac:dyDescent="0.25">
      <c r="A674" s="3"/>
      <c r="B674" s="3"/>
      <c r="C674" s="3"/>
      <c r="D674" s="3"/>
      <c r="E674" s="3"/>
      <c r="F674" s="3"/>
      <c r="G674" s="3"/>
      <c r="H674" s="3"/>
      <c r="I674" s="3"/>
    </row>
    <row r="675" spans="1:9" x14ac:dyDescent="0.25">
      <c r="A675" s="3"/>
      <c r="B675" s="3"/>
      <c r="C675" s="3"/>
      <c r="D675" s="3"/>
      <c r="E675" s="3"/>
      <c r="F675" s="3"/>
      <c r="G675" s="3"/>
      <c r="H675" s="3"/>
      <c r="I675" s="3"/>
    </row>
    <row r="676" spans="1:9" x14ac:dyDescent="0.25">
      <c r="A676" s="3"/>
      <c r="B676" s="3"/>
      <c r="C676" s="3"/>
      <c r="D676" s="3"/>
      <c r="E676" s="3"/>
      <c r="F676" s="3"/>
      <c r="G676" s="3"/>
      <c r="H676" s="3"/>
      <c r="I676" s="3"/>
    </row>
    <row r="677" spans="1:9" x14ac:dyDescent="0.25">
      <c r="A677" s="3"/>
      <c r="B677" s="3"/>
      <c r="C677" s="3"/>
      <c r="D677" s="3"/>
      <c r="E677" s="3"/>
      <c r="F677" s="3"/>
      <c r="G677" s="3"/>
      <c r="H677" s="3"/>
      <c r="I677" s="3"/>
    </row>
    <row r="678" spans="1:9" x14ac:dyDescent="0.25">
      <c r="A678" s="3"/>
      <c r="B678" s="3"/>
      <c r="C678" s="3"/>
      <c r="D678" s="3"/>
      <c r="E678" s="3"/>
      <c r="F678" s="3"/>
      <c r="G678" s="3"/>
      <c r="H678" s="3"/>
      <c r="I678" s="3"/>
    </row>
    <row r="679" spans="1:9" x14ac:dyDescent="0.25">
      <c r="A679" s="3"/>
      <c r="B679" s="3"/>
      <c r="C679" s="3"/>
      <c r="D679" s="3"/>
      <c r="E679" s="3"/>
      <c r="F679" s="3"/>
      <c r="G679" s="3"/>
      <c r="H679" s="3"/>
      <c r="I679" s="3"/>
    </row>
    <row r="680" spans="1:9" x14ac:dyDescent="0.25">
      <c r="A680" s="3"/>
      <c r="B680" s="3"/>
      <c r="C680" s="3"/>
      <c r="D680" s="3"/>
      <c r="E680" s="3"/>
      <c r="F680" s="3"/>
      <c r="G680" s="3"/>
      <c r="H680" s="3"/>
      <c r="I680" s="3"/>
    </row>
    <row r="681" spans="1:9" x14ac:dyDescent="0.25">
      <c r="A681" s="3"/>
      <c r="B681" s="3"/>
      <c r="C681" s="3"/>
      <c r="D681" s="3"/>
      <c r="E681" s="3"/>
      <c r="F681" s="3"/>
      <c r="G681" s="3"/>
      <c r="H681" s="3"/>
      <c r="I681" s="3"/>
    </row>
    <row r="682" spans="1:9" x14ac:dyDescent="0.25">
      <c r="A682" s="3"/>
      <c r="B682" s="3"/>
      <c r="C682" s="3"/>
      <c r="D682" s="3"/>
      <c r="E682" s="3"/>
      <c r="F682" s="3"/>
      <c r="G682" s="3"/>
      <c r="H682" s="3"/>
      <c r="I682" s="3"/>
    </row>
    <row r="683" spans="1:9" x14ac:dyDescent="0.25">
      <c r="A683" s="3"/>
      <c r="B683" s="3"/>
      <c r="C683" s="3"/>
      <c r="D683" s="3"/>
      <c r="E683" s="3"/>
      <c r="F683" s="3"/>
      <c r="G683" s="3"/>
      <c r="H683" s="3"/>
      <c r="I683" s="3"/>
    </row>
    <row r="684" spans="1:9" x14ac:dyDescent="0.25">
      <c r="A684" s="3"/>
      <c r="B684" s="3"/>
      <c r="C684" s="3"/>
      <c r="D684" s="3"/>
      <c r="E684" s="3"/>
      <c r="F684" s="3"/>
      <c r="G684" s="3"/>
      <c r="H684" s="3"/>
      <c r="I684" s="3"/>
    </row>
    <row r="685" spans="1:9" x14ac:dyDescent="0.25">
      <c r="A685" s="3"/>
      <c r="B685" s="3"/>
      <c r="C685" s="3"/>
      <c r="D685" s="3"/>
      <c r="E685" s="3"/>
      <c r="F685" s="3"/>
      <c r="G685" s="3"/>
      <c r="H685" s="3"/>
      <c r="I685" s="3"/>
    </row>
    <row r="686" spans="1:9" x14ac:dyDescent="0.25">
      <c r="A686" s="3"/>
      <c r="B686" s="3"/>
      <c r="C686" s="3"/>
      <c r="D686" s="3"/>
      <c r="E686" s="3"/>
      <c r="F686" s="3"/>
      <c r="G686" s="3"/>
      <c r="H686" s="3"/>
      <c r="I686" s="3"/>
    </row>
    <row r="687" spans="1:9" x14ac:dyDescent="0.25">
      <c r="A687" s="3"/>
      <c r="B687" s="3"/>
      <c r="C687" s="3"/>
      <c r="D687" s="3"/>
      <c r="E687" s="3"/>
      <c r="F687" s="3"/>
      <c r="G687" s="3"/>
      <c r="H687" s="3"/>
      <c r="I687" s="3"/>
    </row>
    <row r="688" spans="1:9" x14ac:dyDescent="0.25">
      <c r="A688" s="3"/>
      <c r="B688" s="3"/>
      <c r="C688" s="3"/>
      <c r="D688" s="3"/>
      <c r="E688" s="3"/>
      <c r="F688" s="3"/>
      <c r="G688" s="3"/>
      <c r="H688" s="3"/>
      <c r="I688" s="3"/>
    </row>
    <row r="689" spans="1:9" x14ac:dyDescent="0.25">
      <c r="A689" s="3"/>
      <c r="B689" s="3"/>
      <c r="C689" s="3"/>
      <c r="D689" s="3"/>
      <c r="E689" s="3"/>
      <c r="F689" s="3"/>
      <c r="G689" s="3"/>
      <c r="H689" s="3"/>
      <c r="I689" s="3"/>
    </row>
    <row r="690" spans="1:9" x14ac:dyDescent="0.25">
      <c r="A690" s="3"/>
      <c r="B690" s="3"/>
      <c r="C690" s="3"/>
      <c r="D690" s="3"/>
      <c r="E690" s="3"/>
      <c r="F690" s="3"/>
      <c r="G690" s="3"/>
      <c r="H690" s="3"/>
      <c r="I690" s="3"/>
    </row>
    <row r="691" spans="1:9" x14ac:dyDescent="0.25">
      <c r="A691" s="3"/>
      <c r="B691" s="3"/>
      <c r="C691" s="3"/>
      <c r="D691" s="3"/>
      <c r="E691" s="3"/>
      <c r="F691" s="3"/>
      <c r="G691" s="3"/>
      <c r="H691" s="3"/>
      <c r="I691" s="3"/>
    </row>
    <row r="692" spans="1:9" x14ac:dyDescent="0.25">
      <c r="A692" s="3"/>
      <c r="B692" s="3"/>
      <c r="C692" s="3"/>
      <c r="D692" s="3"/>
      <c r="E692" s="3"/>
      <c r="F692" s="3"/>
      <c r="G692" s="3"/>
      <c r="H692" s="3"/>
      <c r="I692" s="3"/>
    </row>
    <row r="693" spans="1:9" x14ac:dyDescent="0.25">
      <c r="A693" s="3"/>
      <c r="B693" s="3"/>
      <c r="C693" s="3"/>
      <c r="D693" s="3"/>
      <c r="E693" s="3"/>
      <c r="F693" s="3"/>
      <c r="G693" s="3"/>
      <c r="H693" s="3"/>
      <c r="I693" s="3"/>
    </row>
    <row r="694" spans="1:9" x14ac:dyDescent="0.25">
      <c r="A694" s="3"/>
      <c r="B694" s="3"/>
      <c r="C694" s="3"/>
      <c r="D694" s="3"/>
      <c r="E694" s="3"/>
      <c r="F694" s="3"/>
      <c r="G694" s="3"/>
      <c r="H694" s="3"/>
      <c r="I694" s="3"/>
    </row>
    <row r="695" spans="1:9" x14ac:dyDescent="0.25">
      <c r="A695" s="3"/>
      <c r="B695" s="3"/>
      <c r="C695" s="3"/>
      <c r="D695" s="3"/>
      <c r="E695" s="3"/>
      <c r="F695" s="3"/>
      <c r="G695" s="3"/>
      <c r="H695" s="3"/>
      <c r="I695" s="3"/>
    </row>
    <row r="696" spans="1:9" x14ac:dyDescent="0.25">
      <c r="A696" s="3"/>
      <c r="B696" s="3"/>
      <c r="C696" s="3"/>
      <c r="D696" s="3"/>
      <c r="E696" s="3"/>
      <c r="F696" s="3"/>
      <c r="G696" s="3"/>
      <c r="H696" s="3"/>
      <c r="I696" s="3"/>
    </row>
    <row r="697" spans="1:9" x14ac:dyDescent="0.25">
      <c r="A697" s="3"/>
      <c r="B697" s="3"/>
      <c r="C697" s="3"/>
      <c r="D697" s="3"/>
      <c r="E697" s="3"/>
      <c r="F697" s="3"/>
      <c r="G697" s="3"/>
      <c r="H697" s="3"/>
      <c r="I697" s="3"/>
    </row>
    <row r="698" spans="1:9" x14ac:dyDescent="0.25">
      <c r="A698" s="3"/>
      <c r="B698" s="3"/>
      <c r="C698" s="3"/>
      <c r="D698" s="3"/>
      <c r="E698" s="3"/>
      <c r="F698" s="3"/>
      <c r="G698" s="3"/>
      <c r="H698" s="3"/>
      <c r="I698" s="3"/>
    </row>
    <row r="699" spans="1:9" x14ac:dyDescent="0.25">
      <c r="A699" s="3"/>
      <c r="B699" s="3"/>
      <c r="C699" s="3"/>
      <c r="D699" s="3"/>
      <c r="E699" s="3"/>
      <c r="F699" s="3"/>
      <c r="G699" s="3"/>
      <c r="H699" s="3"/>
      <c r="I699" s="3"/>
    </row>
    <row r="700" spans="1:9" x14ac:dyDescent="0.25">
      <c r="A700" s="3"/>
      <c r="B700" s="3"/>
      <c r="C700" s="3"/>
      <c r="D700" s="3"/>
      <c r="E700" s="3"/>
      <c r="F700" s="3"/>
      <c r="G700" s="3"/>
      <c r="H700" s="3"/>
      <c r="I700" s="3"/>
    </row>
    <row r="701" spans="1:9" x14ac:dyDescent="0.25">
      <c r="A701" s="3"/>
      <c r="B701" s="3"/>
      <c r="C701" s="3"/>
      <c r="D701" s="3"/>
      <c r="E701" s="3"/>
      <c r="F701" s="3"/>
      <c r="G701" s="3"/>
      <c r="H701" s="3"/>
      <c r="I701" s="3"/>
    </row>
    <row r="702" spans="1:9" x14ac:dyDescent="0.25">
      <c r="A702" s="3"/>
      <c r="B702" s="3"/>
      <c r="C702" s="3"/>
      <c r="D702" s="3"/>
      <c r="E702" s="3"/>
      <c r="F702" s="3"/>
      <c r="G702" s="3"/>
      <c r="H702" s="3"/>
      <c r="I702" s="3"/>
    </row>
    <row r="703" spans="1:9" x14ac:dyDescent="0.25">
      <c r="A703" s="3"/>
      <c r="B703" s="3"/>
      <c r="C703" s="3"/>
      <c r="D703" s="3"/>
      <c r="E703" s="3"/>
      <c r="F703" s="3"/>
      <c r="G703" s="3"/>
      <c r="H703" s="3"/>
      <c r="I703" s="3"/>
    </row>
    <row r="704" spans="1:9" x14ac:dyDescent="0.25">
      <c r="A704" s="3"/>
      <c r="B704" s="3"/>
      <c r="C704" s="3"/>
      <c r="D704" s="3"/>
      <c r="E704" s="3"/>
      <c r="F704" s="3"/>
      <c r="G704" s="3"/>
      <c r="H704" s="3"/>
      <c r="I704" s="3"/>
    </row>
    <row r="705" spans="1:9" x14ac:dyDescent="0.25">
      <c r="A705" s="3"/>
      <c r="B705" s="3"/>
      <c r="C705" s="3"/>
      <c r="D705" s="3"/>
      <c r="E705" s="3"/>
      <c r="F705" s="3"/>
      <c r="G705" s="3"/>
      <c r="H705" s="3"/>
      <c r="I705" s="3"/>
    </row>
    <row r="706" spans="1:9" x14ac:dyDescent="0.25">
      <c r="A706" s="3"/>
      <c r="B706" s="3"/>
      <c r="C706" s="3"/>
      <c r="D706" s="3"/>
      <c r="E706" s="3"/>
      <c r="F706" s="3"/>
      <c r="G706" s="3"/>
      <c r="H706" s="3"/>
      <c r="I706" s="3"/>
    </row>
    <row r="707" spans="1:9" x14ac:dyDescent="0.25">
      <c r="A707" s="3"/>
      <c r="B707" s="3"/>
      <c r="C707" s="3"/>
      <c r="D707" s="3"/>
      <c r="E707" s="3"/>
      <c r="F707" s="3"/>
      <c r="G707" s="3"/>
      <c r="H707" s="3"/>
      <c r="I707" s="3"/>
    </row>
    <row r="708" spans="1:9" x14ac:dyDescent="0.25">
      <c r="A708" s="3"/>
      <c r="B708" s="3"/>
      <c r="C708" s="3"/>
      <c r="D708" s="3"/>
      <c r="E708" s="3"/>
      <c r="F708" s="3"/>
      <c r="G708" s="3"/>
      <c r="H708" s="3"/>
      <c r="I708" s="3"/>
    </row>
    <row r="709" spans="1:9" x14ac:dyDescent="0.25">
      <c r="A709" s="3"/>
      <c r="B709" s="3"/>
      <c r="C709" s="3"/>
      <c r="D709" s="3"/>
      <c r="E709" s="3"/>
      <c r="F709" s="3"/>
      <c r="G709" s="3"/>
      <c r="H709" s="3"/>
      <c r="I709" s="3"/>
    </row>
    <row r="710" spans="1:9" x14ac:dyDescent="0.25">
      <c r="A710" s="3"/>
      <c r="B710" s="3"/>
      <c r="C710" s="3"/>
      <c r="D710" s="3"/>
      <c r="E710" s="3"/>
      <c r="F710" s="3"/>
      <c r="G710" s="3"/>
      <c r="H710" s="3"/>
      <c r="I710" s="3"/>
    </row>
    <row r="711" spans="1:9" x14ac:dyDescent="0.25">
      <c r="A711" s="3"/>
      <c r="B711" s="3"/>
      <c r="C711" s="3"/>
      <c r="D711" s="3"/>
      <c r="E711" s="3"/>
      <c r="F711" s="3"/>
      <c r="G711" s="3"/>
      <c r="H711" s="3"/>
      <c r="I711" s="3"/>
    </row>
    <row r="712" spans="1:9" x14ac:dyDescent="0.25">
      <c r="A712" s="3"/>
      <c r="B712" s="3"/>
      <c r="C712" s="3"/>
      <c r="D712" s="3"/>
      <c r="E712" s="3"/>
      <c r="F712" s="3"/>
      <c r="G712" s="3"/>
      <c r="H712" s="3"/>
      <c r="I712" s="3"/>
    </row>
    <row r="713" spans="1:9" x14ac:dyDescent="0.25">
      <c r="A713" s="3"/>
      <c r="B713" s="3"/>
      <c r="C713" s="3"/>
      <c r="D713" s="3"/>
      <c r="E713" s="3"/>
      <c r="F713" s="3"/>
      <c r="G713" s="3"/>
      <c r="H713" s="3"/>
      <c r="I713" s="3"/>
    </row>
    <row r="714" spans="1:9" x14ac:dyDescent="0.25">
      <c r="A714" s="3"/>
      <c r="B714" s="3"/>
      <c r="C714" s="3"/>
      <c r="D714" s="3"/>
      <c r="E714" s="3"/>
      <c r="F714" s="3"/>
      <c r="G714" s="3"/>
      <c r="H714" s="3"/>
      <c r="I714" s="3"/>
    </row>
    <row r="715" spans="1:9" x14ac:dyDescent="0.25">
      <c r="A715" s="3"/>
      <c r="B715" s="3"/>
      <c r="C715" s="3"/>
      <c r="D715" s="3"/>
      <c r="E715" s="3"/>
      <c r="F715" s="3"/>
      <c r="G715" s="3"/>
      <c r="H715" s="3"/>
      <c r="I715" s="3"/>
    </row>
    <row r="716" spans="1:9" x14ac:dyDescent="0.25">
      <c r="B716" s="3"/>
      <c r="C716" s="3"/>
      <c r="D716" s="3"/>
      <c r="E716" s="3"/>
      <c r="F716" s="3"/>
      <c r="G716" s="3"/>
      <c r="H716" s="3"/>
      <c r="I716" s="3"/>
    </row>
    <row r="717" spans="1:9" x14ac:dyDescent="0.25">
      <c r="B717" s="3"/>
      <c r="C717" s="3"/>
      <c r="D717" s="3"/>
      <c r="E717" s="3"/>
      <c r="F717" s="3"/>
      <c r="G717" s="3"/>
      <c r="H717" s="3"/>
      <c r="I717" s="3"/>
    </row>
    <row r="718" spans="1:9" x14ac:dyDescent="0.25">
      <c r="B718" s="3"/>
      <c r="C718" s="3"/>
      <c r="D718" s="3"/>
      <c r="E718" s="3"/>
      <c r="F718" s="3"/>
      <c r="G718" s="3"/>
      <c r="H718" s="3"/>
      <c r="I718" s="3"/>
    </row>
    <row r="719" spans="1:9" x14ac:dyDescent="0.25">
      <c r="B719" s="3"/>
      <c r="C719" s="3"/>
      <c r="D719" s="3"/>
      <c r="E719" s="3"/>
      <c r="F719" s="3"/>
      <c r="G719" s="3"/>
      <c r="H719" s="3"/>
      <c r="I719" s="3"/>
    </row>
    <row r="720" spans="1:9" x14ac:dyDescent="0.25">
      <c r="B720" s="3"/>
      <c r="C720" s="3"/>
      <c r="D720" s="3"/>
      <c r="E720" s="3"/>
      <c r="F720" s="3"/>
      <c r="G720" s="3"/>
      <c r="H720" s="3"/>
      <c r="I720" s="3"/>
    </row>
  </sheetData>
  <mergeCells count="18">
    <mergeCell ref="A69:B69"/>
    <mergeCell ref="D69:E69"/>
    <mergeCell ref="A70:B70"/>
    <mergeCell ref="C70:C71"/>
    <mergeCell ref="D70:E71"/>
    <mergeCell ref="A71:B71"/>
    <mergeCell ref="A52:D52"/>
    <mergeCell ref="E52:J52"/>
    <mergeCell ref="E53:J53"/>
    <mergeCell ref="A53:D53"/>
    <mergeCell ref="G68:H68"/>
    <mergeCell ref="I68:J68"/>
    <mergeCell ref="G71:H71"/>
    <mergeCell ref="I71:J71"/>
    <mergeCell ref="G69:H69"/>
    <mergeCell ref="I69:J69"/>
    <mergeCell ref="G70:H70"/>
    <mergeCell ref="I70:J70"/>
  </mergeCells>
  <phoneticPr fontId="0" type="noConversion"/>
  <printOptions horizontalCentered="1" verticalCentered="1"/>
  <pageMargins left="0.5" right="0" top="0.35" bottom="0.05" header="0" footer="0"/>
  <pageSetup orientation="portrait" horizontalDpi="360" verticalDpi="36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
    <pageSetUpPr autoPageBreaks="0" fitToPage="1"/>
  </sheetPr>
  <dimension ref="A1:J720"/>
  <sheetViews>
    <sheetView showGridLines="0" showZeros="0" workbookViewId="0">
      <selection activeCell="L59" sqref="L59"/>
    </sheetView>
  </sheetViews>
  <sheetFormatPr baseColWidth="10" defaultColWidth="8.88671875" defaultRowHeight="13.2" x14ac:dyDescent="0.25"/>
  <cols>
    <col min="1" max="1" width="12.88671875" customWidth="1"/>
    <col min="2" max="2" width="11.88671875" customWidth="1"/>
    <col min="3" max="3" width="13.88671875" customWidth="1"/>
    <col min="4" max="4" width="10.88671875" customWidth="1"/>
    <col min="5" max="5" width="10.44140625" customWidth="1"/>
    <col min="6" max="6" width="10.5546875" customWidth="1"/>
    <col min="7" max="7" width="10.6640625" customWidth="1"/>
    <col min="8" max="8" width="5.88671875" customWidth="1"/>
    <col min="9" max="9" width="9.44140625" customWidth="1"/>
    <col min="10" max="10" width="9.88671875" customWidth="1"/>
  </cols>
  <sheetData>
    <row r="1" spans="1:10" ht="6" customHeight="1" x14ac:dyDescent="0.25">
      <c r="A1" s="8"/>
      <c r="B1" s="9"/>
      <c r="C1" s="9"/>
      <c r="D1" s="9"/>
      <c r="E1" s="9"/>
      <c r="F1" s="9"/>
      <c r="G1" s="9"/>
      <c r="H1" s="9"/>
      <c r="I1" s="9"/>
      <c r="J1" s="10"/>
    </row>
    <row r="2" spans="1:10" ht="42" customHeight="1" thickBot="1" x14ac:dyDescent="0.35">
      <c r="A2" s="186"/>
      <c r="B2" s="48"/>
      <c r="C2" s="187"/>
      <c r="D2" s="50"/>
      <c r="E2" s="51"/>
      <c r="F2" s="52"/>
      <c r="G2" s="53"/>
      <c r="H2" s="53"/>
      <c r="I2" s="53"/>
      <c r="J2" s="54" t="str">
        <f>"OIL-BASED MUD REPORT No. "&amp;[1]IFE!B166&amp;" "</f>
        <v xml:space="preserve">OIL-BASED MUD REPORT No. 9 </v>
      </c>
    </row>
    <row r="3" spans="1:10" ht="9.9" customHeight="1" x14ac:dyDescent="0.25">
      <c r="A3" s="55" t="s">
        <v>11</v>
      </c>
      <c r="B3" s="56" t="str">
        <f xml:space="preserve"> [1]IFE!B6</f>
        <v>Cardon IV</v>
      </c>
      <c r="C3" s="57"/>
      <c r="D3" s="58" t="s">
        <v>13</v>
      </c>
      <c r="E3" s="59" t="str">
        <f xml:space="preserve"> [1]IFE!B9</f>
        <v>Golfo de Venezuela</v>
      </c>
      <c r="F3" s="4"/>
      <c r="G3" s="4"/>
      <c r="H3" s="58" t="s">
        <v>37</v>
      </c>
      <c r="I3" s="152" t="str">
        <f>[1]IFE!B120&amp;" "&amp;[1]IFE!B30&amp;" /"</f>
        <v>563 pies /</v>
      </c>
      <c r="J3" s="151" t="str">
        <f>[1]IFE!B121&amp;" "&amp;[1]IFE!B30</f>
        <v>563 pies</v>
      </c>
    </row>
    <row r="4" spans="1:10" ht="9.9" customHeight="1" x14ac:dyDescent="0.25">
      <c r="A4" s="61" t="s">
        <v>12</v>
      </c>
      <c r="B4" s="62" t="str">
        <f xml:space="preserve"> [1]IFE!B125</f>
        <v>Gerrit Ham / Jhony Quintero</v>
      </c>
      <c r="C4" s="63"/>
      <c r="D4" s="64" t="s">
        <v>38</v>
      </c>
      <c r="E4" s="62" t="str">
        <f>[1]IFE!B10</f>
        <v>Exploratory</v>
      </c>
      <c r="H4" s="64" t="s">
        <v>5</v>
      </c>
      <c r="I4" s="153">
        <f>[1]IFE!B119</f>
        <v>39989</v>
      </c>
      <c r="J4" s="244"/>
    </row>
    <row r="5" spans="1:10" ht="9.9" customHeight="1" x14ac:dyDescent="0.25">
      <c r="A5" s="61" t="s">
        <v>7</v>
      </c>
      <c r="B5" s="62" t="str">
        <f xml:space="preserve"> [1]IFE!B8</f>
        <v>Perla-1X</v>
      </c>
      <c r="C5" s="63"/>
      <c r="D5" s="64" t="s">
        <v>16</v>
      </c>
      <c r="E5" s="62" t="str">
        <f>[1]IFE!B11</f>
        <v>Offshore</v>
      </c>
      <c r="H5" s="64" t="s">
        <v>14</v>
      </c>
      <c r="I5" s="153">
        <f>[1]IFE!B5</f>
        <v>39981</v>
      </c>
      <c r="J5" s="244"/>
    </row>
    <row r="6" spans="1:10" ht="11.1" customHeight="1" x14ac:dyDescent="0.25">
      <c r="A6" s="61" t="s">
        <v>15</v>
      </c>
      <c r="B6" s="62" t="str">
        <f xml:space="preserve"> [1]IFE!B15</f>
        <v>Ensco</v>
      </c>
      <c r="C6" s="63"/>
      <c r="D6" s="64" t="s">
        <v>107</v>
      </c>
      <c r="E6" s="65" t="str">
        <f>[1]IFE!B16&amp;" "&amp;[1]IFE!B30</f>
        <v>202 pies</v>
      </c>
      <c r="G6" s="66"/>
      <c r="H6" s="67" t="s">
        <v>4</v>
      </c>
      <c r="I6" s="155" t="str">
        <f>[1]IFE!B124</f>
        <v>Agua de mar / HI VIS</v>
      </c>
      <c r="J6" s="244"/>
    </row>
    <row r="7" spans="1:10" ht="11.1" customHeight="1" thickBot="1" x14ac:dyDescent="0.3">
      <c r="A7" s="68" t="s">
        <v>12</v>
      </c>
      <c r="B7" s="69" t="str">
        <f>[1]IFE!B126</f>
        <v>Ricky Otwell</v>
      </c>
      <c r="C7" s="70"/>
      <c r="D7" s="71" t="s">
        <v>237</v>
      </c>
      <c r="E7" s="69">
        <f>[1]IFE!Z981</f>
        <v>68</v>
      </c>
      <c r="F7" s="1"/>
      <c r="G7" s="1"/>
      <c r="H7" s="71" t="s">
        <v>17</v>
      </c>
      <c r="I7" s="156" t="str">
        <f xml:space="preserve"> [1]IFE!B123</f>
        <v>Bajando Tuberia</v>
      </c>
      <c r="J7" s="157"/>
    </row>
    <row r="8" spans="1:10" ht="11.1" customHeight="1" x14ac:dyDescent="0.25">
      <c r="A8" s="188" t="s">
        <v>39</v>
      </c>
      <c r="B8" s="189"/>
      <c r="C8" s="190" t="s">
        <v>108</v>
      </c>
      <c r="D8" s="191"/>
      <c r="E8" s="190" t="str">
        <f>"MUD VOLUME" &amp; "   ("&amp; [1]IFE!B32&amp;")"</f>
        <v>MUD VOLUME   (bbl)</v>
      </c>
      <c r="F8" s="191"/>
      <c r="G8" s="192" t="s">
        <v>22</v>
      </c>
      <c r="H8" s="193"/>
      <c r="I8" s="193"/>
      <c r="J8" s="194"/>
    </row>
    <row r="9" spans="1:10" ht="11.1" customHeight="1" x14ac:dyDescent="0.25">
      <c r="A9" s="72" t="str">
        <f>[1]IFE!B167</f>
        <v xml:space="preserve"> pies, 5.5-plg DP</v>
      </c>
      <c r="B9" s="73"/>
      <c r="C9" s="72" t="str">
        <f>[1]IFE!B173</f>
        <v>30.-plg @563 pies (563 TVD)</v>
      </c>
      <c r="D9" s="73"/>
      <c r="E9" s="241" t="s">
        <v>18</v>
      </c>
      <c r="F9" s="241" t="s">
        <v>19</v>
      </c>
      <c r="G9" s="195"/>
      <c r="H9" s="77" t="s">
        <v>41</v>
      </c>
      <c r="I9" s="229" t="str">
        <f>[1]IFE!B161</f>
        <v>NATIONAL 12P-160</v>
      </c>
      <c r="J9" s="230" t="str">
        <f>[1]IFE!B162</f>
        <v>NATIONAL 12P-160</v>
      </c>
    </row>
    <row r="10" spans="1:10" ht="9.9" customHeight="1" x14ac:dyDescent="0.25">
      <c r="A10" s="78" t="str">
        <f>[1]IFE!B168</f>
        <v>372 pies, 5.5-plg HWDP</v>
      </c>
      <c r="B10" s="79"/>
      <c r="C10" s="78">
        <f>[1]IFE!B174</f>
        <v>0</v>
      </c>
      <c r="D10" s="40"/>
      <c r="E10" s="242">
        <f>[1]IFE!B177</f>
        <v>429</v>
      </c>
      <c r="F10" s="243">
        <f>[1]IFE!B178</f>
        <v>0</v>
      </c>
      <c r="G10" s="196"/>
      <c r="H10" s="81" t="s">
        <v>42</v>
      </c>
      <c r="I10" s="6" t="str">
        <f>[1]IFE!C161&amp;"x"&amp;[1]IFE!D161&amp;" "&amp;[1]IFE!B31</f>
        <v>6,5x12 plg</v>
      </c>
      <c r="J10" s="82" t="str">
        <f>[1]IFE!C162&amp;"x"&amp;[1]IFE!D162&amp;" "&amp;[1]IFE!B31</f>
        <v>6,5x12 plg</v>
      </c>
    </row>
    <row r="11" spans="1:10" ht="9.9" customHeight="1" x14ac:dyDescent="0.25">
      <c r="A11" s="78" t="str">
        <f>[1]IFE!B169</f>
        <v>65 pies, 8.-plg DC</v>
      </c>
      <c r="B11" s="40"/>
      <c r="C11" s="78">
        <f>[1]IFE!B175</f>
        <v>0</v>
      </c>
      <c r="D11" s="40"/>
      <c r="E11" s="74" t="s">
        <v>20</v>
      </c>
      <c r="F11" s="75"/>
      <c r="G11" s="195"/>
      <c r="H11" s="81" t="str">
        <f>"Pump Capacity "&amp;[1]IFE!B57</f>
        <v>Pump Capacity gal/emb</v>
      </c>
      <c r="I11" s="83">
        <f>[1]IFE!B182</f>
        <v>5.016</v>
      </c>
      <c r="J11" s="84">
        <f>[1]IFE!B183</f>
        <v>5.016</v>
      </c>
    </row>
    <row r="12" spans="1:10" ht="9.9" customHeight="1" thickBot="1" x14ac:dyDescent="0.3">
      <c r="A12" s="78" t="str">
        <f>[1]IFE!B170</f>
        <v>34 pies, 8.-plg JAR</v>
      </c>
      <c r="B12" s="40"/>
      <c r="C12" s="78">
        <f>[1]IFE!B176</f>
        <v>0</v>
      </c>
      <c r="D12" s="40"/>
      <c r="E12" s="78">
        <f>[1]IFE!$B$179</f>
        <v>0</v>
      </c>
      <c r="F12" s="238"/>
      <c r="G12" s="197"/>
      <c r="H12" s="86" t="s">
        <v>43</v>
      </c>
      <c r="I12" s="87" t="str">
        <f>[1]IFE!G161&amp;"@"&amp;[1]IFE!F161&amp;"%"</f>
        <v>0@97%</v>
      </c>
      <c r="J12" s="88" t="str">
        <f>[1]IFE!G162&amp;"@"&amp;[1]IFE!F162&amp;"%"</f>
        <v>0@97%</v>
      </c>
    </row>
    <row r="13" spans="1:10" ht="9.9" customHeight="1" x14ac:dyDescent="0.25">
      <c r="A13" s="78" t="str">
        <f>[1]IFE!B171</f>
        <v>96 pies, 8.-plg DC</v>
      </c>
      <c r="B13" s="40"/>
      <c r="C13" s="78">
        <f>[1]IFE!D173</f>
        <v>0</v>
      </c>
      <c r="D13" s="40"/>
      <c r="E13" s="239" t="s">
        <v>130</v>
      </c>
      <c r="F13" s="240"/>
      <c r="G13" s="196"/>
      <c r="H13" s="89" t="s">
        <v>29</v>
      </c>
      <c r="I13" s="90">
        <f>[1]IFE!B150</f>
        <v>0</v>
      </c>
      <c r="J13" s="91" t="str">
        <f>[1]IFE!B33</f>
        <v>gal/min</v>
      </c>
    </row>
    <row r="14" spans="1:10" ht="9.9" customHeight="1" x14ac:dyDescent="0.25">
      <c r="A14" s="78" t="str">
        <f>[1]IFE!B172</f>
        <v>31 pies, 9.5-plg DC</v>
      </c>
      <c r="B14" s="40"/>
      <c r="C14" s="78">
        <f>[1]IFE!D174</f>
        <v>0</v>
      </c>
      <c r="D14" s="40"/>
      <c r="E14" s="395">
        <f>[1]IFE!$BE$86</f>
        <v>0</v>
      </c>
      <c r="F14" s="396" t="str">
        <f>[1]IFE!$B$30</f>
        <v>pies</v>
      </c>
      <c r="G14" s="198"/>
      <c r="H14" s="93" t="s">
        <v>1</v>
      </c>
      <c r="I14" s="94">
        <f>[1]IFE!B152</f>
        <v>0</v>
      </c>
      <c r="J14" s="91" t="str">
        <f>[1]IFE!B36</f>
        <v>psi</v>
      </c>
    </row>
    <row r="15" spans="1:10" ht="9.9" customHeight="1" x14ac:dyDescent="0.25">
      <c r="A15" s="78" t="str">
        <f>"Nozzles "&amp;[1]IFE!B139&amp;IF([1]IFE!B142=0,"","x"&amp;[1]IFE!B142)&amp;IF([1]IFE!B140=0,"","/"&amp;[1]IFE!B140&amp;IF([1]IFE!B143=0,"","x"&amp;[1]IFE!B143))&amp;IF([1]IFE!B141=0,"", "/"&amp;[1]IFE!B141&amp;IF([1]IFE!B144=0,"","x"&amp;[1]IFE!B144))&amp;" "&amp;[1]IFE!B34</f>
        <v>Nozzles 0 1/32 plg</v>
      </c>
      <c r="B15" s="40"/>
      <c r="C15" s="78">
        <f>[1]IFE!D175</f>
        <v>0</v>
      </c>
      <c r="D15" s="40"/>
      <c r="E15" s="236" t="s">
        <v>131</v>
      </c>
      <c r="F15" s="237"/>
      <c r="G15" s="199"/>
      <c r="H15" s="96" t="s">
        <v>44</v>
      </c>
      <c r="I15" s="97">
        <f>[1]IFE!B186</f>
        <v>0</v>
      </c>
      <c r="J15" s="98"/>
    </row>
    <row r="16" spans="1:10" ht="9.9" customHeight="1" thickBot="1" x14ac:dyDescent="0.3">
      <c r="A16" s="99" t="str">
        <f>"Bit "&amp;[1]IFE!B136 &amp; "-" &amp; [1]IFE!B31&amp;" "&amp;[1]IFE!B137</f>
        <v>Bit 26-plg 0</v>
      </c>
      <c r="B16" s="100"/>
      <c r="C16" s="99">
        <f>[1]IFE!D176</f>
        <v>0</v>
      </c>
      <c r="D16" s="100"/>
      <c r="E16" s="397">
        <f>[1]IFE!$D$148</f>
        <v>0</v>
      </c>
      <c r="F16" s="398" t="str">
        <f>[1]IFE!$B$32</f>
        <v>bbl</v>
      </c>
      <c r="G16" s="200"/>
      <c r="H16" s="102" t="s">
        <v>45</v>
      </c>
      <c r="I16" s="103">
        <f>[1]IFE!B187</f>
        <v>0</v>
      </c>
      <c r="J16" s="104"/>
    </row>
    <row r="17" spans="1:10" ht="9.9" customHeight="1" x14ac:dyDescent="0.25">
      <c r="A17" s="201" t="s">
        <v>21</v>
      </c>
      <c r="B17" s="202"/>
      <c r="C17" s="202"/>
      <c r="D17" s="202"/>
      <c r="E17" s="202"/>
      <c r="F17" s="203"/>
      <c r="G17" s="190" t="s">
        <v>46</v>
      </c>
      <c r="H17" s="193"/>
      <c r="I17" s="193"/>
      <c r="J17" s="191"/>
    </row>
    <row r="18" spans="1:10" ht="9.9" customHeight="1" x14ac:dyDescent="0.25">
      <c r="A18" s="80" t="s">
        <v>47</v>
      </c>
      <c r="B18" s="81"/>
      <c r="C18" s="6" t="str">
        <f>CONCATENATE(TEXT([1]IFE!C77," ")&amp;" "&amp;TEXT([1]IFE!C78,"H:MM"))</f>
        <v>TK  1 12:00</v>
      </c>
      <c r="D18" s="6" t="str">
        <f>CONCATENATE(TEXT([1]IFE!D77," ")&amp;" "&amp;TEXT([1]IFE!D78,"H:MM"))</f>
        <v xml:space="preserve">  0:00</v>
      </c>
      <c r="E18" s="6" t="str">
        <f>CONCATENATE(TEXT([1]IFE!E77," ")&amp;" "&amp;TEXT([1]IFE!E78,"H:MM"))</f>
        <v>TK  3 12:00</v>
      </c>
      <c r="F18" s="6" t="str">
        <f>CONCATENATE(TEXT([1]IFE!F77," ")&amp;" "&amp;TEXT([1]IFE!F78,"H:MM"))</f>
        <v>TK  3 0:00</v>
      </c>
      <c r="G18" s="105" t="s">
        <v>48</v>
      </c>
      <c r="H18" s="106"/>
      <c r="I18" s="107" t="s">
        <v>49</v>
      </c>
      <c r="J18" s="108" t="s">
        <v>50</v>
      </c>
    </row>
    <row r="19" spans="1:10" ht="9.9" customHeight="1" x14ac:dyDescent="0.25">
      <c r="A19" s="109" t="s">
        <v>51</v>
      </c>
      <c r="B19" s="110" t="str">
        <f>[1]IFE!B40</f>
        <v>°F</v>
      </c>
      <c r="C19" s="111">
        <f>[1]IFE!C79</f>
        <v>0</v>
      </c>
      <c r="D19" s="111">
        <f>[1]IFE!D79</f>
        <v>0</v>
      </c>
      <c r="E19" s="111">
        <f>[1]IFE!E79</f>
        <v>0</v>
      </c>
      <c r="F19" s="112">
        <f>[1]IFE!F79</f>
        <v>0</v>
      </c>
      <c r="G19" s="387" t="str">
        <f>[1]IFE!B313</f>
        <v>ENGINEERING SERVICE</v>
      </c>
      <c r="H19" s="388"/>
      <c r="I19" s="94" t="str">
        <f>[1]IFE!C313</f>
        <v>1.  EA</v>
      </c>
      <c r="J19" s="114">
        <f>[1]IFE!D313</f>
        <v>2</v>
      </c>
    </row>
    <row r="20" spans="1:10" ht="9.9" customHeight="1" x14ac:dyDescent="0.25">
      <c r="A20" s="109" t="s">
        <v>23</v>
      </c>
      <c r="B20" s="110" t="str">
        <f>[1]IFE!B30</f>
        <v>pies</v>
      </c>
      <c r="C20" s="6" t="str">
        <f>CONCATENATE(TEXT([1]IFE!C80,"#")&amp;"/"&amp;TEXT([1]IFE!C81,"#"))</f>
        <v>563/563</v>
      </c>
      <c r="D20" s="6" t="str">
        <f>CONCATENATE(TEXT([1]IFE!D80,"#")&amp;"/"&amp;TEXT([1]IFE!D81,"#"))</f>
        <v>563/563</v>
      </c>
      <c r="E20" s="6" t="str">
        <f>CONCATENATE(TEXT([1]IFE!E80,"#")&amp;"/"&amp;TEXT([1]IFE!E81,"#"))</f>
        <v>563/563</v>
      </c>
      <c r="F20" s="6" t="str">
        <f>CONCATENATE(TEXT([1]IFE!F80,"#")&amp;"/"&amp;TEXT([1]IFE!F81,"#"))</f>
        <v>563/563</v>
      </c>
      <c r="G20" s="387" t="str">
        <f>[1]IFE!B314</f>
        <v>BENTONITE WYOMING</v>
      </c>
      <c r="H20" s="388"/>
      <c r="I20" s="94" t="str">
        <f>[1]IFE!C314</f>
        <v>100. LB BG</v>
      </c>
      <c r="J20" s="114">
        <f>[1]IFE!D314</f>
        <v>1</v>
      </c>
    </row>
    <row r="21" spans="1:10" ht="9.9" customHeight="1" x14ac:dyDescent="0.25">
      <c r="A21" s="109" t="s">
        <v>0</v>
      </c>
      <c r="B21" s="110" t="str">
        <f>[1]IFE!B39</f>
        <v>lb/gal</v>
      </c>
      <c r="C21" s="6" t="str">
        <f>CONCATENATE(TEXT([1]IFE!C82,"#.0")&amp;"@"&amp;TEXT([1]IFE!C83,"#"))</f>
        <v>9.1@85</v>
      </c>
      <c r="D21" s="6" t="str">
        <f>CONCATENATE(TEXT([1]IFE!D82,"#.0")&amp;"@"&amp;TEXT([1]IFE!D83,"#"))</f>
        <v>9.1@85</v>
      </c>
      <c r="E21" s="6" t="str">
        <f>CONCATENATE(TEXT([1]IFE!E82,"#.0")&amp;"@"&amp;TEXT([1]IFE!E83,"#"))</f>
        <v>14.0@85</v>
      </c>
      <c r="F21" s="6" t="str">
        <f>CONCATENATE(TEXT([1]IFE!F82,"#.0")&amp;"@"&amp;TEXT([1]IFE!F83,"#"))</f>
        <v>14.0@85</v>
      </c>
      <c r="G21" s="387" t="str">
        <f>[1]IFE!B315</f>
        <v>DUO-VIS</v>
      </c>
      <c r="H21" s="388"/>
      <c r="I21" s="94" t="str">
        <f>[1]IFE!C315</f>
        <v>25. KG BG</v>
      </c>
      <c r="J21" s="114">
        <f>[1]IFE!D315</f>
        <v>5</v>
      </c>
    </row>
    <row r="22" spans="1:10" ht="9.9" customHeight="1" x14ac:dyDescent="0.25">
      <c r="A22" s="109" t="s">
        <v>52</v>
      </c>
      <c r="B22" s="110" t="str">
        <f>[1]IFE!B43</f>
        <v>s/ct</v>
      </c>
      <c r="C22" s="111">
        <f>[1]IFE!C84</f>
        <v>55</v>
      </c>
      <c r="D22" s="111">
        <f>[1]IFE!D84</f>
        <v>55</v>
      </c>
      <c r="E22" s="111">
        <f>[1]IFE!E84</f>
        <v>80</v>
      </c>
      <c r="F22" s="112">
        <f>[1]IFE!F84</f>
        <v>80</v>
      </c>
      <c r="G22" s="387">
        <f>[1]IFE!B316</f>
        <v>0</v>
      </c>
      <c r="H22" s="388"/>
      <c r="I22" s="94">
        <f>[1]IFE!C316</f>
        <v>0</v>
      </c>
      <c r="J22" s="114">
        <f>[1]IFE!D316</f>
        <v>0</v>
      </c>
    </row>
    <row r="23" spans="1:10" ht="9.9" customHeight="1" x14ac:dyDescent="0.25">
      <c r="A23" s="109" t="s">
        <v>53</v>
      </c>
      <c r="B23" s="110" t="str">
        <f>[1]IFE!B40</f>
        <v>°F</v>
      </c>
      <c r="C23" s="111">
        <f>[1]IFE!C85</f>
        <v>120</v>
      </c>
      <c r="D23" s="111">
        <f>[1]IFE!D85</f>
        <v>120</v>
      </c>
      <c r="E23" s="111">
        <f>[1]IFE!E85</f>
        <v>120</v>
      </c>
      <c r="F23" s="112">
        <f>[1]IFE!F85</f>
        <v>120</v>
      </c>
      <c r="G23" s="387">
        <f>[1]IFE!B317</f>
        <v>0</v>
      </c>
      <c r="H23" s="388"/>
      <c r="I23" s="94">
        <f>[1]IFE!C317</f>
        <v>0</v>
      </c>
      <c r="J23" s="114">
        <f>[1]IFE!D317</f>
        <v>0</v>
      </c>
    </row>
    <row r="24" spans="1:10" ht="9.9" customHeight="1" x14ac:dyDescent="0.25">
      <c r="A24" s="109" t="s">
        <v>54</v>
      </c>
      <c r="B24" s="110"/>
      <c r="C24" s="6" t="str">
        <f>CONCATENATE(TEXT([1]IFE!C86,"#")&amp;"/"&amp;TEXT([1]IFE!C87,"#"))</f>
        <v>38/27</v>
      </c>
      <c r="D24" s="6" t="str">
        <f>CONCATENATE(TEXT([1]IFE!D86,"#")&amp;"/"&amp;TEXT([1]IFE!D87,"#"))</f>
        <v>38/27</v>
      </c>
      <c r="E24" s="6" t="str">
        <f>CONCATENATE(TEXT([1]IFE!E86,"#")&amp;"/"&amp;TEXT([1]IFE!E87,"#"))</f>
        <v>130/81</v>
      </c>
      <c r="F24" s="6" t="str">
        <f>CONCATENATE(TEXT([1]IFE!F86,"#")&amp;"/"&amp;TEXT([1]IFE!F87,"#"))</f>
        <v>130/81</v>
      </c>
      <c r="G24" s="387">
        <f>[1]IFE!B318</f>
        <v>0</v>
      </c>
      <c r="H24" s="388"/>
      <c r="I24" s="94">
        <f>[1]IFE!C318</f>
        <v>0</v>
      </c>
      <c r="J24" s="114">
        <f>[1]IFE!D318</f>
        <v>0</v>
      </c>
    </row>
    <row r="25" spans="1:10" ht="9.9" customHeight="1" x14ac:dyDescent="0.25">
      <c r="A25" s="109" t="s">
        <v>55</v>
      </c>
      <c r="B25" s="110"/>
      <c r="C25" s="6" t="str">
        <f>CONCATENATE(TEXT([1]IFE!C88,"#")&amp;"/"&amp;TEXT([1]IFE!C89,"#"))</f>
        <v>23/18</v>
      </c>
      <c r="D25" s="6" t="str">
        <f>CONCATENATE(TEXT([1]IFE!D88,"#")&amp;"/"&amp;TEXT([1]IFE!D89,"#"))</f>
        <v>23/18</v>
      </c>
      <c r="E25" s="6" t="str">
        <f>CONCATENATE(TEXT([1]IFE!E88,"#")&amp;"/"&amp;TEXT([1]IFE!E89,"#"))</f>
        <v>61/39</v>
      </c>
      <c r="F25" s="6" t="str">
        <f>CONCATENATE(TEXT([1]IFE!F88,"#")&amp;"/"&amp;TEXT([1]IFE!F89,"#"))</f>
        <v>61/39</v>
      </c>
      <c r="G25" s="387">
        <f>[1]IFE!B319</f>
        <v>0</v>
      </c>
      <c r="H25" s="388"/>
      <c r="I25" s="94">
        <f>[1]IFE!C319</f>
        <v>0</v>
      </c>
      <c r="J25" s="114">
        <f>[1]IFE!D319</f>
        <v>0</v>
      </c>
    </row>
    <row r="26" spans="1:10" ht="9.9" customHeight="1" x14ac:dyDescent="0.25">
      <c r="A26" s="109" t="s">
        <v>26</v>
      </c>
      <c r="B26" s="110"/>
      <c r="C26" s="6" t="str">
        <f>CONCATENATE(TEXT([1]IFE!C90,"#")&amp;"/"&amp;TEXT([1]IFE!C91,"#"))</f>
        <v>11/10</v>
      </c>
      <c r="D26" s="6" t="str">
        <f>CONCATENATE(TEXT([1]IFE!D90,"#")&amp;"/"&amp;TEXT([1]IFE!D91,"#"))</f>
        <v>11/10</v>
      </c>
      <c r="E26" s="6" t="str">
        <f>CONCATENATE(TEXT([1]IFE!E90,"#")&amp;"/"&amp;TEXT([1]IFE!E91,"#"))</f>
        <v>10/8</v>
      </c>
      <c r="F26" s="6" t="str">
        <f>CONCATENATE(TEXT([1]IFE!F90,"#")&amp;"/"&amp;TEXT([1]IFE!F91,"#"))</f>
        <v>10/8</v>
      </c>
      <c r="G26" s="387">
        <f>[1]IFE!B320</f>
        <v>0</v>
      </c>
      <c r="H26" s="388"/>
      <c r="I26" s="94">
        <f>[1]IFE!C320</f>
        <v>0</v>
      </c>
      <c r="J26" s="114">
        <f>[1]IFE!D320</f>
        <v>0</v>
      </c>
    </row>
    <row r="27" spans="1:10" ht="9.9" customHeight="1" x14ac:dyDescent="0.25">
      <c r="A27" s="109" t="s">
        <v>24</v>
      </c>
      <c r="B27" s="110" t="str">
        <f>[1]IFE!B41</f>
        <v>cP</v>
      </c>
      <c r="C27" s="111">
        <f>[1]IFE!C92</f>
        <v>11</v>
      </c>
      <c r="D27" s="111">
        <f>[1]IFE!D92</f>
        <v>11</v>
      </c>
      <c r="E27" s="111">
        <f>[1]IFE!E92</f>
        <v>49</v>
      </c>
      <c r="F27" s="112">
        <f>[1]IFE!F92</f>
        <v>49</v>
      </c>
      <c r="G27" s="387">
        <f>[1]IFE!B321</f>
        <v>0</v>
      </c>
      <c r="H27" s="388"/>
      <c r="I27" s="94">
        <f>[1]IFE!C321</f>
        <v>0</v>
      </c>
      <c r="J27" s="114">
        <f>[1]IFE!D321</f>
        <v>0</v>
      </c>
    </row>
    <row r="28" spans="1:10" ht="9.9" customHeight="1" x14ac:dyDescent="0.25">
      <c r="A28" s="109" t="s">
        <v>25</v>
      </c>
      <c r="B28" s="110" t="str">
        <f>[1]IFE!B42</f>
        <v>lb/100p²</v>
      </c>
      <c r="C28" s="111">
        <f>[1]IFE!C93</f>
        <v>16</v>
      </c>
      <c r="D28" s="111">
        <f>[1]IFE!D93</f>
        <v>16</v>
      </c>
      <c r="E28" s="111">
        <f>[1]IFE!E93</f>
        <v>32</v>
      </c>
      <c r="F28" s="112">
        <f>[1]IFE!F93</f>
        <v>32</v>
      </c>
      <c r="G28" s="387">
        <f>[1]IFE!B322</f>
        <v>0</v>
      </c>
      <c r="H28" s="388"/>
      <c r="I28" s="94">
        <f>[1]IFE!C322</f>
        <v>0</v>
      </c>
      <c r="J28" s="114">
        <f>[1]IFE!D322</f>
        <v>0</v>
      </c>
    </row>
    <row r="29" spans="1:10" ht="9.9" customHeight="1" x14ac:dyDescent="0.25">
      <c r="A29" s="109" t="s">
        <v>27</v>
      </c>
      <c r="B29" s="110" t="str">
        <f>[1]IFE!B42</f>
        <v>lb/100p²</v>
      </c>
      <c r="C29" s="6" t="str">
        <f>CONCATENATE(TEXT([1]IFE!C94,"#")&amp;"/"&amp;(TEXT([1]IFE!C95,"#")&amp;"/"&amp;TEXT([1]IFE!C96,"#")))</f>
        <v>11/15/</v>
      </c>
      <c r="D29" s="6" t="str">
        <f>CONCATENATE(TEXT([1]IFE!D94,"#")&amp;"/"&amp;(TEXT([1]IFE!D95,"#")&amp;"/"&amp;TEXT([1]IFE!D96,"#")))</f>
        <v>11/15/</v>
      </c>
      <c r="E29" s="6" t="str">
        <f>CONCATENATE(TEXT([1]IFE!E94,"#")&amp;"/"&amp;(TEXT([1]IFE!E95,"#")&amp;"/"&amp;TEXT([1]IFE!E96,"#")))</f>
        <v>12/18/</v>
      </c>
      <c r="F29" s="6" t="str">
        <f>CONCATENATE(TEXT([1]IFE!F94,"#")&amp;"/"&amp;(TEXT([1]IFE!F95,"#")&amp;"/"&amp;TEXT([1]IFE!F96,"#")))</f>
        <v>12/18/</v>
      </c>
      <c r="G29" s="387">
        <f>[1]IFE!B323</f>
        <v>0</v>
      </c>
      <c r="H29" s="388"/>
      <c r="I29" s="94">
        <f>[1]IFE!C323</f>
        <v>0</v>
      </c>
      <c r="J29" s="114">
        <f>[1]IFE!D323</f>
        <v>0</v>
      </c>
    </row>
    <row r="30" spans="1:10" ht="9.9" customHeight="1" x14ac:dyDescent="0.25">
      <c r="A30" s="109" t="s">
        <v>35</v>
      </c>
      <c r="B30" s="110" t="str">
        <f>[1]IFE!D57</f>
        <v>cc/30min</v>
      </c>
      <c r="C30" s="111">
        <f>[1]IFE!C97</f>
        <v>0</v>
      </c>
      <c r="D30" s="111">
        <f>[1]IFE!D97</f>
        <v>0</v>
      </c>
      <c r="E30" s="111">
        <f>[1]IFE!E97</f>
        <v>0</v>
      </c>
      <c r="F30" s="112">
        <f>[1]IFE!F97</f>
        <v>0</v>
      </c>
      <c r="G30" s="387">
        <f>[1]IFE!B324</f>
        <v>0</v>
      </c>
      <c r="H30" s="388"/>
      <c r="I30" s="94">
        <f>[1]IFE!C324</f>
        <v>0</v>
      </c>
      <c r="J30" s="114">
        <f>[1]IFE!D324</f>
        <v>0</v>
      </c>
    </row>
    <row r="31" spans="1:10" ht="9.9" customHeight="1" x14ac:dyDescent="0.25">
      <c r="A31" s="109" t="s">
        <v>36</v>
      </c>
      <c r="B31" s="110" t="str">
        <f>[1]IFE!D57</f>
        <v>cc/30min</v>
      </c>
      <c r="C31" s="6" t="str">
        <f>CONCATENATE(TEXT([1]IFE!C98,"#.0")&amp;"@"&amp;TEXT([1]IFE!C99,"#"))</f>
        <v>.0@</v>
      </c>
      <c r="D31" s="6" t="str">
        <f>CONCATENATE(TEXT([1]IFE!D98,"#.0")&amp;"@"&amp;TEXT([1]IFE!D99,"#"))</f>
        <v>.0@</v>
      </c>
      <c r="E31" s="6" t="str">
        <f>CONCATENATE(TEXT([1]IFE!E98,"#.0")&amp;"@"&amp;TEXT([1]IFE!E99,"#"))</f>
        <v>.0@</v>
      </c>
      <c r="F31" s="6" t="str">
        <f>CONCATENATE(TEXT([1]IFE!F98,"#.0")&amp;"@"&amp;TEXT([1]IFE!F99,"#"))</f>
        <v>.0@</v>
      </c>
      <c r="G31" s="387">
        <f>[1]IFE!B325</f>
        <v>0</v>
      </c>
      <c r="H31" s="388"/>
      <c r="I31" s="94">
        <f>[1]IFE!C325</f>
        <v>0</v>
      </c>
      <c r="J31" s="114">
        <f>[1]IFE!D325</f>
        <v>0</v>
      </c>
    </row>
    <row r="32" spans="1:10" ht="9" customHeight="1" x14ac:dyDescent="0.25">
      <c r="A32" s="109" t="s">
        <v>56</v>
      </c>
      <c r="B32" s="110" t="str">
        <f>[1]IFE!B34</f>
        <v>1/32 plg</v>
      </c>
      <c r="C32" s="6" t="str">
        <f>CONCATENATE(TEXT([1]IFE!C100,"#")&amp;"/"&amp;TEXT([1]IFE!C101,"#"))</f>
        <v>/</v>
      </c>
      <c r="D32" s="6" t="str">
        <f>CONCATENATE(TEXT([1]IFE!D100,"#")&amp;"/"&amp;TEXT([1]IFE!D101,"#"))</f>
        <v>/</v>
      </c>
      <c r="E32" s="6" t="str">
        <f>CONCATENATE(TEXT([1]IFE!E100,"#")&amp;"/"&amp;TEXT([1]IFE!E101,"#"))</f>
        <v>/</v>
      </c>
      <c r="F32" s="6" t="str">
        <f>CONCATENATE(TEXT([1]IFE!F100,"#")&amp;"/"&amp;TEXT([1]IFE!F101,"#"))</f>
        <v>/</v>
      </c>
      <c r="G32" s="387">
        <f>[1]IFE!B326</f>
        <v>0</v>
      </c>
      <c r="H32" s="388"/>
      <c r="I32" s="94">
        <f>[1]IFE!C326</f>
        <v>0</v>
      </c>
      <c r="J32" s="114">
        <f>[1]IFE!D326</f>
        <v>0</v>
      </c>
    </row>
    <row r="33" spans="1:10" ht="9.9" customHeight="1" thickBot="1" x14ac:dyDescent="0.3">
      <c r="A33" s="109" t="s">
        <v>109</v>
      </c>
      <c r="B33" s="110" t="str">
        <f>[1]IFE!D59</f>
        <v>%Vol</v>
      </c>
      <c r="C33" s="111">
        <f>[1]IFE!C102</f>
        <v>4.2</v>
      </c>
      <c r="D33" s="111">
        <f>[1]IFE!D102</f>
        <v>4.2</v>
      </c>
      <c r="E33" s="111">
        <f>[1]IFE!E102</f>
        <v>22</v>
      </c>
      <c r="F33" s="112">
        <f>[1]IFE!F102</f>
        <v>22</v>
      </c>
      <c r="G33" s="389">
        <f>[1]IFE!B327</f>
        <v>0</v>
      </c>
      <c r="H33" s="390"/>
      <c r="I33" s="116">
        <f>[1]IFE!C327</f>
        <v>0</v>
      </c>
      <c r="J33" s="117">
        <f>[1]IFE!D327</f>
        <v>0</v>
      </c>
    </row>
    <row r="34" spans="1:10" ht="9.9" customHeight="1" x14ac:dyDescent="0.25">
      <c r="A34" s="109" t="s">
        <v>110</v>
      </c>
      <c r="B34" s="110" t="str">
        <f>[1]IFE!D59</f>
        <v>%Vol</v>
      </c>
      <c r="C34" s="111">
        <f>[1]IFE!C103</f>
        <v>0</v>
      </c>
      <c r="D34" s="111">
        <f>[1]IFE!D103</f>
        <v>0</v>
      </c>
      <c r="E34" s="111">
        <f>[1]IFE!E103</f>
        <v>0</v>
      </c>
      <c r="F34" s="112">
        <f>[1]IFE!F103</f>
        <v>0</v>
      </c>
      <c r="G34" s="204" t="s">
        <v>57</v>
      </c>
      <c r="H34" s="128"/>
      <c r="I34" s="128"/>
      <c r="J34" s="98"/>
    </row>
    <row r="35" spans="1:10" ht="9.9" customHeight="1" x14ac:dyDescent="0.25">
      <c r="A35" s="109" t="s">
        <v>177</v>
      </c>
      <c r="B35" s="110" t="str">
        <f>[1]IFE!D59</f>
        <v>%Vol</v>
      </c>
      <c r="C35" s="111">
        <f>[1]IFE!C104</f>
        <v>95.8</v>
      </c>
      <c r="D35" s="111">
        <f>[1]IFE!D104</f>
        <v>95.8</v>
      </c>
      <c r="E35" s="111">
        <f>[1]IFE!E104</f>
        <v>78</v>
      </c>
      <c r="F35" s="112">
        <f>[1]IFE!F104</f>
        <v>78</v>
      </c>
      <c r="G35" s="205" t="s">
        <v>59</v>
      </c>
      <c r="H35" s="119"/>
      <c r="I35" s="120" t="s">
        <v>60</v>
      </c>
      <c r="J35" s="121" t="s">
        <v>61</v>
      </c>
    </row>
    <row r="36" spans="1:10" ht="9.9" customHeight="1" x14ac:dyDescent="0.25">
      <c r="A36" s="109" t="s">
        <v>112</v>
      </c>
      <c r="B36" s="110" t="str">
        <f>[1]IFE!D59</f>
        <v>%Vol</v>
      </c>
      <c r="C36" s="111">
        <f>[1]IFE!C105</f>
        <v>0</v>
      </c>
      <c r="D36" s="111">
        <f>[1]IFE!D105</f>
        <v>0</v>
      </c>
      <c r="E36" s="111">
        <f>[1]IFE!E105</f>
        <v>0</v>
      </c>
      <c r="F36" s="112">
        <f>[1]IFE!F105</f>
        <v>0</v>
      </c>
      <c r="G36" s="400" t="str">
        <f>[1]IFE!$B220</f>
        <v>DERRICK SHEKER 1</v>
      </c>
      <c r="H36" s="122"/>
      <c r="I36" s="123" t="str">
        <f>[1]IFE!$C220</f>
        <v>2X100 - 2X140</v>
      </c>
      <c r="J36" s="393">
        <f>[1]IFE!$D220</f>
        <v>0</v>
      </c>
    </row>
    <row r="37" spans="1:10" ht="9.9" customHeight="1" x14ac:dyDescent="0.25">
      <c r="A37" s="109" t="s">
        <v>176</v>
      </c>
      <c r="B37" s="110"/>
      <c r="C37" s="6" t="str">
        <f>CONCATENATE(TEXT([1]IFE!C106,"#")&amp;"/"&amp;TEXT([1]IFE!C107,"#"))</f>
        <v>20/10</v>
      </c>
      <c r="D37" s="6" t="str">
        <f>CONCATENATE(TEXT([1]IFE!D106,"#")&amp;"/"&amp;TEXT([1]IFE!D107,"#"))</f>
        <v>20/10</v>
      </c>
      <c r="E37" s="6" t="str">
        <f>CONCATENATE(TEXT([1]IFE!E106,"#")&amp;"/"&amp;TEXT([1]IFE!E107,"#"))</f>
        <v>15/11</v>
      </c>
      <c r="F37" s="6" t="str">
        <f>CONCATENATE(TEXT([1]IFE!F106,"#")&amp;"/"&amp;TEXT([1]IFE!F107,"#"))</f>
        <v>15/11</v>
      </c>
      <c r="G37" s="400" t="str">
        <f>[1]IFE!$B221</f>
        <v>DERRICK SHAKER 2</v>
      </c>
      <c r="H37" s="124"/>
      <c r="I37" s="123" t="str">
        <f>[1]IFE!$C221</f>
        <v>2X100 - 2X140</v>
      </c>
      <c r="J37" s="393">
        <f>[1]IFE!$D221</f>
        <v>0</v>
      </c>
    </row>
    <row r="38" spans="1:10" ht="9.9" customHeight="1" x14ac:dyDescent="0.25">
      <c r="A38" s="109" t="s">
        <v>114</v>
      </c>
      <c r="B38" s="110"/>
      <c r="C38" s="111">
        <f>[1]IFE!C108</f>
        <v>85</v>
      </c>
      <c r="D38" s="111">
        <f>[1]IFE!D108</f>
        <v>85</v>
      </c>
      <c r="E38" s="111">
        <f>[1]IFE!E108</f>
        <v>85</v>
      </c>
      <c r="F38" s="112">
        <f>[1]IFE!F108</f>
        <v>85</v>
      </c>
      <c r="G38" s="400" t="str">
        <f>[1]IFE!$B222</f>
        <v>DERRICK SHAKER 3</v>
      </c>
      <c r="H38" s="124"/>
      <c r="I38" s="123" t="str">
        <f>[1]IFE!$C222</f>
        <v>2X100 - 2X140</v>
      </c>
      <c r="J38" s="393">
        <f>[1]IFE!$D222</f>
        <v>0</v>
      </c>
    </row>
    <row r="39" spans="1:10" ht="9.9" customHeight="1" x14ac:dyDescent="0.25">
      <c r="A39" s="109" t="s">
        <v>115</v>
      </c>
      <c r="B39" s="110" t="str">
        <f>[1]IFE!D58</f>
        <v>mg/L</v>
      </c>
      <c r="C39" s="111">
        <f>[1]IFE!C109</f>
        <v>0.8</v>
      </c>
      <c r="D39" s="111">
        <f>[1]IFE!D109</f>
        <v>0.8</v>
      </c>
      <c r="E39" s="111">
        <f>[1]IFE!E109</f>
        <v>0</v>
      </c>
      <c r="F39" s="112">
        <f>[1]IFE!F109</f>
        <v>0</v>
      </c>
      <c r="G39" s="400" t="str">
        <f>[1]IFE!$B223</f>
        <v>MOD 312 / 10T2 w/o pump</v>
      </c>
      <c r="H39" s="124"/>
      <c r="I39" s="123" t="str">
        <f>[1]IFE!$C223</f>
        <v>4 X 200</v>
      </c>
      <c r="J39" s="393">
        <f>[1]IFE!$D223</f>
        <v>0</v>
      </c>
    </row>
    <row r="40" spans="1:10" ht="9.9" customHeight="1" x14ac:dyDescent="0.25">
      <c r="A40" s="109" t="s">
        <v>116</v>
      </c>
      <c r="B40" s="110" t="str">
        <f>[1]IFE!D60</f>
        <v>%Wt</v>
      </c>
      <c r="C40" s="111">
        <f>[1]IFE!C110</f>
        <v>0.2</v>
      </c>
      <c r="D40" s="111">
        <f>[1]IFE!D110</f>
        <v>0.2</v>
      </c>
      <c r="E40" s="111">
        <f>[1]IFE!E110</f>
        <v>0</v>
      </c>
      <c r="F40" s="112">
        <f>[1]IFE!F110</f>
        <v>0</v>
      </c>
      <c r="G40" s="400">
        <f>[1]IFE!$B224</f>
        <v>0</v>
      </c>
      <c r="H40" s="124"/>
      <c r="I40" s="123">
        <f>[1]IFE!$C224</f>
        <v>0</v>
      </c>
      <c r="J40" s="393">
        <f>[1]IFE!$D224</f>
        <v>0</v>
      </c>
    </row>
    <row r="41" spans="1:10" ht="9.9" customHeight="1" x14ac:dyDescent="0.25">
      <c r="A41" s="109" t="s">
        <v>117</v>
      </c>
      <c r="B41" s="110" t="str">
        <f>[1]IFE!B44</f>
        <v>lb/bbl</v>
      </c>
      <c r="C41" s="111">
        <f>[1]IFE!C111</f>
        <v>0.6</v>
      </c>
      <c r="D41" s="111">
        <f>[1]IFE!D111</f>
        <v>0.6</v>
      </c>
      <c r="E41" s="111">
        <f>[1]IFE!E111</f>
        <v>0</v>
      </c>
      <c r="F41" s="112">
        <f>[1]IFE!F111</f>
        <v>0</v>
      </c>
      <c r="G41" s="400">
        <f>[1]IFE!$B225</f>
        <v>0</v>
      </c>
      <c r="H41" s="124"/>
      <c r="I41" s="123">
        <f>[1]IFE!$C225</f>
        <v>0</v>
      </c>
      <c r="J41" s="393">
        <f>[1]IFE!$D225</f>
        <v>0</v>
      </c>
    </row>
    <row r="42" spans="1:10" ht="9.9" customHeight="1" x14ac:dyDescent="0.25">
      <c r="A42" s="109" t="s">
        <v>118</v>
      </c>
      <c r="B42" s="110"/>
      <c r="C42" s="111">
        <f>[1]IFE!C112</f>
        <v>0</v>
      </c>
      <c r="D42" s="111">
        <f>[1]IFE!D112</f>
        <v>0</v>
      </c>
      <c r="E42" s="111">
        <f>[1]IFE!E112</f>
        <v>0</v>
      </c>
      <c r="F42" s="112">
        <f>[1]IFE!F112</f>
        <v>0</v>
      </c>
      <c r="G42" s="400">
        <f>[1]IFE!$B226</f>
        <v>0</v>
      </c>
      <c r="H42" s="124"/>
      <c r="I42" s="123">
        <f>[1]IFE!$C226</f>
        <v>0</v>
      </c>
      <c r="J42" s="393">
        <f>[1]IFE!$D226</f>
        <v>0</v>
      </c>
    </row>
    <row r="43" spans="1:10" ht="9.9" customHeight="1" x14ac:dyDescent="0.25">
      <c r="A43" s="109">
        <f>[1]IFE!B114</f>
        <v>0</v>
      </c>
      <c r="B43" s="206">
        <f>[1]IFE!J114</f>
        <v>0</v>
      </c>
      <c r="C43" s="6">
        <f>[1]IFE!C114</f>
        <v>0</v>
      </c>
      <c r="D43" s="6">
        <f>[1]IFE!D114</f>
        <v>0</v>
      </c>
      <c r="E43" s="6">
        <f>[1]IFE!E114</f>
        <v>0</v>
      </c>
      <c r="F43" s="82">
        <f>[1]IFE!F114</f>
        <v>0</v>
      </c>
      <c r="G43" s="400">
        <f>[1]IFE!$B227</f>
        <v>0</v>
      </c>
      <c r="H43" s="124"/>
      <c r="I43" s="123">
        <f>[1]IFE!$C227</f>
        <v>0</v>
      </c>
      <c r="J43" s="393">
        <f>[1]IFE!$D227</f>
        <v>0</v>
      </c>
    </row>
    <row r="44" spans="1:10" ht="11.1" customHeight="1" x14ac:dyDescent="0.25">
      <c r="A44" s="109">
        <f>[1]IFE!B115</f>
        <v>0</v>
      </c>
      <c r="B44" s="206">
        <f>[1]IFE!J115</f>
        <v>0</v>
      </c>
      <c r="C44" s="6">
        <f>[1]IFE!C115</f>
        <v>0</v>
      </c>
      <c r="D44" s="6">
        <f>[1]IFE!D115</f>
        <v>0</v>
      </c>
      <c r="E44" s="6">
        <f>[1]IFE!E115</f>
        <v>0</v>
      </c>
      <c r="F44" s="82">
        <f>[1]IFE!F115</f>
        <v>0</v>
      </c>
      <c r="G44" s="400">
        <f>[1]IFE!$B228</f>
        <v>0</v>
      </c>
      <c r="H44" s="124"/>
      <c r="I44" s="123">
        <f>[1]IFE!$C228</f>
        <v>0</v>
      </c>
      <c r="J44" s="393">
        <f>[1]IFE!$D228</f>
        <v>0</v>
      </c>
    </row>
    <row r="45" spans="1:10" ht="11.1" customHeight="1" x14ac:dyDescent="0.25">
      <c r="A45" s="109">
        <f>[1]IFE!B116</f>
        <v>0</v>
      </c>
      <c r="B45" s="206">
        <f>[1]IFE!J116</f>
        <v>0</v>
      </c>
      <c r="C45" s="6">
        <f>[1]IFE!C116</f>
        <v>0</v>
      </c>
      <c r="D45" s="6">
        <f>[1]IFE!D116</f>
        <v>0</v>
      </c>
      <c r="E45" s="6">
        <f>[1]IFE!E116</f>
        <v>0</v>
      </c>
      <c r="F45" s="82">
        <f>[1]IFE!F116</f>
        <v>0</v>
      </c>
      <c r="G45" s="400">
        <f>[1]IFE!$B229</f>
        <v>0</v>
      </c>
      <c r="H45" s="124"/>
      <c r="I45" s="123">
        <f>[1]IFE!$C229</f>
        <v>0</v>
      </c>
      <c r="J45" s="393">
        <f>[1]IFE!$D229</f>
        <v>0</v>
      </c>
    </row>
    <row r="46" spans="1:10" ht="11.1" customHeight="1" thickBot="1" x14ac:dyDescent="0.3">
      <c r="A46" s="109">
        <f>[1]IFE!B117</f>
        <v>0</v>
      </c>
      <c r="B46" s="206">
        <f>[1]IFE!J117</f>
        <v>0</v>
      </c>
      <c r="C46" s="6">
        <f>[1]IFE!C117</f>
        <v>0</v>
      </c>
      <c r="D46" s="6">
        <f>[1]IFE!D117</f>
        <v>0</v>
      </c>
      <c r="E46" s="6">
        <f>[1]IFE!E117</f>
        <v>0</v>
      </c>
      <c r="F46" s="82">
        <f>[1]IFE!F117</f>
        <v>0</v>
      </c>
      <c r="G46" s="400">
        <f>[1]IFE!$G220</f>
        <v>0</v>
      </c>
      <c r="H46" s="207"/>
      <c r="I46" s="123">
        <f>[1]IFE!$H220</f>
        <v>0</v>
      </c>
      <c r="J46" s="393">
        <f>[1]IFE!$I220</f>
        <v>0</v>
      </c>
    </row>
    <row r="47" spans="1:10" ht="11.1" customHeight="1" x14ac:dyDescent="0.25">
      <c r="A47" s="80">
        <f>[1]IFE!I382</f>
        <v>0</v>
      </c>
      <c r="B47" s="144">
        <f>[1]IFE!J382</f>
        <v>0</v>
      </c>
      <c r="C47" s="6">
        <f>[1]IFE!A382</f>
        <v>0</v>
      </c>
      <c r="D47" s="6">
        <f>[1]IFE!B382</f>
        <v>0</v>
      </c>
      <c r="E47" s="6">
        <f>[1]IFE!C382</f>
        <v>0</v>
      </c>
      <c r="F47" s="6">
        <f>[1]IFE!D382</f>
        <v>0</v>
      </c>
      <c r="G47" s="201" t="s">
        <v>65</v>
      </c>
      <c r="H47" s="202"/>
      <c r="I47" s="208"/>
      <c r="J47" s="209" t="s">
        <v>66</v>
      </c>
    </row>
    <row r="48" spans="1:10" ht="11.1" customHeight="1" x14ac:dyDescent="0.25">
      <c r="A48" s="109">
        <f>[1]IFE!I383</f>
        <v>0</v>
      </c>
      <c r="B48" s="206">
        <f>[1]IFE!J383</f>
        <v>0</v>
      </c>
      <c r="C48" s="6">
        <f>[1]IFE!A383</f>
        <v>0</v>
      </c>
      <c r="D48" s="6">
        <f>[1]IFE!B383</f>
        <v>0</v>
      </c>
      <c r="E48" s="6">
        <f>[1]IFE!C383</f>
        <v>0</v>
      </c>
      <c r="F48" s="6">
        <f>[1]IFE!D383</f>
        <v>0</v>
      </c>
      <c r="G48" s="95" t="s">
        <v>3</v>
      </c>
      <c r="H48" s="128" t="str">
        <f>[1]IFE!B153</f>
        <v>9,1</v>
      </c>
      <c r="I48" s="129"/>
      <c r="J48" s="392">
        <f>[1]IFE!C82</f>
        <v>9.1</v>
      </c>
    </row>
    <row r="49" spans="1:10" ht="11.1" customHeight="1" x14ac:dyDescent="0.25">
      <c r="A49" s="109">
        <f>[1]IFE!I384</f>
        <v>0</v>
      </c>
      <c r="B49" s="206">
        <f>[1]IFE!J384</f>
        <v>0</v>
      </c>
      <c r="C49" s="6">
        <f>[1]IFE!A384</f>
        <v>0</v>
      </c>
      <c r="D49" s="6">
        <f>[1]IFE!B384</f>
        <v>0</v>
      </c>
      <c r="E49" s="6">
        <f>[1]IFE!C384</f>
        <v>0</v>
      </c>
      <c r="F49" s="6">
        <f>[1]IFE!D384</f>
        <v>0</v>
      </c>
      <c r="G49" s="95" t="s">
        <v>67</v>
      </c>
      <c r="H49" s="131" t="str">
        <f>[1]IFE!B154</f>
        <v>55</v>
      </c>
      <c r="I49" s="132"/>
      <c r="J49" s="130">
        <f>[1]IFE!C84</f>
        <v>55</v>
      </c>
    </row>
    <row r="50" spans="1:10" ht="11.1" customHeight="1" x14ac:dyDescent="0.25">
      <c r="A50" s="109">
        <f>[1]IFE!I385</f>
        <v>0</v>
      </c>
      <c r="B50" s="206">
        <f>[1]IFE!J385</f>
        <v>0</v>
      </c>
      <c r="C50" s="6">
        <f>[1]IFE!A385</f>
        <v>0</v>
      </c>
      <c r="D50" s="6">
        <f>[1]IFE!B385</f>
        <v>0</v>
      </c>
      <c r="E50" s="6">
        <f>[1]IFE!C385</f>
        <v>0</v>
      </c>
      <c r="F50" s="6">
        <f>[1]IFE!D385</f>
        <v>0</v>
      </c>
      <c r="G50" s="95" t="s">
        <v>68</v>
      </c>
      <c r="H50" s="131">
        <f>[1]IFE!B155</f>
        <v>0</v>
      </c>
      <c r="I50" s="132"/>
      <c r="J50" s="130">
        <f>[1]IFE!C98</f>
        <v>0</v>
      </c>
    </row>
    <row r="51" spans="1:10" ht="11.1" customHeight="1" thickBot="1" x14ac:dyDescent="0.3">
      <c r="A51" s="134" t="s">
        <v>198</v>
      </c>
      <c r="B51" s="135" t="str">
        <f>[1]IFE!$B$32</f>
        <v>bbl</v>
      </c>
      <c r="C51" s="243">
        <f>[1]IFE!$BH$210+[1]IFE!$BH$211</f>
        <v>1418</v>
      </c>
      <c r="D51" s="210"/>
      <c r="E51" s="210"/>
      <c r="F51" s="211"/>
      <c r="G51" s="212"/>
      <c r="H51" s="139"/>
      <c r="I51" s="140"/>
      <c r="J51" s="213"/>
    </row>
    <row r="52" spans="1:10" ht="9.6" customHeight="1" x14ac:dyDescent="0.25">
      <c r="A52" s="674" t="s">
        <v>69</v>
      </c>
      <c r="B52" s="672"/>
      <c r="C52" s="672"/>
      <c r="D52" s="675"/>
      <c r="E52" s="671" t="s">
        <v>70</v>
      </c>
      <c r="F52" s="672"/>
      <c r="G52" s="672"/>
      <c r="H52" s="672"/>
      <c r="I52" s="672"/>
      <c r="J52" s="673"/>
    </row>
    <row r="53" spans="1:10" ht="77.25" customHeight="1" thickBot="1" x14ac:dyDescent="0.3">
      <c r="A53" s="682" t="str">
        <f>[1]IFE!B157</f>
        <v>Realizó chequeo a fluido y ajustó viscosidad. no se logro recibir barita debido a que el mal tiempo no permitio que el barco se pegara al equipo y luego debió volver a muelle. Actualmente esperando el barco con Barita. Realizó correccion de presentacion del producto DUOVIS, ya que el mismo estaba reportado de 50 libras y el usado es de 25 kg.</v>
      </c>
      <c r="B53" s="683"/>
      <c r="C53" s="683"/>
      <c r="D53" s="684"/>
      <c r="E53" s="682" t="str">
        <f>[1]IFE!B158</f>
        <v>Terminó de instalar equipo de pozo, probo el mismo OK. bajo sarta de perforacion hasta tope de cemento, probó  equipo ok.</v>
      </c>
      <c r="F53" s="683"/>
      <c r="G53" s="683"/>
      <c r="H53" s="683"/>
      <c r="I53" s="683"/>
      <c r="J53" s="684"/>
    </row>
    <row r="54" spans="1:10" ht="9.6" customHeight="1" x14ac:dyDescent="0.25">
      <c r="A54" s="190" t="s">
        <v>71</v>
      </c>
      <c r="B54" s="191"/>
      <c r="C54" s="190" t="str">
        <f>"MUD VOL ACCTG   " &amp;"("&amp;[1]IFE!B32&amp;")"</f>
        <v>MUD VOL ACCTG   (bbl)</v>
      </c>
      <c r="D54" s="191"/>
      <c r="E54" s="190" t="s">
        <v>119</v>
      </c>
      <c r="F54" s="214"/>
      <c r="G54" s="215"/>
      <c r="H54" s="190" t="s">
        <v>72</v>
      </c>
      <c r="I54" s="193"/>
      <c r="J54" s="191"/>
    </row>
    <row r="55" spans="1:10" ht="9.6" customHeight="1" x14ac:dyDescent="0.25">
      <c r="A55" s="95" t="str">
        <f>[1]IFE!B270</f>
        <v>Armado / Mantenimiento</v>
      </c>
      <c r="B55" s="82">
        <f>[1]IFE!C270</f>
        <v>0</v>
      </c>
      <c r="C55" s="385" t="s">
        <v>73</v>
      </c>
      <c r="D55" s="82">
        <f>[1]IFE!$E$331</f>
        <v>0</v>
      </c>
      <c r="E55" s="80" t="s">
        <v>120</v>
      </c>
      <c r="F55" s="113"/>
      <c r="G55" s="82" t="str">
        <f>[1]IFE!C202</f>
        <v>0,/ 0,</v>
      </c>
      <c r="H55" s="142" t="s">
        <v>75</v>
      </c>
      <c r="I55" s="143"/>
      <c r="J55" s="82">
        <f>[1]IFE!B243</f>
        <v>0</v>
      </c>
    </row>
    <row r="56" spans="1:10" ht="9.6" customHeight="1" x14ac:dyDescent="0.25">
      <c r="A56" s="95" t="str">
        <f>[1]IFE!B271</f>
        <v>Perforación</v>
      </c>
      <c r="B56" s="82">
        <f>[1]IFE!C271</f>
        <v>0</v>
      </c>
      <c r="C56" s="385" t="s">
        <v>76</v>
      </c>
      <c r="D56" s="82">
        <f>[1]IFE!$E$332</f>
        <v>0</v>
      </c>
      <c r="E56" s="80" t="s">
        <v>121</v>
      </c>
      <c r="F56" s="113"/>
      <c r="G56" s="82" t="str">
        <f>[1]IFE!C203</f>
        <v>0,/ 0,</v>
      </c>
      <c r="H56" s="142" t="s">
        <v>78</v>
      </c>
      <c r="I56" s="144"/>
      <c r="J56" s="82">
        <f>[1]IFE!B244</f>
        <v>0</v>
      </c>
    </row>
    <row r="57" spans="1:10" ht="9.6" customHeight="1" x14ac:dyDescent="0.25">
      <c r="A57" s="95" t="str">
        <f>[1]IFE!B272</f>
        <v>Viajes</v>
      </c>
      <c r="B57" s="82">
        <f>[1]IFE!C272</f>
        <v>0</v>
      </c>
      <c r="C57" s="385" t="s">
        <v>79</v>
      </c>
      <c r="D57" s="82">
        <f>[1]IFE!$E$336</f>
        <v>0</v>
      </c>
      <c r="E57" s="80" t="s">
        <v>122</v>
      </c>
      <c r="F57" s="113"/>
      <c r="G57" s="82" t="str">
        <f>[1]IFE!C204</f>
        <v>2,3/ 20,6</v>
      </c>
      <c r="H57" s="142" t="s">
        <v>123</v>
      </c>
      <c r="I57" s="144"/>
      <c r="J57" s="82">
        <f>[1]IFE!B245</f>
        <v>0</v>
      </c>
    </row>
    <row r="58" spans="1:10" ht="9.6" customHeight="1" x14ac:dyDescent="0.25">
      <c r="A58" s="95" t="str">
        <f>[1]IFE!B273</f>
        <v>Tiempo No Productivo</v>
      </c>
      <c r="B58" s="82">
        <f>[1]IFE!C273</f>
        <v>0</v>
      </c>
      <c r="C58" s="385" t="s">
        <v>104</v>
      </c>
      <c r="D58" s="82">
        <f>[1]IFE!$E$337</f>
        <v>0</v>
      </c>
      <c r="E58" s="80" t="s">
        <v>176</v>
      </c>
      <c r="F58" s="113"/>
      <c r="G58" s="82" t="str">
        <f>[1]IFE!C205</f>
        <v>2,2/ 20,</v>
      </c>
      <c r="H58" s="142" t="s">
        <v>82</v>
      </c>
      <c r="I58" s="144"/>
      <c r="J58" s="82">
        <f>[1]IFE!B246</f>
        <v>0</v>
      </c>
    </row>
    <row r="59" spans="1:10" ht="9.6" customHeight="1" x14ac:dyDescent="0.25">
      <c r="A59" s="95">
        <f>[1]IFE!B274</f>
        <v>0</v>
      </c>
      <c r="B59" s="82">
        <f>[1]IFE!C274</f>
        <v>0</v>
      </c>
      <c r="C59" s="385" t="str">
        <f>[1]IFE!$A$261</f>
        <v>Shakers</v>
      </c>
      <c r="D59" s="82">
        <f>[1]IFE!$B$261</f>
        <v>0</v>
      </c>
      <c r="E59" s="80" t="s">
        <v>124</v>
      </c>
      <c r="F59" s="113"/>
      <c r="G59" s="82" t="str">
        <f>[1]IFE!C206</f>
        <v>0,/ 0,</v>
      </c>
      <c r="H59" s="142" t="s">
        <v>9</v>
      </c>
      <c r="I59" s="144"/>
      <c r="J59" s="82">
        <f>[1]IFE!B247</f>
        <v>0</v>
      </c>
    </row>
    <row r="60" spans="1:10" ht="9.6" customHeight="1" x14ac:dyDescent="0.25">
      <c r="A60" s="95">
        <f>[1]IFE!B275</f>
        <v>0</v>
      </c>
      <c r="B60" s="82">
        <f>[1]IFE!C275</f>
        <v>0</v>
      </c>
      <c r="C60" s="385" t="str">
        <f>[1]IFE!$A$262</f>
        <v>Evaporation</v>
      </c>
      <c r="D60" s="82">
        <f>[1]IFE!$B$262</f>
        <v>0</v>
      </c>
      <c r="E60" s="80" t="s">
        <v>125</v>
      </c>
      <c r="F60" s="113"/>
      <c r="G60" s="82" t="str">
        <f>[1]IFE!C207</f>
        <v>1,9/ 28,9</v>
      </c>
      <c r="H60" s="142" t="s">
        <v>83</v>
      </c>
      <c r="I60" s="144"/>
      <c r="J60" s="82">
        <f>[1]IFE!B248</f>
        <v>0</v>
      </c>
    </row>
    <row r="61" spans="1:10" ht="9.6" customHeight="1" x14ac:dyDescent="0.25">
      <c r="A61" s="95">
        <f>[1]IFE!B276</f>
        <v>0</v>
      </c>
      <c r="B61" s="82">
        <f>[1]IFE!C276</f>
        <v>0</v>
      </c>
      <c r="C61" s="385" t="str">
        <f>[1]IFE!$A$263</f>
        <v>Centrifuge</v>
      </c>
      <c r="D61" s="82">
        <f>[1]IFE!$B$263</f>
        <v>0</v>
      </c>
      <c r="E61" s="80" t="s">
        <v>126</v>
      </c>
      <c r="F61" s="113"/>
      <c r="G61" s="82" t="str">
        <f>[1]IFE!C208</f>
        <v xml:space="preserve"> -  /  0,6</v>
      </c>
      <c r="H61" s="142" t="s">
        <v>85</v>
      </c>
      <c r="I61" s="144"/>
      <c r="J61" s="82">
        <f>[1]IFE!B249</f>
        <v>0</v>
      </c>
    </row>
    <row r="62" spans="1:10" ht="9.6" customHeight="1" x14ac:dyDescent="0.25">
      <c r="A62" s="95">
        <f>[1]IFE!B277</f>
        <v>0</v>
      </c>
      <c r="B62" s="82">
        <f>[1]IFE!C277</f>
        <v>0</v>
      </c>
      <c r="C62" s="385" t="str">
        <f>[1]IFE!$A$264</f>
        <v>Formation</v>
      </c>
      <c r="D62" s="82">
        <f>[1]IFE!$B$264</f>
        <v>0</v>
      </c>
      <c r="E62" s="80" t="s">
        <v>127</v>
      </c>
      <c r="F62" s="113"/>
      <c r="G62" s="82" t="str">
        <f>[1]IFE!C209</f>
        <v>-0,0019</v>
      </c>
      <c r="H62" s="142" t="s">
        <v>87</v>
      </c>
      <c r="I62" s="144"/>
      <c r="J62" s="82">
        <f>[1]IFE!B250</f>
        <v>0</v>
      </c>
    </row>
    <row r="63" spans="1:10" ht="9.6" customHeight="1" x14ac:dyDescent="0.25">
      <c r="A63" s="95">
        <f>[1]IFE!B278</f>
        <v>0</v>
      </c>
      <c r="B63" s="82">
        <f>[1]IFE!C278</f>
        <v>0</v>
      </c>
      <c r="C63" s="385" t="str">
        <f>[1]IFE!$A$265</f>
        <v>Left in Hole</v>
      </c>
      <c r="D63" s="82">
        <f>[1]IFE!$B$265</f>
        <v>0</v>
      </c>
      <c r="E63" s="80" t="s">
        <v>128</v>
      </c>
      <c r="F63" s="113"/>
      <c r="G63" s="82" t="str">
        <f>[1]IFE!C210</f>
        <v>3,2</v>
      </c>
      <c r="H63" s="142" t="s">
        <v>89</v>
      </c>
      <c r="I63" s="144"/>
      <c r="J63" s="82">
        <f>[1]IFE!B251</f>
        <v>0</v>
      </c>
    </row>
    <row r="64" spans="1:10" ht="9.6" customHeight="1" x14ac:dyDescent="0.25">
      <c r="A64" s="223">
        <f>[1]IFE!B279</f>
        <v>0</v>
      </c>
      <c r="B64" s="224">
        <f>[1]IFE!C279</f>
        <v>0</v>
      </c>
      <c r="C64" s="386" t="str">
        <f>[1]IFE!$A$266</f>
        <v>Other</v>
      </c>
      <c r="D64" s="224">
        <f>[1]IFE!$B$266</f>
        <v>0</v>
      </c>
      <c r="E64" s="225">
        <f>[1]IFE!AD13</f>
        <v>0</v>
      </c>
      <c r="F64" s="226"/>
      <c r="G64" s="224">
        <f>[1]IFE!C211</f>
        <v>0</v>
      </c>
      <c r="H64" s="92" t="s">
        <v>10</v>
      </c>
      <c r="I64" s="227"/>
      <c r="J64" s="224">
        <f>[1]IFE!B252</f>
        <v>0</v>
      </c>
    </row>
    <row r="65" spans="1:10" ht="9.6" customHeight="1" x14ac:dyDescent="0.25">
      <c r="A65" s="95"/>
      <c r="B65" s="82"/>
      <c r="C65" s="385" t="str">
        <f>[1]IFE!$A$267</f>
        <v>Discharged</v>
      </c>
      <c r="D65" s="235">
        <f>[1]IFE!$B$267</f>
        <v>0</v>
      </c>
      <c r="E65" s="234"/>
      <c r="F65" s="113"/>
      <c r="G65" s="82"/>
      <c r="H65" s="228" t="s">
        <v>254</v>
      </c>
      <c r="I65" s="144"/>
      <c r="J65" s="224">
        <f>[1]IFE!B253</f>
        <v>0</v>
      </c>
    </row>
    <row r="66" spans="1:10" ht="9.6" customHeight="1" thickBot="1" x14ac:dyDescent="0.3">
      <c r="A66" s="223"/>
      <c r="B66" s="224"/>
      <c r="C66" s="386" t="str">
        <f>[1]IFE!$C$261</f>
        <v>Pit Cleaning</v>
      </c>
      <c r="D66" s="233">
        <f>[1]IFE!$D$261</f>
        <v>0</v>
      </c>
      <c r="E66" s="231"/>
      <c r="F66" s="226"/>
      <c r="G66" s="224"/>
      <c r="H66" s="232"/>
      <c r="I66" s="227"/>
      <c r="J66" s="233"/>
    </row>
    <row r="67" spans="1:10" ht="9.6" customHeight="1" x14ac:dyDescent="0.25">
      <c r="A67" s="95"/>
      <c r="B67" s="82"/>
      <c r="C67" s="385">
        <f>[1]IFE!$C$262</f>
        <v>0</v>
      </c>
      <c r="D67" s="82">
        <f>[1]IFE!$D$262</f>
        <v>0</v>
      </c>
      <c r="E67" s="80"/>
      <c r="F67" s="665"/>
      <c r="G67" s="666" t="s">
        <v>6</v>
      </c>
      <c r="H67" s="667"/>
      <c r="I67" s="666" t="s">
        <v>92</v>
      </c>
      <c r="J67" s="668"/>
    </row>
    <row r="68" spans="1:10" ht="9.6" customHeight="1" thickBot="1" x14ac:dyDescent="0.3">
      <c r="A68" s="138"/>
      <c r="B68" s="137"/>
      <c r="C68" s="386">
        <f>[1]IFE!$C$263</f>
        <v>0</v>
      </c>
      <c r="D68" s="224">
        <f>[1]IFE!$D$263</f>
        <v>0</v>
      </c>
      <c r="E68" s="145"/>
      <c r="F68" s="669" t="s">
        <v>250</v>
      </c>
      <c r="G68" s="680">
        <f xml:space="preserve"> [1]IFE!$B$134</f>
        <v>5749.32</v>
      </c>
      <c r="H68" s="680"/>
      <c r="I68" s="680">
        <f>[1]IFE!$B$135</f>
        <v>89939.53</v>
      </c>
      <c r="J68" s="681"/>
    </row>
    <row r="69" spans="1:10" ht="12" customHeight="1" x14ac:dyDescent="0.25">
      <c r="A69" s="676" t="s">
        <v>90</v>
      </c>
      <c r="B69" s="677"/>
      <c r="C69" s="664" t="s">
        <v>129</v>
      </c>
      <c r="D69" s="678" t="s">
        <v>91</v>
      </c>
      <c r="E69" s="679"/>
      <c r="F69" s="669" t="s">
        <v>252</v>
      </c>
      <c r="G69" s="680">
        <f>[1]IFE!$D$138+[1]IFE!$D$142</f>
        <v>0</v>
      </c>
      <c r="H69" s="680"/>
      <c r="I69" s="680">
        <f>[1]IFE!$D$139+[1]IFE!$D$143</f>
        <v>0</v>
      </c>
      <c r="J69" s="681"/>
    </row>
    <row r="70" spans="1:10" ht="9.6" customHeight="1" x14ac:dyDescent="0.25">
      <c r="A70" s="687" t="str">
        <f>[1]IFE!$B$127</f>
        <v>Jesus Villarroel</v>
      </c>
      <c r="B70" s="688"/>
      <c r="C70" s="695">
        <f>[1]IFE!$D$131</f>
        <v>0</v>
      </c>
      <c r="D70" s="691">
        <f>[1]IFE!$B$133</f>
        <v>0</v>
      </c>
      <c r="E70" s="692"/>
      <c r="F70" s="669" t="s">
        <v>251</v>
      </c>
      <c r="G70" s="680">
        <f>[1]IFE!$D$136</f>
        <v>0</v>
      </c>
      <c r="H70" s="680"/>
      <c r="I70" s="680">
        <f>[1]IFE!$D$137</f>
        <v>0</v>
      </c>
      <c r="J70" s="681"/>
    </row>
    <row r="71" spans="1:10" ht="9.6" customHeight="1" thickBot="1" x14ac:dyDescent="0.3">
      <c r="A71" s="689">
        <f>[1]IFE!$B$129</f>
        <v>0</v>
      </c>
      <c r="B71" s="690"/>
      <c r="C71" s="696"/>
      <c r="D71" s="693"/>
      <c r="E71" s="694"/>
      <c r="F71" s="670" t="s">
        <v>102</v>
      </c>
      <c r="G71" s="685">
        <f>SUM(G68:H70)</f>
        <v>5749.32</v>
      </c>
      <c r="H71" s="697"/>
      <c r="I71" s="685">
        <f>SUM(I68:J70)</f>
        <v>89939.53</v>
      </c>
      <c r="J71" s="686"/>
    </row>
    <row r="72" spans="1:10" ht="11.1" customHeight="1" x14ac:dyDescent="0.25">
      <c r="A72" s="150"/>
      <c r="B72" s="150"/>
      <c r="C72" s="150"/>
      <c r="D72" s="150"/>
      <c r="E72" s="150"/>
      <c r="F72" s="150"/>
      <c r="G72" s="150"/>
      <c r="H72" s="150"/>
      <c r="I72" s="150"/>
      <c r="J72" s="150"/>
    </row>
    <row r="73" spans="1:10" ht="11.1" customHeight="1" x14ac:dyDescent="0.25">
      <c r="A73" s="150"/>
      <c r="B73" s="150"/>
      <c r="C73" s="150"/>
      <c r="D73" s="150"/>
      <c r="E73" s="150"/>
      <c r="F73" s="150"/>
      <c r="G73" s="150"/>
      <c r="H73" s="150"/>
      <c r="I73" s="150"/>
      <c r="J73" s="150"/>
    </row>
    <row r="74" spans="1:10" x14ac:dyDescent="0.25">
      <c r="A74" s="150"/>
      <c r="B74" s="150"/>
      <c r="C74" s="150"/>
      <c r="D74" s="150"/>
      <c r="E74" s="150"/>
      <c r="F74" s="150"/>
      <c r="G74" s="150"/>
      <c r="H74" s="150"/>
      <c r="I74" s="150"/>
      <c r="J74" s="150"/>
    </row>
    <row r="75" spans="1:10" x14ac:dyDescent="0.25">
      <c r="A75" s="150"/>
      <c r="B75" s="150"/>
      <c r="C75" s="150"/>
      <c r="D75" s="150"/>
      <c r="E75" s="150"/>
      <c r="F75" s="150"/>
      <c r="G75" s="150"/>
      <c r="H75" s="150"/>
      <c r="I75" s="150"/>
      <c r="J75" s="150"/>
    </row>
    <row r="76" spans="1:10" x14ac:dyDescent="0.25">
      <c r="A76" s="150"/>
      <c r="B76" s="150"/>
      <c r="C76" s="150"/>
      <c r="D76" s="150"/>
      <c r="E76" s="150"/>
      <c r="F76" s="150"/>
      <c r="G76" s="150"/>
      <c r="H76" s="150"/>
      <c r="I76" s="150"/>
      <c r="J76" s="150"/>
    </row>
    <row r="77" spans="1:10" x14ac:dyDescent="0.25">
      <c r="A77" s="150"/>
      <c r="B77" s="150"/>
      <c r="C77" s="150"/>
      <c r="D77" s="150"/>
      <c r="E77" s="150"/>
      <c r="F77" s="150"/>
      <c r="G77" s="150"/>
      <c r="H77" s="150"/>
      <c r="I77" s="150"/>
      <c r="J77" s="150"/>
    </row>
    <row r="78" spans="1:10" x14ac:dyDescent="0.25">
      <c r="A78" s="150"/>
      <c r="B78" s="150"/>
      <c r="C78" s="150"/>
      <c r="D78" s="150"/>
      <c r="E78" s="150"/>
      <c r="F78" s="150"/>
      <c r="G78" s="150"/>
      <c r="H78" s="150"/>
      <c r="I78" s="150"/>
      <c r="J78" s="150"/>
    </row>
    <row r="79" spans="1:10" x14ac:dyDescent="0.25">
      <c r="A79" s="150"/>
      <c r="B79" s="150"/>
      <c r="C79" s="150"/>
      <c r="D79" s="150"/>
      <c r="E79" s="150"/>
      <c r="F79" s="150"/>
      <c r="G79" s="150"/>
      <c r="H79" s="150"/>
      <c r="I79" s="150"/>
      <c r="J79" s="150"/>
    </row>
    <row r="80" spans="1:10" x14ac:dyDescent="0.25">
      <c r="A80" s="150"/>
      <c r="B80" s="150"/>
      <c r="C80" s="150"/>
      <c r="D80" s="150"/>
      <c r="E80" s="150"/>
      <c r="F80" s="150"/>
      <c r="G80" s="150"/>
      <c r="H80" s="150"/>
      <c r="I80" s="150"/>
      <c r="J80" s="150"/>
    </row>
    <row r="81" spans="1:10" x14ac:dyDescent="0.25">
      <c r="A81" s="150"/>
      <c r="B81" s="150"/>
      <c r="C81" s="150"/>
      <c r="D81" s="150"/>
      <c r="E81" s="150"/>
      <c r="F81" s="150"/>
      <c r="G81" s="150"/>
      <c r="H81" s="150"/>
      <c r="I81" s="150"/>
      <c r="J81" s="150"/>
    </row>
    <row r="82" spans="1:10" x14ac:dyDescent="0.25">
      <c r="A82" s="150"/>
      <c r="B82" s="150"/>
      <c r="C82" s="150"/>
      <c r="D82" s="150"/>
      <c r="E82" s="150"/>
      <c r="F82" s="150"/>
      <c r="G82" s="150"/>
      <c r="H82" s="150"/>
      <c r="I82" s="150"/>
      <c r="J82" s="150"/>
    </row>
    <row r="83" spans="1:10" x14ac:dyDescent="0.25">
      <c r="A83" s="150"/>
      <c r="B83" s="150"/>
      <c r="C83" s="150"/>
      <c r="D83" s="150"/>
      <c r="E83" s="150"/>
      <c r="F83" s="150"/>
      <c r="G83" s="150"/>
      <c r="H83" s="150"/>
      <c r="I83" s="150"/>
      <c r="J83" s="150"/>
    </row>
    <row r="84" spans="1:10" x14ac:dyDescent="0.25">
      <c r="A84" s="150"/>
      <c r="B84" s="150"/>
      <c r="C84" s="150"/>
      <c r="D84" s="150"/>
      <c r="E84" s="150"/>
      <c r="F84" s="150"/>
      <c r="G84" s="150"/>
      <c r="H84" s="150"/>
      <c r="I84" s="150"/>
      <c r="J84" s="150"/>
    </row>
    <row r="85" spans="1:10" x14ac:dyDescent="0.25">
      <c r="A85" s="150"/>
      <c r="B85" s="150"/>
      <c r="C85" s="150"/>
      <c r="D85" s="150"/>
      <c r="E85" s="150"/>
      <c r="F85" s="150"/>
      <c r="G85" s="150"/>
      <c r="H85" s="150"/>
      <c r="I85" s="150"/>
      <c r="J85" s="150"/>
    </row>
    <row r="86" spans="1:10" x14ac:dyDescent="0.25">
      <c r="A86" s="150"/>
      <c r="B86" s="150"/>
      <c r="C86" s="150"/>
      <c r="D86" s="150"/>
      <c r="E86" s="150"/>
      <c r="F86" s="150"/>
      <c r="G86" s="150"/>
      <c r="H86" s="150"/>
      <c r="I86" s="150"/>
      <c r="J86" s="150"/>
    </row>
    <row r="87" spans="1:10" x14ac:dyDescent="0.25">
      <c r="A87" s="150"/>
      <c r="B87" s="150"/>
      <c r="C87" s="150"/>
      <c r="D87" s="150"/>
      <c r="E87" s="150"/>
      <c r="F87" s="150"/>
      <c r="G87" s="150"/>
      <c r="H87" s="150"/>
      <c r="I87" s="150"/>
      <c r="J87" s="150"/>
    </row>
    <row r="88" spans="1:10" x14ac:dyDescent="0.25">
      <c r="A88" s="150"/>
      <c r="B88" s="150"/>
      <c r="C88" s="150"/>
      <c r="D88" s="150"/>
      <c r="E88" s="150"/>
      <c r="F88" s="150"/>
      <c r="G88" s="150"/>
      <c r="H88" s="150"/>
      <c r="I88" s="150"/>
      <c r="J88" s="150"/>
    </row>
    <row r="89" spans="1:10" x14ac:dyDescent="0.25">
      <c r="A89" s="150"/>
      <c r="B89" s="150"/>
      <c r="C89" s="150"/>
      <c r="D89" s="150"/>
      <c r="E89" s="150"/>
      <c r="F89" s="150"/>
      <c r="G89" s="150"/>
      <c r="H89" s="150"/>
      <c r="I89" s="150"/>
      <c r="J89" s="150"/>
    </row>
    <row r="90" spans="1:10" x14ac:dyDescent="0.25">
      <c r="A90" s="150"/>
      <c r="B90" s="150"/>
      <c r="C90" s="150"/>
      <c r="D90" s="150"/>
      <c r="E90" s="150"/>
      <c r="F90" s="150"/>
      <c r="G90" s="150"/>
      <c r="H90" s="150"/>
      <c r="I90" s="150"/>
      <c r="J90" s="150"/>
    </row>
    <row r="91" spans="1:10" x14ac:dyDescent="0.25">
      <c r="A91" s="150"/>
      <c r="B91" s="150"/>
      <c r="C91" s="150"/>
      <c r="D91" s="150"/>
      <c r="E91" s="150"/>
      <c r="F91" s="150"/>
      <c r="G91" s="150"/>
      <c r="H91" s="150"/>
      <c r="I91" s="150"/>
      <c r="J91" s="150"/>
    </row>
    <row r="92" spans="1:10" x14ac:dyDescent="0.25">
      <c r="A92" s="150"/>
      <c r="B92" s="150"/>
      <c r="C92" s="150"/>
      <c r="D92" s="150"/>
      <c r="E92" s="150"/>
      <c r="F92" s="150"/>
      <c r="G92" s="150"/>
      <c r="H92" s="150"/>
      <c r="I92" s="150"/>
      <c r="J92" s="150"/>
    </row>
    <row r="93" spans="1:10" x14ac:dyDescent="0.25">
      <c r="A93" s="150"/>
      <c r="B93" s="150"/>
      <c r="C93" s="150"/>
      <c r="D93" s="150"/>
      <c r="E93" s="150"/>
      <c r="F93" s="150"/>
      <c r="G93" s="150"/>
      <c r="H93" s="150"/>
      <c r="I93" s="150"/>
      <c r="J93" s="150"/>
    </row>
    <row r="94" spans="1:10" x14ac:dyDescent="0.25">
      <c r="A94" s="150"/>
      <c r="B94" s="150"/>
      <c r="C94" s="150"/>
      <c r="D94" s="150"/>
      <c r="E94" s="150"/>
      <c r="F94" s="150"/>
      <c r="G94" s="150"/>
      <c r="H94" s="150"/>
      <c r="I94" s="150"/>
      <c r="J94" s="150"/>
    </row>
    <row r="95" spans="1:10" x14ac:dyDescent="0.25">
      <c r="A95" s="150"/>
      <c r="B95" s="150"/>
      <c r="C95" s="150"/>
      <c r="D95" s="150"/>
      <c r="E95" s="150"/>
      <c r="F95" s="150"/>
      <c r="G95" s="150"/>
      <c r="H95" s="150"/>
      <c r="I95" s="150"/>
      <c r="J95" s="150"/>
    </row>
    <row r="96" spans="1:10" x14ac:dyDescent="0.25">
      <c r="A96" s="150"/>
      <c r="B96" s="150"/>
      <c r="C96" s="150"/>
      <c r="D96" s="150"/>
      <c r="E96" s="150"/>
      <c r="F96" s="150"/>
      <c r="G96" s="150"/>
      <c r="H96" s="150"/>
      <c r="I96" s="150"/>
      <c r="J96" s="150"/>
    </row>
    <row r="97" spans="1:10" x14ac:dyDescent="0.25">
      <c r="A97" s="150"/>
      <c r="B97" s="150"/>
      <c r="C97" s="150"/>
      <c r="D97" s="150"/>
      <c r="E97" s="150"/>
      <c r="F97" s="150"/>
      <c r="G97" s="150"/>
      <c r="H97" s="150"/>
      <c r="I97" s="150"/>
      <c r="J97" s="150"/>
    </row>
    <row r="98" spans="1:10" x14ac:dyDescent="0.25">
      <c r="A98" s="3"/>
      <c r="B98" s="150"/>
      <c r="C98" s="150"/>
      <c r="D98" s="150"/>
      <c r="E98" s="150"/>
      <c r="F98" s="150"/>
      <c r="G98" s="150"/>
      <c r="H98" s="150"/>
      <c r="I98" s="150"/>
      <c r="J98" s="150"/>
    </row>
    <row r="99" spans="1:10" x14ac:dyDescent="0.25">
      <c r="A99" s="3"/>
      <c r="B99" s="150"/>
      <c r="C99" s="150"/>
      <c r="D99" s="150"/>
      <c r="E99" s="150"/>
      <c r="F99" s="150"/>
      <c r="G99" s="150"/>
      <c r="H99" s="150"/>
      <c r="I99" s="150"/>
      <c r="J99" s="150"/>
    </row>
    <row r="100" spans="1:10" x14ac:dyDescent="0.25">
      <c r="A100" s="3"/>
      <c r="B100" s="150"/>
      <c r="C100" s="150"/>
      <c r="D100" s="150"/>
      <c r="E100" s="150"/>
      <c r="F100" s="150"/>
      <c r="G100" s="150"/>
      <c r="H100" s="150"/>
      <c r="I100" s="150"/>
      <c r="J100" s="150"/>
    </row>
    <row r="101" spans="1:10" x14ac:dyDescent="0.25">
      <c r="A101" s="3"/>
      <c r="B101" s="150"/>
      <c r="C101" s="150"/>
      <c r="D101" s="150"/>
      <c r="E101" s="150"/>
      <c r="F101" s="150"/>
      <c r="G101" s="150"/>
      <c r="H101" s="150"/>
      <c r="I101" s="150"/>
      <c r="J101" s="150"/>
    </row>
    <row r="102" spans="1:10" x14ac:dyDescent="0.25">
      <c r="A102" s="3"/>
      <c r="B102" s="150"/>
      <c r="C102" s="150"/>
      <c r="D102" s="150"/>
      <c r="E102" s="150"/>
      <c r="F102" s="150"/>
      <c r="G102" s="150"/>
      <c r="H102" s="150"/>
      <c r="I102" s="150"/>
      <c r="J102" s="150"/>
    </row>
    <row r="103" spans="1:10" x14ac:dyDescent="0.25">
      <c r="A103" s="3"/>
      <c r="B103" s="3"/>
      <c r="C103" s="3"/>
      <c r="D103" s="3"/>
      <c r="E103" s="3"/>
      <c r="F103" s="3"/>
      <c r="G103" s="3"/>
      <c r="H103" s="3"/>
      <c r="I103" s="3"/>
    </row>
    <row r="104" spans="1:10" x14ac:dyDescent="0.25">
      <c r="A104" s="3"/>
      <c r="B104" s="3"/>
      <c r="C104" s="3"/>
      <c r="D104" s="3"/>
      <c r="E104" s="3"/>
      <c r="F104" s="3"/>
      <c r="G104" s="3"/>
      <c r="H104" s="3"/>
      <c r="I104" s="3"/>
    </row>
    <row r="105" spans="1:10" x14ac:dyDescent="0.25">
      <c r="A105" s="3"/>
      <c r="B105" s="3"/>
      <c r="C105" s="3"/>
      <c r="D105" s="3"/>
      <c r="E105" s="3"/>
      <c r="F105" s="3"/>
      <c r="G105" s="3"/>
      <c r="H105" s="3"/>
      <c r="I105" s="3"/>
    </row>
    <row r="106" spans="1:10" x14ac:dyDescent="0.25">
      <c r="A106" s="3"/>
      <c r="B106" s="3"/>
      <c r="C106" s="3"/>
      <c r="D106" s="3"/>
      <c r="E106" s="3"/>
      <c r="F106" s="3"/>
      <c r="G106" s="3"/>
      <c r="H106" s="3"/>
      <c r="I106" s="3"/>
    </row>
    <row r="107" spans="1:10" x14ac:dyDescent="0.25">
      <c r="A107" s="3"/>
      <c r="B107" s="3"/>
      <c r="C107" s="3"/>
      <c r="D107" s="3"/>
      <c r="E107" s="3"/>
      <c r="F107" s="3"/>
      <c r="G107" s="3"/>
      <c r="H107" s="3"/>
      <c r="I107" s="3"/>
    </row>
    <row r="108" spans="1:10" x14ac:dyDescent="0.25">
      <c r="A108" s="3"/>
      <c r="B108" s="3"/>
      <c r="C108" s="3"/>
      <c r="D108" s="3"/>
      <c r="E108" s="3"/>
      <c r="F108" s="3"/>
      <c r="G108" s="3"/>
      <c r="H108" s="3"/>
      <c r="I108" s="3"/>
    </row>
    <row r="109" spans="1:10" x14ac:dyDescent="0.25">
      <c r="A109" s="3"/>
      <c r="B109" s="3"/>
      <c r="C109" s="3"/>
      <c r="D109" s="3"/>
      <c r="E109" s="3"/>
      <c r="F109" s="3"/>
      <c r="G109" s="3"/>
      <c r="H109" s="3"/>
      <c r="I109" s="3"/>
    </row>
    <row r="110" spans="1:10" x14ac:dyDescent="0.25">
      <c r="A110" s="3"/>
      <c r="B110" s="3"/>
      <c r="C110" s="3"/>
      <c r="D110" s="3"/>
      <c r="E110" s="3"/>
      <c r="F110" s="3"/>
      <c r="G110" s="3"/>
      <c r="H110" s="3"/>
      <c r="I110" s="3"/>
    </row>
    <row r="111" spans="1:10" x14ac:dyDescent="0.25">
      <c r="A111" s="3"/>
      <c r="B111" s="3"/>
      <c r="C111" s="3"/>
      <c r="D111" s="3"/>
      <c r="E111" s="3"/>
      <c r="F111" s="3"/>
      <c r="G111" s="3"/>
      <c r="H111" s="3"/>
      <c r="I111" s="3"/>
    </row>
    <row r="112" spans="1:10" x14ac:dyDescent="0.25">
      <c r="A112" s="3"/>
      <c r="B112" s="3"/>
      <c r="C112" s="3"/>
      <c r="D112" s="3"/>
      <c r="E112" s="3"/>
      <c r="F112" s="3"/>
      <c r="G112" s="3"/>
      <c r="H112" s="3"/>
      <c r="I112" s="3"/>
    </row>
    <row r="113" spans="1:9" x14ac:dyDescent="0.25">
      <c r="A113" s="3"/>
      <c r="B113" s="3"/>
      <c r="C113" s="3"/>
      <c r="D113" s="3"/>
      <c r="E113" s="3"/>
      <c r="F113" s="3"/>
      <c r="G113" s="3"/>
      <c r="H113" s="3"/>
      <c r="I113" s="3"/>
    </row>
    <row r="114" spans="1:9" x14ac:dyDescent="0.25">
      <c r="A114" s="3"/>
      <c r="B114" s="3"/>
      <c r="C114" s="3"/>
      <c r="D114" s="3"/>
      <c r="E114" s="3"/>
      <c r="F114" s="3"/>
      <c r="G114" s="3"/>
      <c r="H114" s="3"/>
      <c r="I114" s="3"/>
    </row>
    <row r="115" spans="1:9" x14ac:dyDescent="0.25">
      <c r="A115" s="3"/>
      <c r="B115" s="3"/>
      <c r="C115" s="3"/>
      <c r="D115" s="3"/>
      <c r="E115" s="3"/>
      <c r="F115" s="3"/>
      <c r="G115" s="3"/>
      <c r="H115" s="3"/>
      <c r="I115" s="3"/>
    </row>
    <row r="116" spans="1:9" x14ac:dyDescent="0.25">
      <c r="A116" s="3"/>
      <c r="B116" s="3"/>
      <c r="C116" s="3"/>
      <c r="D116" s="3"/>
      <c r="E116" s="3"/>
      <c r="F116" s="3"/>
      <c r="G116" s="3"/>
      <c r="H116" s="3"/>
      <c r="I116" s="3"/>
    </row>
    <row r="117" spans="1:9" x14ac:dyDescent="0.25">
      <c r="A117" s="3"/>
      <c r="B117" s="3"/>
      <c r="C117" s="3"/>
      <c r="D117" s="3"/>
      <c r="E117" s="3"/>
      <c r="F117" s="3"/>
      <c r="G117" s="3"/>
      <c r="H117" s="3"/>
      <c r="I117" s="3"/>
    </row>
    <row r="118" spans="1:9" x14ac:dyDescent="0.25">
      <c r="A118" s="3"/>
      <c r="B118" s="3"/>
      <c r="C118" s="3"/>
      <c r="D118" s="3"/>
      <c r="E118" s="3"/>
      <c r="F118" s="3"/>
      <c r="G118" s="3"/>
      <c r="H118" s="3"/>
      <c r="I118" s="3"/>
    </row>
    <row r="119" spans="1:9" x14ac:dyDescent="0.25">
      <c r="A119" s="3"/>
      <c r="B119" s="3"/>
      <c r="C119" s="3"/>
      <c r="D119" s="3"/>
      <c r="E119" s="3"/>
      <c r="F119" s="3"/>
      <c r="G119" s="3"/>
      <c r="H119" s="3"/>
      <c r="I119" s="3"/>
    </row>
    <row r="120" spans="1:9" x14ac:dyDescent="0.25">
      <c r="A120" s="3"/>
      <c r="B120" s="3"/>
      <c r="C120" s="3"/>
      <c r="D120" s="3"/>
      <c r="E120" s="3"/>
      <c r="F120" s="3"/>
      <c r="G120" s="3"/>
      <c r="H120" s="3"/>
      <c r="I120" s="3"/>
    </row>
    <row r="121" spans="1:9" x14ac:dyDescent="0.25">
      <c r="A121" s="3"/>
      <c r="B121" s="3"/>
      <c r="C121" s="3"/>
      <c r="D121" s="3"/>
      <c r="E121" s="3"/>
      <c r="F121" s="3"/>
      <c r="G121" s="3"/>
      <c r="H121" s="3"/>
      <c r="I121" s="3"/>
    </row>
    <row r="122" spans="1:9" x14ac:dyDescent="0.25">
      <c r="A122" s="3"/>
      <c r="B122" s="3"/>
      <c r="C122" s="3"/>
      <c r="D122" s="3"/>
      <c r="E122" s="3"/>
      <c r="F122" s="3"/>
      <c r="G122" s="3"/>
      <c r="H122" s="3"/>
      <c r="I122" s="3"/>
    </row>
    <row r="123" spans="1:9" x14ac:dyDescent="0.25">
      <c r="A123" s="3"/>
      <c r="B123" s="3"/>
      <c r="C123" s="3"/>
      <c r="D123" s="3"/>
      <c r="E123" s="3"/>
      <c r="F123" s="3"/>
      <c r="G123" s="3"/>
      <c r="H123" s="3"/>
      <c r="I123" s="3"/>
    </row>
    <row r="124" spans="1:9" x14ac:dyDescent="0.25">
      <c r="A124" s="3"/>
      <c r="B124" s="3"/>
      <c r="C124" s="3"/>
      <c r="D124" s="3"/>
      <c r="E124" s="3"/>
      <c r="F124" s="3"/>
      <c r="G124" s="3"/>
      <c r="H124" s="3"/>
      <c r="I124" s="3"/>
    </row>
    <row r="125" spans="1:9" x14ac:dyDescent="0.25">
      <c r="A125" s="3"/>
      <c r="B125" s="3"/>
      <c r="C125" s="3"/>
      <c r="D125" s="3"/>
      <c r="E125" s="3"/>
      <c r="F125" s="3"/>
      <c r="G125" s="3"/>
      <c r="H125" s="3"/>
      <c r="I125" s="3"/>
    </row>
    <row r="126" spans="1:9" x14ac:dyDescent="0.25">
      <c r="A126" s="3"/>
      <c r="B126" s="3"/>
      <c r="C126" s="3"/>
      <c r="D126" s="3"/>
      <c r="E126" s="3"/>
      <c r="F126" s="3"/>
      <c r="G126" s="3"/>
      <c r="H126" s="3"/>
      <c r="I126" s="3"/>
    </row>
    <row r="127" spans="1:9" x14ac:dyDescent="0.25">
      <c r="A127" s="3"/>
      <c r="B127" s="3"/>
      <c r="C127" s="3"/>
      <c r="D127" s="3"/>
      <c r="E127" s="3"/>
      <c r="F127" s="3"/>
      <c r="G127" s="3"/>
      <c r="H127" s="3"/>
      <c r="I127" s="3"/>
    </row>
    <row r="128" spans="1:9" x14ac:dyDescent="0.25">
      <c r="A128" s="3"/>
      <c r="B128" s="3"/>
      <c r="C128" s="3"/>
      <c r="D128" s="3"/>
      <c r="E128" s="3"/>
      <c r="F128" s="3"/>
      <c r="G128" s="3"/>
      <c r="H128" s="3"/>
      <c r="I128" s="3"/>
    </row>
    <row r="129" spans="1:9" x14ac:dyDescent="0.25">
      <c r="A129" s="3"/>
      <c r="B129" s="3"/>
      <c r="C129" s="3"/>
      <c r="D129" s="3"/>
      <c r="E129" s="3"/>
      <c r="F129" s="3"/>
      <c r="G129" s="3"/>
      <c r="H129" s="3"/>
      <c r="I129" s="3"/>
    </row>
    <row r="130" spans="1:9" x14ac:dyDescent="0.25">
      <c r="A130" s="3"/>
      <c r="B130" s="3"/>
      <c r="C130" s="3"/>
      <c r="D130" s="3"/>
      <c r="E130" s="3"/>
      <c r="F130" s="3"/>
      <c r="G130" s="3"/>
      <c r="H130" s="3"/>
      <c r="I130" s="3"/>
    </row>
    <row r="131" spans="1:9" x14ac:dyDescent="0.25">
      <c r="A131" s="3"/>
      <c r="B131" s="3"/>
      <c r="C131" s="3"/>
      <c r="D131" s="3"/>
      <c r="E131" s="3"/>
      <c r="F131" s="3"/>
      <c r="G131" s="3"/>
      <c r="H131" s="3"/>
      <c r="I131" s="3"/>
    </row>
    <row r="132" spans="1:9" x14ac:dyDescent="0.25">
      <c r="A132" s="3"/>
      <c r="B132" s="3"/>
      <c r="C132" s="3"/>
      <c r="D132" s="3"/>
      <c r="E132" s="3"/>
      <c r="F132" s="3"/>
      <c r="G132" s="3"/>
      <c r="H132" s="3"/>
      <c r="I132" s="3"/>
    </row>
    <row r="133" spans="1:9" x14ac:dyDescent="0.25">
      <c r="A133" s="3"/>
      <c r="B133" s="3"/>
      <c r="C133" s="3"/>
      <c r="D133" s="3"/>
      <c r="E133" s="3"/>
      <c r="F133" s="3"/>
      <c r="G133" s="3"/>
      <c r="H133" s="3"/>
      <c r="I133" s="3"/>
    </row>
    <row r="134" spans="1:9" x14ac:dyDescent="0.25">
      <c r="A134" s="3"/>
      <c r="B134" s="3"/>
      <c r="C134" s="3"/>
      <c r="D134" s="3"/>
      <c r="E134" s="3"/>
      <c r="F134" s="3"/>
      <c r="G134" s="3"/>
      <c r="H134" s="3"/>
      <c r="I134" s="3"/>
    </row>
    <row r="135" spans="1:9" x14ac:dyDescent="0.25">
      <c r="A135" s="3"/>
      <c r="B135" s="3"/>
      <c r="C135" s="3"/>
      <c r="D135" s="3"/>
      <c r="E135" s="3"/>
      <c r="F135" s="3"/>
      <c r="G135" s="3"/>
      <c r="H135" s="3"/>
      <c r="I135" s="3"/>
    </row>
    <row r="136" spans="1:9" x14ac:dyDescent="0.25">
      <c r="A136" s="3"/>
      <c r="B136" s="3"/>
      <c r="C136" s="3"/>
      <c r="D136" s="3"/>
      <c r="E136" s="3"/>
      <c r="F136" s="3"/>
      <c r="G136" s="3"/>
      <c r="H136" s="3"/>
      <c r="I136" s="3"/>
    </row>
    <row r="137" spans="1:9" x14ac:dyDescent="0.25">
      <c r="A137" s="3"/>
      <c r="B137" s="3"/>
      <c r="C137" s="3"/>
      <c r="D137" s="3"/>
      <c r="E137" s="3"/>
      <c r="F137" s="3"/>
      <c r="G137" s="3"/>
      <c r="H137" s="3"/>
      <c r="I137" s="3"/>
    </row>
    <row r="138" spans="1:9" x14ac:dyDescent="0.25">
      <c r="A138" s="3"/>
      <c r="B138" s="3"/>
      <c r="C138" s="3"/>
      <c r="D138" s="3"/>
      <c r="E138" s="3"/>
      <c r="F138" s="3"/>
      <c r="G138" s="3"/>
      <c r="H138" s="3"/>
      <c r="I138" s="3"/>
    </row>
    <row r="139" spans="1:9" x14ac:dyDescent="0.25">
      <c r="A139" s="3"/>
      <c r="B139" s="3"/>
      <c r="C139" s="3"/>
      <c r="D139" s="3"/>
      <c r="E139" s="3"/>
      <c r="F139" s="3"/>
      <c r="G139" s="3"/>
      <c r="H139" s="3"/>
      <c r="I139" s="3"/>
    </row>
    <row r="140" spans="1:9" x14ac:dyDescent="0.25">
      <c r="A140" s="3"/>
      <c r="B140" s="3"/>
      <c r="C140" s="3"/>
      <c r="D140" s="3"/>
      <c r="E140" s="3"/>
      <c r="F140" s="3"/>
      <c r="G140" s="3"/>
      <c r="H140" s="3"/>
      <c r="I140" s="3"/>
    </row>
    <row r="141" spans="1:9" x14ac:dyDescent="0.25">
      <c r="A141" s="3"/>
      <c r="B141" s="3"/>
      <c r="C141" s="3"/>
      <c r="D141" s="3"/>
      <c r="E141" s="3"/>
      <c r="F141" s="3"/>
      <c r="G141" s="3"/>
      <c r="H141" s="3"/>
      <c r="I141" s="3"/>
    </row>
    <row r="142" spans="1:9" x14ac:dyDescent="0.25">
      <c r="A142" s="3"/>
      <c r="B142" s="3"/>
      <c r="C142" s="3"/>
      <c r="D142" s="3"/>
      <c r="E142" s="3"/>
      <c r="F142" s="3"/>
      <c r="G142" s="3"/>
      <c r="H142" s="3"/>
      <c r="I142" s="3"/>
    </row>
    <row r="143" spans="1:9" x14ac:dyDescent="0.25">
      <c r="A143" s="3"/>
      <c r="B143" s="3"/>
      <c r="C143" s="3"/>
      <c r="D143" s="3"/>
      <c r="E143" s="3"/>
      <c r="F143" s="3"/>
      <c r="G143" s="3"/>
      <c r="H143" s="3"/>
      <c r="I143" s="3"/>
    </row>
    <row r="144" spans="1:9" x14ac:dyDescent="0.25">
      <c r="A144" s="3"/>
      <c r="B144" s="3"/>
      <c r="C144" s="3"/>
      <c r="D144" s="3"/>
      <c r="E144" s="3"/>
      <c r="F144" s="3"/>
      <c r="G144" s="3"/>
      <c r="H144" s="3"/>
      <c r="I144" s="3"/>
    </row>
    <row r="145" spans="1:9" x14ac:dyDescent="0.25">
      <c r="A145" s="3"/>
      <c r="B145" s="3"/>
      <c r="C145" s="3"/>
      <c r="D145" s="3"/>
      <c r="E145" s="3"/>
      <c r="F145" s="3"/>
      <c r="G145" s="3"/>
      <c r="H145" s="3"/>
      <c r="I145" s="3"/>
    </row>
    <row r="146" spans="1:9" x14ac:dyDescent="0.25">
      <c r="A146" s="3"/>
      <c r="B146" s="3"/>
      <c r="C146" s="3"/>
      <c r="D146" s="3"/>
      <c r="E146" s="3"/>
      <c r="F146" s="3"/>
      <c r="G146" s="3"/>
      <c r="H146" s="3"/>
      <c r="I146" s="3"/>
    </row>
    <row r="147" spans="1:9" x14ac:dyDescent="0.25">
      <c r="A147" s="3"/>
      <c r="B147" s="3"/>
      <c r="C147" s="3"/>
      <c r="D147" s="3"/>
      <c r="E147" s="3"/>
      <c r="F147" s="3"/>
      <c r="G147" s="3"/>
      <c r="H147" s="3"/>
      <c r="I147" s="3"/>
    </row>
    <row r="148" spans="1:9" x14ac:dyDescent="0.25">
      <c r="A148" s="3"/>
      <c r="B148" s="3"/>
      <c r="C148" s="3"/>
      <c r="D148" s="3"/>
      <c r="E148" s="3"/>
      <c r="F148" s="3"/>
      <c r="G148" s="3"/>
      <c r="H148" s="3"/>
      <c r="I148" s="3"/>
    </row>
    <row r="149" spans="1:9" x14ac:dyDescent="0.25">
      <c r="A149" s="3"/>
      <c r="B149" s="3"/>
      <c r="C149" s="3"/>
      <c r="D149" s="3"/>
      <c r="E149" s="3"/>
      <c r="F149" s="3"/>
      <c r="G149" s="3"/>
      <c r="H149" s="3"/>
      <c r="I149" s="3"/>
    </row>
    <row r="150" spans="1:9" x14ac:dyDescent="0.25">
      <c r="A150" s="3"/>
      <c r="B150" s="3"/>
      <c r="C150" s="3"/>
      <c r="D150" s="3"/>
      <c r="E150" s="3"/>
      <c r="F150" s="3"/>
      <c r="G150" s="3"/>
      <c r="H150" s="3"/>
      <c r="I150" s="3"/>
    </row>
    <row r="151" spans="1:9" x14ac:dyDescent="0.25">
      <c r="A151" s="3"/>
      <c r="B151" s="3"/>
      <c r="C151" s="3"/>
      <c r="D151" s="3"/>
      <c r="E151" s="3"/>
      <c r="F151" s="3"/>
      <c r="G151" s="3"/>
      <c r="H151" s="3"/>
      <c r="I151" s="3"/>
    </row>
    <row r="152" spans="1:9" x14ac:dyDescent="0.25">
      <c r="A152" s="3"/>
      <c r="B152" s="3"/>
      <c r="C152" s="3"/>
      <c r="D152" s="3"/>
      <c r="E152" s="3"/>
      <c r="F152" s="3"/>
      <c r="G152" s="3"/>
      <c r="H152" s="3"/>
      <c r="I152" s="3"/>
    </row>
    <row r="153" spans="1:9" x14ac:dyDescent="0.25">
      <c r="A153" s="3"/>
      <c r="B153" s="3"/>
      <c r="C153" s="3"/>
      <c r="D153" s="3"/>
      <c r="E153" s="3"/>
      <c r="F153" s="3"/>
      <c r="G153" s="3"/>
      <c r="H153" s="3"/>
      <c r="I153" s="3"/>
    </row>
    <row r="154" spans="1:9" x14ac:dyDescent="0.25">
      <c r="A154" s="3"/>
      <c r="B154" s="3"/>
      <c r="C154" s="3"/>
      <c r="D154" s="3"/>
      <c r="E154" s="3"/>
      <c r="F154" s="3"/>
      <c r="G154" s="3"/>
      <c r="H154" s="3"/>
      <c r="I154" s="3"/>
    </row>
    <row r="155" spans="1:9" x14ac:dyDescent="0.25">
      <c r="A155" s="3"/>
      <c r="B155" s="3"/>
      <c r="C155" s="3"/>
      <c r="D155" s="3"/>
      <c r="E155" s="3"/>
      <c r="F155" s="3"/>
      <c r="G155" s="3"/>
      <c r="H155" s="3"/>
      <c r="I155" s="3"/>
    </row>
    <row r="156" spans="1:9" x14ac:dyDescent="0.25">
      <c r="A156" s="3"/>
      <c r="B156" s="3"/>
      <c r="C156" s="3"/>
      <c r="D156" s="3"/>
      <c r="E156" s="3"/>
      <c r="F156" s="3"/>
      <c r="G156" s="3"/>
      <c r="H156" s="3"/>
      <c r="I156" s="3"/>
    </row>
    <row r="157" spans="1:9" x14ac:dyDescent="0.25">
      <c r="A157" s="3"/>
      <c r="B157" s="3"/>
      <c r="C157" s="3"/>
      <c r="D157" s="3"/>
      <c r="E157" s="3"/>
      <c r="F157" s="3"/>
      <c r="G157" s="3"/>
      <c r="H157" s="3"/>
      <c r="I157" s="3"/>
    </row>
    <row r="158" spans="1:9" x14ac:dyDescent="0.25">
      <c r="A158" s="3"/>
      <c r="B158" s="3"/>
      <c r="C158" s="3"/>
      <c r="D158" s="3"/>
      <c r="E158" s="3"/>
      <c r="F158" s="3"/>
      <c r="G158" s="3"/>
      <c r="H158" s="3"/>
      <c r="I158" s="3"/>
    </row>
    <row r="159" spans="1:9" x14ac:dyDescent="0.25">
      <c r="A159" s="3"/>
      <c r="B159" s="3"/>
      <c r="C159" s="3"/>
      <c r="D159" s="3"/>
      <c r="E159" s="3"/>
      <c r="F159" s="3"/>
      <c r="G159" s="3"/>
      <c r="H159" s="3"/>
      <c r="I159" s="3"/>
    </row>
    <row r="160" spans="1:9" x14ac:dyDescent="0.25">
      <c r="A160" s="3"/>
      <c r="B160" s="3"/>
      <c r="C160" s="3"/>
      <c r="D160" s="3"/>
      <c r="E160" s="3"/>
      <c r="F160" s="3"/>
      <c r="G160" s="3"/>
      <c r="H160" s="3"/>
      <c r="I160" s="3"/>
    </row>
    <row r="161" spans="1:9" x14ac:dyDescent="0.25">
      <c r="A161" s="3"/>
      <c r="B161" s="3"/>
      <c r="C161" s="3"/>
      <c r="D161" s="3"/>
      <c r="E161" s="3"/>
      <c r="F161" s="3"/>
      <c r="G161" s="3"/>
      <c r="H161" s="3"/>
      <c r="I161" s="3"/>
    </row>
    <row r="162" spans="1:9" x14ac:dyDescent="0.25">
      <c r="A162" s="3"/>
      <c r="B162" s="3"/>
      <c r="C162" s="3"/>
      <c r="D162" s="3"/>
      <c r="E162" s="3"/>
      <c r="F162" s="3"/>
      <c r="G162" s="3"/>
      <c r="H162" s="3"/>
      <c r="I162" s="3"/>
    </row>
    <row r="163" spans="1:9" x14ac:dyDescent="0.25">
      <c r="A163" s="3"/>
      <c r="B163" s="3"/>
      <c r="C163" s="3"/>
      <c r="D163" s="3"/>
      <c r="E163" s="3"/>
      <c r="F163" s="3"/>
      <c r="G163" s="3"/>
      <c r="H163" s="3"/>
      <c r="I163" s="3"/>
    </row>
    <row r="164" spans="1:9" x14ac:dyDescent="0.25">
      <c r="A164" s="3"/>
      <c r="B164" s="3"/>
      <c r="C164" s="3"/>
      <c r="D164" s="3"/>
      <c r="E164" s="3"/>
      <c r="F164" s="3"/>
      <c r="G164" s="3"/>
      <c r="H164" s="3"/>
      <c r="I164" s="3"/>
    </row>
    <row r="165" spans="1:9" x14ac:dyDescent="0.25">
      <c r="A165" s="3"/>
      <c r="B165" s="3"/>
      <c r="C165" s="3"/>
      <c r="D165" s="3"/>
      <c r="E165" s="3"/>
      <c r="F165" s="3"/>
      <c r="G165" s="3"/>
      <c r="H165" s="3"/>
      <c r="I165" s="3"/>
    </row>
    <row r="166" spans="1:9" x14ac:dyDescent="0.25">
      <c r="A166" s="3"/>
      <c r="B166" s="3"/>
      <c r="C166" s="3"/>
      <c r="D166" s="3"/>
      <c r="E166" s="3"/>
      <c r="F166" s="3"/>
      <c r="G166" s="3"/>
      <c r="H166" s="3"/>
      <c r="I166" s="3"/>
    </row>
    <row r="167" spans="1:9" x14ac:dyDescent="0.25">
      <c r="A167" s="3"/>
      <c r="B167" s="3"/>
      <c r="C167" s="3"/>
      <c r="D167" s="3"/>
      <c r="E167" s="3"/>
      <c r="F167" s="3"/>
      <c r="G167" s="3"/>
      <c r="H167" s="3"/>
      <c r="I167" s="3"/>
    </row>
    <row r="168" spans="1:9" x14ac:dyDescent="0.25">
      <c r="A168" s="3"/>
      <c r="B168" s="3"/>
      <c r="C168" s="3"/>
      <c r="D168" s="3"/>
      <c r="E168" s="3"/>
      <c r="F168" s="3"/>
      <c r="G168" s="3"/>
      <c r="H168" s="3"/>
      <c r="I168" s="3"/>
    </row>
    <row r="169" spans="1:9" x14ac:dyDescent="0.25">
      <c r="A169" s="3"/>
      <c r="B169" s="3"/>
      <c r="C169" s="3"/>
      <c r="D169" s="3"/>
      <c r="E169" s="3"/>
      <c r="F169" s="3"/>
      <c r="G169" s="3"/>
      <c r="H169" s="3"/>
      <c r="I169" s="3"/>
    </row>
    <row r="170" spans="1:9" x14ac:dyDescent="0.25">
      <c r="A170" s="3"/>
      <c r="B170" s="3"/>
      <c r="C170" s="3"/>
      <c r="D170" s="3"/>
      <c r="E170" s="3"/>
      <c r="F170" s="3"/>
      <c r="G170" s="3"/>
      <c r="H170" s="3"/>
      <c r="I170" s="3"/>
    </row>
    <row r="171" spans="1:9" x14ac:dyDescent="0.25">
      <c r="A171" s="3"/>
      <c r="B171" s="3"/>
      <c r="C171" s="3"/>
      <c r="D171" s="3"/>
      <c r="E171" s="3"/>
      <c r="F171" s="3"/>
      <c r="G171" s="3"/>
      <c r="H171" s="3"/>
      <c r="I171" s="3"/>
    </row>
    <row r="172" spans="1:9" x14ac:dyDescent="0.25">
      <c r="A172" s="3"/>
      <c r="B172" s="3"/>
      <c r="C172" s="3"/>
      <c r="D172" s="3"/>
      <c r="E172" s="3"/>
      <c r="F172" s="3"/>
      <c r="G172" s="3"/>
      <c r="H172" s="3"/>
      <c r="I172" s="3"/>
    </row>
    <row r="173" spans="1:9" x14ac:dyDescent="0.25">
      <c r="A173" s="3"/>
      <c r="B173" s="3"/>
      <c r="C173" s="3"/>
      <c r="D173" s="3"/>
      <c r="E173" s="3"/>
      <c r="F173" s="3"/>
      <c r="G173" s="3"/>
      <c r="H173" s="3"/>
      <c r="I173" s="3"/>
    </row>
    <row r="174" spans="1:9" x14ac:dyDescent="0.25">
      <c r="A174" s="3"/>
      <c r="B174" s="3"/>
      <c r="C174" s="3"/>
      <c r="D174" s="3"/>
      <c r="E174" s="3"/>
      <c r="F174" s="3"/>
      <c r="G174" s="3"/>
      <c r="H174" s="3"/>
      <c r="I174" s="3"/>
    </row>
    <row r="175" spans="1:9" x14ac:dyDescent="0.25">
      <c r="A175" s="3"/>
      <c r="B175" s="3"/>
      <c r="C175" s="3"/>
      <c r="D175" s="3"/>
      <c r="E175" s="3"/>
      <c r="F175" s="3"/>
      <c r="G175" s="3"/>
      <c r="H175" s="3"/>
      <c r="I175" s="3"/>
    </row>
    <row r="176" spans="1:9" x14ac:dyDescent="0.25">
      <c r="A176" s="3"/>
      <c r="B176" s="3"/>
      <c r="C176" s="3"/>
      <c r="D176" s="3"/>
      <c r="E176" s="3"/>
      <c r="F176" s="3"/>
      <c r="G176" s="3"/>
      <c r="H176" s="3"/>
      <c r="I176" s="3"/>
    </row>
    <row r="177" spans="1:9" x14ac:dyDescent="0.25">
      <c r="A177" s="3"/>
      <c r="B177" s="3"/>
      <c r="C177" s="3"/>
      <c r="D177" s="3"/>
      <c r="E177" s="3"/>
      <c r="F177" s="3"/>
      <c r="G177" s="3"/>
      <c r="H177" s="3"/>
      <c r="I177" s="3"/>
    </row>
    <row r="178" spans="1:9" x14ac:dyDescent="0.25">
      <c r="A178" s="3"/>
      <c r="B178" s="3"/>
      <c r="C178" s="3"/>
      <c r="D178" s="3"/>
      <c r="E178" s="3"/>
      <c r="F178" s="3"/>
      <c r="G178" s="3"/>
      <c r="H178" s="3"/>
      <c r="I178" s="3"/>
    </row>
    <row r="179" spans="1:9" x14ac:dyDescent="0.25">
      <c r="A179" s="3"/>
      <c r="B179" s="3"/>
      <c r="C179" s="3"/>
      <c r="D179" s="3"/>
      <c r="E179" s="3"/>
      <c r="F179" s="3"/>
      <c r="G179" s="3"/>
      <c r="H179" s="3"/>
      <c r="I179" s="3"/>
    </row>
    <row r="180" spans="1:9" x14ac:dyDescent="0.25">
      <c r="A180" s="3"/>
      <c r="B180" s="3"/>
      <c r="C180" s="3"/>
      <c r="D180" s="3"/>
      <c r="E180" s="3"/>
      <c r="F180" s="3"/>
      <c r="G180" s="3"/>
      <c r="H180" s="3"/>
      <c r="I180" s="3"/>
    </row>
    <row r="181" spans="1:9" x14ac:dyDescent="0.25">
      <c r="A181" s="3"/>
      <c r="B181" s="3"/>
      <c r="C181" s="3"/>
      <c r="D181" s="3"/>
      <c r="E181" s="3"/>
      <c r="F181" s="3"/>
      <c r="G181" s="3"/>
      <c r="H181" s="3"/>
      <c r="I181" s="3"/>
    </row>
    <row r="182" spans="1:9" x14ac:dyDescent="0.25">
      <c r="A182" s="3"/>
      <c r="B182" s="3"/>
      <c r="C182" s="3"/>
      <c r="D182" s="3"/>
      <c r="E182" s="3"/>
      <c r="F182" s="3"/>
      <c r="G182" s="3"/>
      <c r="H182" s="3"/>
      <c r="I182" s="3"/>
    </row>
    <row r="183" spans="1:9" x14ac:dyDescent="0.25">
      <c r="A183" s="3"/>
      <c r="B183" s="3"/>
      <c r="C183" s="3"/>
      <c r="D183" s="3"/>
      <c r="E183" s="3"/>
      <c r="F183" s="3"/>
      <c r="G183" s="3"/>
      <c r="H183" s="3"/>
      <c r="I183" s="3"/>
    </row>
    <row r="184" spans="1:9" x14ac:dyDescent="0.25">
      <c r="A184" s="3"/>
      <c r="B184" s="3"/>
      <c r="C184" s="3"/>
      <c r="D184" s="3"/>
      <c r="E184" s="3"/>
      <c r="F184" s="3"/>
      <c r="G184" s="3"/>
      <c r="H184" s="3"/>
      <c r="I184" s="3"/>
    </row>
    <row r="185" spans="1:9" x14ac:dyDescent="0.25">
      <c r="A185" s="3"/>
      <c r="B185" s="3"/>
      <c r="C185" s="3"/>
      <c r="D185" s="3"/>
      <c r="E185" s="3"/>
      <c r="F185" s="3"/>
      <c r="G185" s="3"/>
      <c r="H185" s="3"/>
      <c r="I185" s="3"/>
    </row>
    <row r="186" spans="1:9" x14ac:dyDescent="0.25">
      <c r="A186" s="3"/>
      <c r="B186" s="3"/>
      <c r="C186" s="3"/>
      <c r="D186" s="3"/>
      <c r="E186" s="3"/>
      <c r="F186" s="3"/>
      <c r="G186" s="3"/>
      <c r="H186" s="3"/>
      <c r="I186" s="3"/>
    </row>
    <row r="187" spans="1:9" x14ac:dyDescent="0.25">
      <c r="A187" s="3"/>
      <c r="B187" s="3"/>
      <c r="C187" s="3"/>
      <c r="D187" s="3"/>
      <c r="E187" s="3"/>
      <c r="F187" s="3"/>
      <c r="G187" s="3"/>
      <c r="H187" s="3"/>
      <c r="I187" s="3"/>
    </row>
    <row r="188" spans="1:9" x14ac:dyDescent="0.25">
      <c r="A188" s="3"/>
      <c r="B188" s="3"/>
      <c r="C188" s="3"/>
      <c r="D188" s="3"/>
      <c r="E188" s="3"/>
      <c r="F188" s="3"/>
      <c r="G188" s="3"/>
      <c r="H188" s="3"/>
      <c r="I188" s="3"/>
    </row>
    <row r="189" spans="1:9" x14ac:dyDescent="0.25">
      <c r="A189" s="3"/>
      <c r="B189" s="3"/>
      <c r="C189" s="3"/>
      <c r="D189" s="3"/>
      <c r="E189" s="3"/>
      <c r="F189" s="3"/>
      <c r="G189" s="3"/>
      <c r="H189" s="3"/>
      <c r="I189" s="3"/>
    </row>
    <row r="190" spans="1:9" x14ac:dyDescent="0.25">
      <c r="A190" s="3"/>
      <c r="B190" s="3"/>
      <c r="C190" s="3"/>
      <c r="D190" s="3"/>
      <c r="E190" s="3"/>
      <c r="F190" s="3"/>
      <c r="G190" s="3"/>
      <c r="H190" s="3"/>
      <c r="I190" s="3"/>
    </row>
    <row r="191" spans="1:9" x14ac:dyDescent="0.25">
      <c r="A191" s="3"/>
      <c r="B191" s="3"/>
      <c r="C191" s="3"/>
      <c r="D191" s="3"/>
      <c r="E191" s="3"/>
      <c r="F191" s="3"/>
      <c r="G191" s="3"/>
      <c r="H191" s="3"/>
      <c r="I191" s="3"/>
    </row>
    <row r="192" spans="1:9" x14ac:dyDescent="0.25">
      <c r="A192" s="3"/>
      <c r="B192" s="3"/>
      <c r="C192" s="3"/>
      <c r="D192" s="3"/>
      <c r="E192" s="3"/>
      <c r="F192" s="3"/>
      <c r="G192" s="3"/>
      <c r="H192" s="3"/>
      <c r="I192" s="3"/>
    </row>
    <row r="193" spans="1:9" x14ac:dyDescent="0.25">
      <c r="A193" s="3"/>
      <c r="B193" s="3"/>
      <c r="C193" s="3"/>
      <c r="D193" s="3"/>
      <c r="E193" s="3"/>
      <c r="F193" s="3"/>
      <c r="G193" s="3"/>
      <c r="H193" s="3"/>
      <c r="I193" s="3"/>
    </row>
    <row r="194" spans="1:9" x14ac:dyDescent="0.25">
      <c r="A194" s="3"/>
      <c r="B194" s="3"/>
      <c r="C194" s="3"/>
      <c r="D194" s="3"/>
      <c r="E194" s="3"/>
      <c r="F194" s="3"/>
      <c r="G194" s="3"/>
      <c r="H194" s="3"/>
      <c r="I194" s="3"/>
    </row>
    <row r="195" spans="1:9" x14ac:dyDescent="0.25">
      <c r="A195" s="3"/>
      <c r="B195" s="3"/>
      <c r="C195" s="3"/>
      <c r="D195" s="3"/>
      <c r="E195" s="3"/>
      <c r="F195" s="3"/>
      <c r="G195" s="3"/>
      <c r="H195" s="3"/>
      <c r="I195" s="3"/>
    </row>
    <row r="196" spans="1:9" x14ac:dyDescent="0.25">
      <c r="A196" s="3"/>
      <c r="B196" s="3"/>
      <c r="C196" s="3"/>
      <c r="D196" s="3"/>
      <c r="E196" s="3"/>
      <c r="F196" s="3"/>
      <c r="G196" s="3"/>
      <c r="H196" s="3"/>
      <c r="I196" s="3"/>
    </row>
    <row r="197" spans="1:9" x14ac:dyDescent="0.25">
      <c r="A197" s="3"/>
      <c r="B197" s="3"/>
      <c r="C197" s="3"/>
      <c r="D197" s="3"/>
      <c r="E197" s="3"/>
      <c r="F197" s="3"/>
      <c r="G197" s="3"/>
      <c r="H197" s="3"/>
      <c r="I197" s="3"/>
    </row>
    <row r="198" spans="1:9" x14ac:dyDescent="0.25">
      <c r="A198" s="3"/>
      <c r="B198" s="3"/>
      <c r="C198" s="3"/>
      <c r="D198" s="3"/>
      <c r="E198" s="3"/>
      <c r="F198" s="3"/>
      <c r="G198" s="3"/>
      <c r="H198" s="3"/>
      <c r="I198" s="3"/>
    </row>
    <row r="199" spans="1:9" x14ac:dyDescent="0.25">
      <c r="A199" s="3"/>
      <c r="B199" s="3"/>
      <c r="C199" s="3"/>
      <c r="D199" s="3"/>
      <c r="E199" s="3"/>
      <c r="F199" s="3"/>
      <c r="G199" s="3"/>
      <c r="H199" s="3"/>
      <c r="I199" s="3"/>
    </row>
    <row r="200" spans="1:9" x14ac:dyDescent="0.25">
      <c r="A200" s="3"/>
      <c r="B200" s="3"/>
      <c r="C200" s="3"/>
      <c r="D200" s="3"/>
      <c r="E200" s="3"/>
      <c r="F200" s="3"/>
      <c r="G200" s="3"/>
      <c r="H200" s="3"/>
      <c r="I200" s="3"/>
    </row>
    <row r="201" spans="1:9" x14ac:dyDescent="0.25">
      <c r="A201" s="3"/>
      <c r="B201" s="3"/>
      <c r="C201" s="3"/>
      <c r="D201" s="3"/>
      <c r="E201" s="3"/>
      <c r="F201" s="3"/>
      <c r="G201" s="3"/>
      <c r="H201" s="3"/>
      <c r="I201" s="3"/>
    </row>
    <row r="202" spans="1:9" x14ac:dyDescent="0.25">
      <c r="A202" s="3"/>
      <c r="B202" s="3"/>
      <c r="C202" s="3"/>
      <c r="D202" s="3"/>
      <c r="E202" s="3"/>
      <c r="F202" s="3"/>
      <c r="G202" s="3"/>
      <c r="H202" s="3"/>
      <c r="I202" s="3"/>
    </row>
    <row r="203" spans="1:9" x14ac:dyDescent="0.25">
      <c r="A203" s="3"/>
      <c r="B203" s="3"/>
      <c r="C203" s="3"/>
      <c r="D203" s="3"/>
      <c r="E203" s="3"/>
      <c r="F203" s="3"/>
      <c r="G203" s="3"/>
      <c r="H203" s="3"/>
      <c r="I203" s="3"/>
    </row>
    <row r="204" spans="1:9" x14ac:dyDescent="0.25">
      <c r="A204" s="3"/>
      <c r="B204" s="3"/>
      <c r="C204" s="3"/>
      <c r="D204" s="3"/>
      <c r="E204" s="3"/>
      <c r="F204" s="3"/>
      <c r="G204" s="3"/>
      <c r="H204" s="3"/>
      <c r="I204" s="3"/>
    </row>
    <row r="205" spans="1:9" x14ac:dyDescent="0.25">
      <c r="A205" s="3"/>
      <c r="B205" s="3"/>
      <c r="C205" s="3"/>
      <c r="D205" s="3"/>
      <c r="E205" s="3"/>
      <c r="F205" s="3"/>
      <c r="G205" s="3"/>
      <c r="H205" s="3"/>
      <c r="I205" s="3"/>
    </row>
    <row r="206" spans="1:9" x14ac:dyDescent="0.25">
      <c r="A206" s="3"/>
      <c r="B206" s="3"/>
      <c r="C206" s="3"/>
      <c r="D206" s="3"/>
      <c r="E206" s="3"/>
      <c r="F206" s="3"/>
      <c r="G206" s="3"/>
      <c r="H206" s="3"/>
      <c r="I206" s="3"/>
    </row>
    <row r="207" spans="1:9" x14ac:dyDescent="0.25">
      <c r="A207" s="3"/>
      <c r="B207" s="3"/>
      <c r="C207" s="3"/>
      <c r="D207" s="3"/>
      <c r="E207" s="3"/>
      <c r="F207" s="3"/>
      <c r="G207" s="3"/>
      <c r="H207" s="3"/>
      <c r="I207" s="3"/>
    </row>
    <row r="208" spans="1:9" x14ac:dyDescent="0.25">
      <c r="A208" s="3"/>
      <c r="B208" s="3"/>
      <c r="C208" s="3"/>
      <c r="D208" s="3"/>
      <c r="E208" s="3"/>
      <c r="F208" s="3"/>
      <c r="G208" s="3"/>
      <c r="H208" s="3"/>
      <c r="I208" s="3"/>
    </row>
    <row r="209" spans="1:9" x14ac:dyDescent="0.25">
      <c r="A209" s="3"/>
      <c r="B209" s="3"/>
      <c r="C209" s="3"/>
      <c r="D209" s="3"/>
      <c r="E209" s="3"/>
      <c r="F209" s="3"/>
      <c r="G209" s="3"/>
      <c r="H209" s="3"/>
      <c r="I209" s="3"/>
    </row>
    <row r="210" spans="1:9" x14ac:dyDescent="0.25">
      <c r="A210" s="3"/>
      <c r="B210" s="3"/>
      <c r="C210" s="3"/>
      <c r="D210" s="3"/>
      <c r="E210" s="3"/>
      <c r="F210" s="3"/>
      <c r="G210" s="3"/>
      <c r="H210" s="3"/>
      <c r="I210" s="3"/>
    </row>
    <row r="211" spans="1:9" x14ac:dyDescent="0.25">
      <c r="A211" s="3"/>
      <c r="B211" s="3"/>
      <c r="C211" s="3"/>
      <c r="D211" s="3"/>
      <c r="E211" s="3"/>
      <c r="F211" s="3"/>
      <c r="G211" s="3"/>
      <c r="H211" s="3"/>
      <c r="I211" s="3"/>
    </row>
    <row r="212" spans="1:9" x14ac:dyDescent="0.25">
      <c r="A212" s="3"/>
      <c r="B212" s="3"/>
      <c r="C212" s="3"/>
      <c r="D212" s="3"/>
      <c r="E212" s="3"/>
      <c r="F212" s="3"/>
      <c r="G212" s="3"/>
      <c r="H212" s="3"/>
      <c r="I212" s="3"/>
    </row>
    <row r="213" spans="1:9" x14ac:dyDescent="0.25">
      <c r="A213" s="3"/>
      <c r="B213" s="3"/>
      <c r="C213" s="3"/>
      <c r="D213" s="3"/>
      <c r="E213" s="3"/>
      <c r="F213" s="3"/>
      <c r="G213" s="3"/>
      <c r="H213" s="3"/>
      <c r="I213" s="3"/>
    </row>
    <row r="214" spans="1:9" x14ac:dyDescent="0.25">
      <c r="A214" s="3"/>
      <c r="B214" s="3"/>
      <c r="C214" s="3"/>
      <c r="D214" s="3"/>
      <c r="E214" s="3"/>
      <c r="F214" s="3"/>
      <c r="G214" s="3"/>
      <c r="H214" s="3"/>
      <c r="I214" s="3"/>
    </row>
    <row r="215" spans="1:9" x14ac:dyDescent="0.25">
      <c r="A215" s="3"/>
      <c r="B215" s="3"/>
      <c r="C215" s="3"/>
      <c r="D215" s="3"/>
      <c r="E215" s="3"/>
      <c r="F215" s="3"/>
      <c r="G215" s="3"/>
      <c r="H215" s="3"/>
      <c r="I215" s="3"/>
    </row>
    <row r="216" spans="1:9" x14ac:dyDescent="0.25">
      <c r="A216" s="3"/>
      <c r="B216" s="3"/>
      <c r="C216" s="3"/>
      <c r="D216" s="3"/>
      <c r="E216" s="3"/>
      <c r="F216" s="3"/>
      <c r="G216" s="3"/>
      <c r="H216" s="3"/>
      <c r="I216" s="3"/>
    </row>
    <row r="217" spans="1:9" x14ac:dyDescent="0.25">
      <c r="A217" s="3"/>
      <c r="B217" s="3"/>
      <c r="C217" s="3"/>
      <c r="D217" s="3"/>
      <c r="E217" s="3"/>
      <c r="F217" s="3"/>
      <c r="G217" s="3"/>
      <c r="H217" s="3"/>
      <c r="I217" s="3"/>
    </row>
    <row r="218" spans="1:9" x14ac:dyDescent="0.25">
      <c r="A218" s="3"/>
      <c r="B218" s="3"/>
      <c r="C218" s="3"/>
      <c r="D218" s="3"/>
      <c r="E218" s="3"/>
      <c r="F218" s="3"/>
      <c r="G218" s="3"/>
      <c r="H218" s="3"/>
      <c r="I218" s="3"/>
    </row>
    <row r="219" spans="1:9" x14ac:dyDescent="0.25">
      <c r="A219" s="3"/>
      <c r="B219" s="3"/>
      <c r="C219" s="3"/>
      <c r="D219" s="3"/>
      <c r="E219" s="3"/>
      <c r="F219" s="3"/>
      <c r="G219" s="3"/>
      <c r="H219" s="3"/>
      <c r="I219" s="3"/>
    </row>
    <row r="220" spans="1:9" x14ac:dyDescent="0.25">
      <c r="A220" s="3"/>
      <c r="B220" s="3"/>
      <c r="C220" s="3"/>
      <c r="D220" s="3"/>
      <c r="E220" s="3"/>
      <c r="F220" s="3"/>
      <c r="G220" s="3"/>
      <c r="H220" s="3"/>
      <c r="I220" s="3"/>
    </row>
    <row r="221" spans="1:9" x14ac:dyDescent="0.25">
      <c r="A221" s="3"/>
      <c r="B221" s="3"/>
      <c r="C221" s="3"/>
      <c r="D221" s="3"/>
      <c r="E221" s="3"/>
      <c r="F221" s="3"/>
      <c r="G221" s="3"/>
      <c r="H221" s="3"/>
      <c r="I221" s="3"/>
    </row>
    <row r="222" spans="1:9" x14ac:dyDescent="0.25">
      <c r="A222" s="3"/>
      <c r="B222" s="3"/>
      <c r="C222" s="3"/>
      <c r="D222" s="3"/>
      <c r="E222" s="3"/>
      <c r="F222" s="3"/>
      <c r="G222" s="3"/>
      <c r="H222" s="3"/>
      <c r="I222" s="3"/>
    </row>
    <row r="223" spans="1:9" x14ac:dyDescent="0.25">
      <c r="A223" s="3"/>
      <c r="B223" s="3"/>
      <c r="C223" s="3"/>
      <c r="D223" s="3"/>
      <c r="E223" s="3"/>
      <c r="F223" s="3"/>
      <c r="G223" s="3"/>
      <c r="H223" s="3"/>
      <c r="I223" s="3"/>
    </row>
    <row r="224" spans="1:9" x14ac:dyDescent="0.25">
      <c r="A224" s="3"/>
      <c r="B224" s="3"/>
      <c r="C224" s="3"/>
      <c r="D224" s="3"/>
      <c r="E224" s="3"/>
      <c r="F224" s="3"/>
      <c r="G224" s="3"/>
      <c r="H224" s="3"/>
      <c r="I224" s="3"/>
    </row>
    <row r="225" spans="1:9" x14ac:dyDescent="0.25">
      <c r="A225" s="3"/>
      <c r="B225" s="3"/>
      <c r="C225" s="3"/>
      <c r="D225" s="3"/>
      <c r="E225" s="3"/>
      <c r="F225" s="3"/>
      <c r="G225" s="3"/>
      <c r="H225" s="3"/>
      <c r="I225" s="3"/>
    </row>
    <row r="226" spans="1:9" x14ac:dyDescent="0.25">
      <c r="A226" s="3"/>
      <c r="B226" s="3"/>
      <c r="C226" s="3"/>
      <c r="D226" s="3"/>
      <c r="E226" s="3"/>
      <c r="F226" s="3"/>
      <c r="G226" s="3"/>
      <c r="H226" s="3"/>
      <c r="I226" s="3"/>
    </row>
    <row r="227" spans="1:9" x14ac:dyDescent="0.25">
      <c r="A227" s="3"/>
      <c r="B227" s="3"/>
      <c r="C227" s="3"/>
      <c r="D227" s="3"/>
      <c r="E227" s="3"/>
      <c r="F227" s="3"/>
      <c r="G227" s="3"/>
      <c r="H227" s="3"/>
      <c r="I227" s="3"/>
    </row>
    <row r="228" spans="1:9" x14ac:dyDescent="0.25">
      <c r="A228" s="3"/>
      <c r="B228" s="3"/>
      <c r="C228" s="3"/>
      <c r="D228" s="3"/>
      <c r="E228" s="3"/>
      <c r="F228" s="3"/>
      <c r="G228" s="3"/>
      <c r="H228" s="3"/>
      <c r="I228" s="3"/>
    </row>
    <row r="229" spans="1:9" x14ac:dyDescent="0.25">
      <c r="A229" s="3"/>
      <c r="B229" s="3"/>
      <c r="C229" s="3"/>
      <c r="D229" s="3"/>
      <c r="E229" s="3"/>
      <c r="F229" s="3"/>
      <c r="G229" s="3"/>
      <c r="H229" s="3"/>
      <c r="I229" s="3"/>
    </row>
    <row r="230" spans="1:9" x14ac:dyDescent="0.25">
      <c r="A230" s="3"/>
      <c r="B230" s="3"/>
      <c r="C230" s="3"/>
      <c r="D230" s="3"/>
      <c r="E230" s="3"/>
      <c r="F230" s="3"/>
      <c r="G230" s="3"/>
      <c r="H230" s="3"/>
      <c r="I230" s="3"/>
    </row>
    <row r="231" spans="1:9" x14ac:dyDescent="0.25">
      <c r="A231" s="3"/>
      <c r="B231" s="3"/>
      <c r="C231" s="3"/>
      <c r="D231" s="3"/>
      <c r="E231" s="3"/>
      <c r="F231" s="3"/>
      <c r="G231" s="3"/>
      <c r="H231" s="3"/>
      <c r="I231" s="3"/>
    </row>
    <row r="232" spans="1:9" x14ac:dyDescent="0.25">
      <c r="A232" s="3"/>
      <c r="B232" s="3"/>
      <c r="C232" s="3"/>
      <c r="D232" s="3"/>
      <c r="E232" s="3"/>
      <c r="F232" s="3"/>
      <c r="G232" s="3"/>
      <c r="H232" s="3"/>
      <c r="I232" s="3"/>
    </row>
    <row r="233" spans="1:9" x14ac:dyDescent="0.25">
      <c r="A233" s="3"/>
      <c r="B233" s="3"/>
      <c r="C233" s="3"/>
      <c r="D233" s="3"/>
      <c r="E233" s="3"/>
      <c r="F233" s="3"/>
      <c r="G233" s="3"/>
      <c r="H233" s="3"/>
      <c r="I233" s="3"/>
    </row>
    <row r="234" spans="1:9" x14ac:dyDescent="0.25">
      <c r="A234" s="3"/>
      <c r="B234" s="3"/>
      <c r="C234" s="3"/>
      <c r="D234" s="3"/>
      <c r="E234" s="3"/>
      <c r="F234" s="3"/>
      <c r="G234" s="3"/>
      <c r="H234" s="3"/>
      <c r="I234" s="3"/>
    </row>
    <row r="235" spans="1:9" x14ac:dyDescent="0.25">
      <c r="A235" s="3"/>
      <c r="B235" s="3"/>
      <c r="C235" s="3"/>
      <c r="D235" s="3"/>
      <c r="E235" s="3"/>
      <c r="F235" s="3"/>
      <c r="G235" s="3"/>
      <c r="H235" s="3"/>
      <c r="I235" s="3"/>
    </row>
    <row r="236" spans="1:9" x14ac:dyDescent="0.25">
      <c r="A236" s="3"/>
      <c r="B236" s="3"/>
      <c r="C236" s="3"/>
      <c r="D236" s="3"/>
      <c r="E236" s="3"/>
      <c r="F236" s="3"/>
      <c r="G236" s="3"/>
      <c r="H236" s="3"/>
      <c r="I236" s="3"/>
    </row>
    <row r="237" spans="1:9" x14ac:dyDescent="0.25">
      <c r="A237" s="3"/>
      <c r="B237" s="3"/>
      <c r="C237" s="3"/>
      <c r="D237" s="3"/>
      <c r="E237" s="3"/>
      <c r="F237" s="3"/>
      <c r="G237" s="3"/>
      <c r="H237" s="3"/>
      <c r="I237" s="3"/>
    </row>
    <row r="238" spans="1:9" x14ac:dyDescent="0.25">
      <c r="A238" s="3"/>
      <c r="B238" s="3"/>
      <c r="C238" s="3"/>
      <c r="D238" s="3"/>
      <c r="E238" s="3"/>
      <c r="F238" s="3"/>
      <c r="G238" s="3"/>
      <c r="H238" s="3"/>
      <c r="I238" s="3"/>
    </row>
    <row r="239" spans="1:9" x14ac:dyDescent="0.25">
      <c r="A239" s="3"/>
      <c r="B239" s="3"/>
      <c r="C239" s="3"/>
      <c r="D239" s="3"/>
      <c r="E239" s="3"/>
      <c r="F239" s="3"/>
      <c r="G239" s="3"/>
      <c r="H239" s="3"/>
      <c r="I239" s="3"/>
    </row>
    <row r="240" spans="1:9" x14ac:dyDescent="0.25">
      <c r="A240" s="3"/>
      <c r="B240" s="3"/>
      <c r="C240" s="3"/>
      <c r="D240" s="3"/>
      <c r="E240" s="3"/>
      <c r="F240" s="3"/>
      <c r="G240" s="3"/>
      <c r="H240" s="3"/>
      <c r="I240" s="3"/>
    </row>
    <row r="241" spans="1:9" x14ac:dyDescent="0.25">
      <c r="A241" s="3"/>
      <c r="B241" s="3"/>
      <c r="C241" s="3"/>
      <c r="D241" s="3"/>
      <c r="E241" s="3"/>
      <c r="F241" s="3"/>
      <c r="G241" s="3"/>
      <c r="H241" s="3"/>
      <c r="I241" s="3"/>
    </row>
    <row r="242" spans="1:9" x14ac:dyDescent="0.25">
      <c r="A242" s="3"/>
      <c r="B242" s="3"/>
      <c r="C242" s="3"/>
      <c r="D242" s="3"/>
      <c r="E242" s="3"/>
      <c r="F242" s="3"/>
      <c r="G242" s="3"/>
      <c r="H242" s="3"/>
      <c r="I242" s="3"/>
    </row>
    <row r="243" spans="1:9" x14ac:dyDescent="0.25">
      <c r="A243" s="3"/>
      <c r="B243" s="3"/>
      <c r="C243" s="3"/>
      <c r="D243" s="3"/>
      <c r="E243" s="3"/>
      <c r="F243" s="3"/>
      <c r="G243" s="3"/>
      <c r="H243" s="3"/>
      <c r="I243" s="3"/>
    </row>
    <row r="244" spans="1:9" x14ac:dyDescent="0.25">
      <c r="A244" s="3"/>
      <c r="B244" s="3"/>
      <c r="C244" s="3"/>
      <c r="D244" s="3"/>
      <c r="E244" s="3"/>
      <c r="F244" s="3"/>
      <c r="G244" s="3"/>
      <c r="H244" s="3"/>
      <c r="I244" s="3"/>
    </row>
    <row r="245" spans="1:9" x14ac:dyDescent="0.25">
      <c r="A245" s="3"/>
      <c r="B245" s="3"/>
      <c r="C245" s="3"/>
      <c r="D245" s="3"/>
      <c r="E245" s="3"/>
      <c r="F245" s="3"/>
      <c r="G245" s="3"/>
      <c r="H245" s="3"/>
      <c r="I245" s="3"/>
    </row>
    <row r="246" spans="1:9" x14ac:dyDescent="0.25">
      <c r="A246" s="3"/>
      <c r="B246" s="3"/>
      <c r="C246" s="3"/>
      <c r="D246" s="3"/>
      <c r="E246" s="3"/>
      <c r="F246" s="3"/>
      <c r="G246" s="3"/>
      <c r="H246" s="3"/>
      <c r="I246" s="3"/>
    </row>
    <row r="247" spans="1:9" x14ac:dyDescent="0.25">
      <c r="A247" s="3"/>
      <c r="B247" s="3"/>
      <c r="C247" s="3"/>
      <c r="D247" s="3"/>
      <c r="E247" s="3"/>
      <c r="F247" s="3"/>
      <c r="G247" s="3"/>
      <c r="H247" s="3"/>
      <c r="I247" s="3"/>
    </row>
    <row r="248" spans="1:9" x14ac:dyDescent="0.25">
      <c r="A248" s="3"/>
      <c r="B248" s="3"/>
      <c r="C248" s="3"/>
      <c r="D248" s="3"/>
      <c r="E248" s="3"/>
      <c r="F248" s="3"/>
      <c r="G248" s="3"/>
      <c r="H248" s="3"/>
      <c r="I248" s="3"/>
    </row>
    <row r="249" spans="1:9" x14ac:dyDescent="0.25">
      <c r="A249" s="3"/>
      <c r="B249" s="3"/>
      <c r="C249" s="3"/>
      <c r="D249" s="3"/>
      <c r="E249" s="3"/>
      <c r="F249" s="3"/>
      <c r="G249" s="3"/>
      <c r="H249" s="3"/>
      <c r="I249" s="3"/>
    </row>
    <row r="250" spans="1:9" x14ac:dyDescent="0.25">
      <c r="A250" s="3"/>
      <c r="B250" s="3"/>
      <c r="C250" s="3"/>
      <c r="D250" s="3"/>
      <c r="E250" s="3"/>
      <c r="F250" s="3"/>
      <c r="G250" s="3"/>
      <c r="H250" s="3"/>
      <c r="I250" s="3"/>
    </row>
    <row r="251" spans="1:9" x14ac:dyDescent="0.25">
      <c r="A251" s="3"/>
      <c r="B251" s="3"/>
      <c r="C251" s="3"/>
      <c r="D251" s="3"/>
      <c r="E251" s="3"/>
      <c r="F251" s="3"/>
      <c r="G251" s="3"/>
      <c r="H251" s="3"/>
      <c r="I251" s="3"/>
    </row>
    <row r="252" spans="1:9" x14ac:dyDescent="0.25">
      <c r="A252" s="3"/>
      <c r="B252" s="3"/>
      <c r="C252" s="3"/>
      <c r="D252" s="3"/>
      <c r="E252" s="3"/>
      <c r="F252" s="3"/>
      <c r="G252" s="3"/>
      <c r="H252" s="3"/>
      <c r="I252" s="3"/>
    </row>
    <row r="253" spans="1:9" x14ac:dyDescent="0.25">
      <c r="A253" s="3"/>
      <c r="B253" s="3"/>
      <c r="C253" s="3"/>
      <c r="D253" s="3"/>
      <c r="E253" s="3"/>
      <c r="F253" s="3"/>
      <c r="G253" s="3"/>
      <c r="H253" s="3"/>
      <c r="I253" s="3"/>
    </row>
    <row r="254" spans="1:9" x14ac:dyDescent="0.25">
      <c r="A254" s="3"/>
      <c r="B254" s="3"/>
      <c r="C254" s="3"/>
      <c r="D254" s="3"/>
      <c r="E254" s="3"/>
      <c r="F254" s="3"/>
      <c r="G254" s="3"/>
      <c r="H254" s="3"/>
      <c r="I254" s="3"/>
    </row>
    <row r="255" spans="1:9" x14ac:dyDescent="0.25">
      <c r="A255" s="3"/>
      <c r="B255" s="3"/>
      <c r="C255" s="3"/>
      <c r="D255" s="3"/>
      <c r="E255" s="3"/>
      <c r="F255" s="3"/>
      <c r="G255" s="3"/>
      <c r="H255" s="3"/>
      <c r="I255" s="3"/>
    </row>
    <row r="256" spans="1:9" x14ac:dyDescent="0.25">
      <c r="A256" s="3"/>
      <c r="B256" s="3"/>
      <c r="C256" s="3"/>
      <c r="D256" s="3"/>
      <c r="E256" s="3"/>
      <c r="F256" s="3"/>
      <c r="G256" s="3"/>
      <c r="H256" s="3"/>
      <c r="I256" s="3"/>
    </row>
    <row r="257" spans="1:9" x14ac:dyDescent="0.25">
      <c r="A257" s="3"/>
      <c r="B257" s="3"/>
      <c r="C257" s="3"/>
      <c r="D257" s="3"/>
      <c r="E257" s="3"/>
      <c r="F257" s="3"/>
      <c r="G257" s="3"/>
      <c r="H257" s="3"/>
      <c r="I257" s="3"/>
    </row>
    <row r="258" spans="1:9" x14ac:dyDescent="0.25">
      <c r="A258" s="3"/>
      <c r="B258" s="3"/>
      <c r="C258" s="3"/>
      <c r="D258" s="3"/>
      <c r="E258" s="3"/>
      <c r="F258" s="3"/>
      <c r="G258" s="3"/>
      <c r="H258" s="3"/>
      <c r="I258" s="3"/>
    </row>
    <row r="259" spans="1:9" x14ac:dyDescent="0.25">
      <c r="A259" s="3"/>
      <c r="B259" s="3"/>
      <c r="C259" s="3"/>
      <c r="D259" s="3"/>
      <c r="E259" s="3"/>
      <c r="F259" s="3"/>
      <c r="G259" s="3"/>
      <c r="H259" s="3"/>
      <c r="I259" s="3"/>
    </row>
    <row r="260" spans="1:9" x14ac:dyDescent="0.25">
      <c r="A260" s="3"/>
      <c r="B260" s="3"/>
      <c r="C260" s="3"/>
      <c r="D260" s="3"/>
      <c r="E260" s="3"/>
      <c r="F260" s="3"/>
      <c r="G260" s="3"/>
      <c r="H260" s="3"/>
      <c r="I260" s="3"/>
    </row>
    <row r="261" spans="1:9" x14ac:dyDescent="0.25">
      <c r="A261" s="3"/>
      <c r="B261" s="3"/>
      <c r="C261" s="3"/>
      <c r="D261" s="3"/>
      <c r="E261" s="3"/>
      <c r="F261" s="3"/>
      <c r="G261" s="3"/>
      <c r="H261" s="3"/>
      <c r="I261" s="3"/>
    </row>
    <row r="262" spans="1:9" x14ac:dyDescent="0.25">
      <c r="A262" s="3"/>
      <c r="B262" s="3"/>
      <c r="C262" s="3"/>
      <c r="D262" s="3"/>
      <c r="E262" s="3"/>
      <c r="F262" s="3"/>
      <c r="G262" s="3"/>
      <c r="H262" s="3"/>
      <c r="I262" s="3"/>
    </row>
    <row r="263" spans="1:9" x14ac:dyDescent="0.25">
      <c r="A263" s="3"/>
      <c r="B263" s="3"/>
      <c r="C263" s="3"/>
      <c r="D263" s="3"/>
      <c r="E263" s="3"/>
      <c r="F263" s="3"/>
      <c r="G263" s="3"/>
      <c r="H263" s="3"/>
      <c r="I263" s="3"/>
    </row>
    <row r="264" spans="1:9" x14ac:dyDescent="0.25">
      <c r="A264" s="3"/>
      <c r="B264" s="3"/>
      <c r="C264" s="3"/>
      <c r="D264" s="3"/>
      <c r="E264" s="3"/>
      <c r="F264" s="3"/>
      <c r="G264" s="3"/>
      <c r="H264" s="3"/>
      <c r="I264" s="3"/>
    </row>
    <row r="265" spans="1:9" x14ac:dyDescent="0.25">
      <c r="A265" s="3"/>
      <c r="B265" s="3"/>
      <c r="C265" s="3"/>
      <c r="D265" s="3"/>
      <c r="E265" s="3"/>
      <c r="F265" s="3"/>
      <c r="G265" s="3"/>
      <c r="H265" s="3"/>
      <c r="I265" s="3"/>
    </row>
    <row r="266" spans="1:9" x14ac:dyDescent="0.25">
      <c r="A266" s="3"/>
      <c r="B266" s="3"/>
      <c r="C266" s="3"/>
      <c r="D266" s="3"/>
      <c r="E266" s="3"/>
      <c r="F266" s="3"/>
      <c r="G266" s="3"/>
      <c r="H266" s="3"/>
      <c r="I266" s="3"/>
    </row>
    <row r="267" spans="1:9" x14ac:dyDescent="0.25">
      <c r="A267" s="3"/>
      <c r="B267" s="3"/>
      <c r="C267" s="3"/>
      <c r="D267" s="3"/>
      <c r="E267" s="3"/>
      <c r="F267" s="3"/>
      <c r="G267" s="3"/>
      <c r="H267" s="3"/>
      <c r="I267" s="3"/>
    </row>
    <row r="268" spans="1:9" x14ac:dyDescent="0.25">
      <c r="A268" s="3"/>
      <c r="B268" s="3"/>
      <c r="C268" s="3"/>
      <c r="D268" s="3"/>
      <c r="E268" s="3"/>
      <c r="F268" s="3"/>
      <c r="G268" s="3"/>
      <c r="H268" s="3"/>
      <c r="I268" s="3"/>
    </row>
    <row r="269" spans="1:9" x14ac:dyDescent="0.25">
      <c r="A269" s="3"/>
      <c r="B269" s="3"/>
      <c r="C269" s="3"/>
      <c r="D269" s="3"/>
      <c r="E269" s="3"/>
      <c r="F269" s="3"/>
      <c r="G269" s="3"/>
      <c r="H269" s="3"/>
      <c r="I269" s="3"/>
    </row>
    <row r="270" spans="1:9" x14ac:dyDescent="0.25">
      <c r="A270" s="3"/>
      <c r="B270" s="3"/>
      <c r="C270" s="3"/>
      <c r="D270" s="3"/>
      <c r="E270" s="3"/>
      <c r="F270" s="3"/>
      <c r="G270" s="3"/>
      <c r="H270" s="3"/>
      <c r="I270" s="3"/>
    </row>
    <row r="271" spans="1:9" x14ac:dyDescent="0.25">
      <c r="A271" s="3"/>
      <c r="B271" s="3"/>
      <c r="C271" s="3"/>
      <c r="D271" s="3"/>
      <c r="E271" s="3"/>
      <c r="F271" s="3"/>
      <c r="G271" s="3"/>
      <c r="H271" s="3"/>
      <c r="I271" s="3"/>
    </row>
    <row r="272" spans="1:9" x14ac:dyDescent="0.25">
      <c r="A272" s="3"/>
      <c r="B272" s="3"/>
      <c r="C272" s="3"/>
      <c r="D272" s="3"/>
      <c r="E272" s="3"/>
      <c r="F272" s="3"/>
      <c r="G272" s="3"/>
      <c r="H272" s="3"/>
      <c r="I272" s="3"/>
    </row>
    <row r="273" spans="1:9" x14ac:dyDescent="0.25">
      <c r="A273" s="3"/>
      <c r="B273" s="3"/>
      <c r="C273" s="3"/>
      <c r="D273" s="3"/>
      <c r="E273" s="3"/>
      <c r="F273" s="3"/>
      <c r="G273" s="3"/>
      <c r="H273" s="3"/>
      <c r="I273" s="3"/>
    </row>
    <row r="274" spans="1:9" x14ac:dyDescent="0.25">
      <c r="A274" s="3"/>
      <c r="B274" s="3"/>
      <c r="C274" s="3"/>
      <c r="D274" s="3"/>
      <c r="E274" s="3"/>
      <c r="F274" s="3"/>
      <c r="G274" s="3"/>
      <c r="H274" s="3"/>
      <c r="I274" s="3"/>
    </row>
    <row r="275" spans="1:9" x14ac:dyDescent="0.25">
      <c r="A275" s="3"/>
      <c r="B275" s="3"/>
      <c r="C275" s="3"/>
      <c r="D275" s="3"/>
      <c r="E275" s="3"/>
      <c r="F275" s="3"/>
      <c r="G275" s="3"/>
      <c r="H275" s="3"/>
      <c r="I275" s="3"/>
    </row>
    <row r="276" spans="1:9" x14ac:dyDescent="0.25">
      <c r="A276" s="3"/>
      <c r="B276" s="3"/>
      <c r="C276" s="3"/>
      <c r="D276" s="3"/>
      <c r="E276" s="3"/>
      <c r="F276" s="3"/>
      <c r="G276" s="3"/>
      <c r="H276" s="3"/>
      <c r="I276" s="3"/>
    </row>
    <row r="277" spans="1:9" x14ac:dyDescent="0.25">
      <c r="A277" s="3"/>
      <c r="B277" s="3"/>
      <c r="C277" s="3"/>
      <c r="D277" s="3"/>
      <c r="E277" s="3"/>
      <c r="F277" s="3"/>
      <c r="G277" s="3"/>
      <c r="H277" s="3"/>
      <c r="I277" s="3"/>
    </row>
    <row r="278" spans="1:9" x14ac:dyDescent="0.25">
      <c r="A278" s="3"/>
      <c r="B278" s="3"/>
      <c r="C278" s="3"/>
      <c r="D278" s="3"/>
      <c r="E278" s="3"/>
      <c r="F278" s="3"/>
      <c r="G278" s="3"/>
      <c r="H278" s="3"/>
      <c r="I278" s="3"/>
    </row>
    <row r="279" spans="1:9" x14ac:dyDescent="0.25">
      <c r="A279" s="3"/>
      <c r="B279" s="3"/>
      <c r="C279" s="3"/>
      <c r="D279" s="3"/>
      <c r="E279" s="3"/>
      <c r="F279" s="3"/>
      <c r="G279" s="3"/>
      <c r="H279" s="3"/>
      <c r="I279" s="3"/>
    </row>
    <row r="280" spans="1:9" x14ac:dyDescent="0.25">
      <c r="A280" s="3"/>
      <c r="B280" s="3"/>
      <c r="C280" s="3"/>
      <c r="D280" s="3"/>
      <c r="E280" s="3"/>
      <c r="F280" s="3"/>
      <c r="G280" s="3"/>
      <c r="H280" s="3"/>
      <c r="I280" s="3"/>
    </row>
    <row r="281" spans="1:9" x14ac:dyDescent="0.25">
      <c r="A281" s="3"/>
      <c r="B281" s="3"/>
      <c r="C281" s="3"/>
      <c r="D281" s="3"/>
      <c r="E281" s="3"/>
      <c r="F281" s="3"/>
      <c r="G281" s="3"/>
      <c r="H281" s="3"/>
      <c r="I281" s="3"/>
    </row>
    <row r="282" spans="1:9" x14ac:dyDescent="0.25">
      <c r="A282" s="3"/>
      <c r="B282" s="3"/>
      <c r="C282" s="3"/>
      <c r="D282" s="3"/>
      <c r="E282" s="3"/>
      <c r="F282" s="3"/>
      <c r="G282" s="3"/>
      <c r="H282" s="3"/>
      <c r="I282" s="3"/>
    </row>
    <row r="283" spans="1:9" x14ac:dyDescent="0.25">
      <c r="A283" s="3"/>
      <c r="B283" s="3"/>
      <c r="C283" s="3"/>
      <c r="D283" s="3"/>
      <c r="E283" s="3"/>
      <c r="F283" s="3"/>
      <c r="G283" s="3"/>
      <c r="H283" s="3"/>
      <c r="I283" s="3"/>
    </row>
    <row r="284" spans="1:9" x14ac:dyDescent="0.25">
      <c r="A284" s="3"/>
      <c r="B284" s="3"/>
      <c r="C284" s="3"/>
      <c r="D284" s="3"/>
      <c r="E284" s="3"/>
      <c r="F284" s="3"/>
      <c r="G284" s="3"/>
      <c r="H284" s="3"/>
      <c r="I284" s="3"/>
    </row>
    <row r="285" spans="1:9" x14ac:dyDescent="0.25">
      <c r="A285" s="3"/>
      <c r="B285" s="3"/>
      <c r="C285" s="3"/>
      <c r="D285" s="3"/>
      <c r="E285" s="3"/>
      <c r="F285" s="3"/>
      <c r="G285" s="3"/>
      <c r="H285" s="3"/>
      <c r="I285" s="3"/>
    </row>
    <row r="286" spans="1:9" x14ac:dyDescent="0.25">
      <c r="A286" s="3"/>
      <c r="B286" s="3"/>
      <c r="C286" s="3"/>
      <c r="D286" s="3"/>
      <c r="E286" s="3"/>
      <c r="F286" s="3"/>
      <c r="G286" s="3"/>
      <c r="H286" s="3"/>
      <c r="I286" s="3"/>
    </row>
    <row r="287" spans="1:9" x14ac:dyDescent="0.25">
      <c r="A287" s="3"/>
      <c r="B287" s="3"/>
      <c r="C287" s="3"/>
      <c r="D287" s="3"/>
      <c r="E287" s="3"/>
      <c r="F287" s="3"/>
      <c r="G287" s="3"/>
      <c r="H287" s="3"/>
      <c r="I287" s="3"/>
    </row>
    <row r="288" spans="1:9" x14ac:dyDescent="0.25">
      <c r="A288" s="3"/>
      <c r="B288" s="3"/>
      <c r="C288" s="3"/>
      <c r="D288" s="3"/>
      <c r="E288" s="3"/>
      <c r="F288" s="3"/>
      <c r="G288" s="3"/>
      <c r="H288" s="3"/>
      <c r="I288" s="3"/>
    </row>
    <row r="289" spans="1:9" x14ac:dyDescent="0.25">
      <c r="A289" s="3"/>
      <c r="B289" s="3"/>
      <c r="C289" s="3"/>
      <c r="D289" s="3"/>
      <c r="E289" s="3"/>
      <c r="F289" s="3"/>
      <c r="G289" s="3"/>
      <c r="H289" s="3"/>
      <c r="I289" s="3"/>
    </row>
    <row r="290" spans="1:9" x14ac:dyDescent="0.25">
      <c r="A290" s="3"/>
      <c r="B290" s="3"/>
      <c r="C290" s="3"/>
      <c r="D290" s="3"/>
      <c r="E290" s="3"/>
      <c r="F290" s="3"/>
      <c r="G290" s="3"/>
      <c r="H290" s="3"/>
      <c r="I290" s="3"/>
    </row>
    <row r="291" spans="1:9" x14ac:dyDescent="0.25">
      <c r="A291" s="3"/>
      <c r="B291" s="3"/>
      <c r="C291" s="3"/>
      <c r="D291" s="3"/>
      <c r="E291" s="3"/>
      <c r="F291" s="3"/>
      <c r="G291" s="3"/>
      <c r="H291" s="3"/>
      <c r="I291" s="3"/>
    </row>
    <row r="292" spans="1:9" x14ac:dyDescent="0.25">
      <c r="A292" s="3"/>
      <c r="B292" s="3"/>
      <c r="C292" s="3"/>
      <c r="D292" s="3"/>
      <c r="E292" s="3"/>
      <c r="F292" s="3"/>
      <c r="G292" s="3"/>
      <c r="H292" s="3"/>
      <c r="I292" s="3"/>
    </row>
    <row r="293" spans="1:9" x14ac:dyDescent="0.25">
      <c r="A293" s="3"/>
      <c r="B293" s="3"/>
      <c r="C293" s="3"/>
      <c r="D293" s="3"/>
      <c r="E293" s="3"/>
      <c r="F293" s="3"/>
      <c r="G293" s="3"/>
      <c r="H293" s="3"/>
      <c r="I293" s="3"/>
    </row>
    <row r="294" spans="1:9" x14ac:dyDescent="0.25">
      <c r="A294" s="3"/>
      <c r="B294" s="3"/>
      <c r="C294" s="3"/>
      <c r="D294" s="3"/>
      <c r="E294" s="3"/>
      <c r="F294" s="3"/>
      <c r="G294" s="3"/>
      <c r="H294" s="3"/>
      <c r="I294" s="3"/>
    </row>
    <row r="295" spans="1:9" x14ac:dyDescent="0.25">
      <c r="A295" s="3"/>
      <c r="B295" s="3"/>
      <c r="C295" s="3"/>
      <c r="D295" s="3"/>
      <c r="E295" s="3"/>
      <c r="F295" s="3"/>
      <c r="G295" s="3"/>
      <c r="H295" s="3"/>
      <c r="I295" s="3"/>
    </row>
    <row r="296" spans="1:9" x14ac:dyDescent="0.25">
      <c r="A296" s="3"/>
      <c r="B296" s="3"/>
      <c r="C296" s="3"/>
      <c r="D296" s="3"/>
      <c r="E296" s="3"/>
      <c r="F296" s="3"/>
      <c r="G296" s="3"/>
      <c r="H296" s="3"/>
      <c r="I296" s="3"/>
    </row>
    <row r="297" spans="1:9" x14ac:dyDescent="0.25">
      <c r="A297" s="3"/>
      <c r="B297" s="3"/>
      <c r="C297" s="3"/>
      <c r="D297" s="3"/>
      <c r="E297" s="3"/>
      <c r="F297" s="3"/>
      <c r="G297" s="3"/>
      <c r="H297" s="3"/>
      <c r="I297" s="3"/>
    </row>
    <row r="298" spans="1:9" x14ac:dyDescent="0.25">
      <c r="A298" s="3"/>
      <c r="B298" s="3"/>
      <c r="C298" s="3"/>
      <c r="D298" s="3"/>
      <c r="E298" s="3"/>
      <c r="F298" s="3"/>
      <c r="G298" s="3"/>
      <c r="H298" s="3"/>
      <c r="I298" s="3"/>
    </row>
    <row r="299" spans="1:9" x14ac:dyDescent="0.25">
      <c r="A299" s="3"/>
      <c r="B299" s="3"/>
      <c r="C299" s="3"/>
      <c r="D299" s="3"/>
      <c r="E299" s="3"/>
      <c r="F299" s="3"/>
      <c r="G299" s="3"/>
      <c r="H299" s="3"/>
      <c r="I299" s="3"/>
    </row>
    <row r="300" spans="1:9" x14ac:dyDescent="0.25">
      <c r="A300" s="3"/>
      <c r="B300" s="3"/>
      <c r="C300" s="3"/>
      <c r="D300" s="3"/>
      <c r="E300" s="3"/>
      <c r="F300" s="3"/>
      <c r="G300" s="3"/>
      <c r="H300" s="3"/>
      <c r="I300" s="3"/>
    </row>
    <row r="301" spans="1:9" x14ac:dyDescent="0.25">
      <c r="A301" s="3"/>
      <c r="B301" s="3"/>
      <c r="C301" s="3"/>
      <c r="D301" s="3"/>
      <c r="E301" s="3"/>
      <c r="F301" s="3"/>
      <c r="G301" s="3"/>
      <c r="H301" s="3"/>
      <c r="I301" s="3"/>
    </row>
    <row r="302" spans="1:9" x14ac:dyDescent="0.25">
      <c r="A302" s="3"/>
      <c r="B302" s="3"/>
      <c r="C302" s="3"/>
      <c r="D302" s="3"/>
      <c r="E302" s="3"/>
      <c r="F302" s="3"/>
      <c r="G302" s="3"/>
      <c r="H302" s="3"/>
      <c r="I302" s="3"/>
    </row>
    <row r="303" spans="1:9" x14ac:dyDescent="0.25">
      <c r="A303" s="3"/>
      <c r="B303" s="3"/>
      <c r="C303" s="3"/>
      <c r="D303" s="3"/>
      <c r="E303" s="3"/>
      <c r="F303" s="3"/>
      <c r="G303" s="3"/>
      <c r="H303" s="3"/>
      <c r="I303" s="3"/>
    </row>
    <row r="304" spans="1:9" x14ac:dyDescent="0.25">
      <c r="A304" s="3"/>
      <c r="B304" s="3"/>
      <c r="C304" s="3"/>
      <c r="D304" s="3"/>
      <c r="E304" s="3"/>
      <c r="F304" s="3"/>
      <c r="G304" s="3"/>
      <c r="H304" s="3"/>
      <c r="I304" s="3"/>
    </row>
    <row r="305" spans="1:9" x14ac:dyDescent="0.25">
      <c r="A305" s="3"/>
      <c r="B305" s="3"/>
      <c r="C305" s="3"/>
      <c r="D305" s="3"/>
      <c r="E305" s="3"/>
      <c r="F305" s="3"/>
      <c r="G305" s="3"/>
      <c r="H305" s="3"/>
      <c r="I305" s="3"/>
    </row>
    <row r="306" spans="1:9" x14ac:dyDescent="0.25">
      <c r="A306" s="3"/>
      <c r="B306" s="3"/>
      <c r="C306" s="3"/>
      <c r="D306" s="3"/>
      <c r="E306" s="3"/>
      <c r="F306" s="3"/>
      <c r="G306" s="3"/>
      <c r="H306" s="3"/>
      <c r="I306" s="3"/>
    </row>
    <row r="307" spans="1:9" x14ac:dyDescent="0.25">
      <c r="A307" s="3"/>
      <c r="B307" s="3"/>
      <c r="C307" s="3"/>
      <c r="D307" s="3"/>
      <c r="E307" s="3"/>
      <c r="F307" s="3"/>
      <c r="G307" s="3"/>
      <c r="H307" s="3"/>
      <c r="I307" s="3"/>
    </row>
    <row r="308" spans="1:9" x14ac:dyDescent="0.25">
      <c r="A308" s="3"/>
      <c r="B308" s="3"/>
      <c r="C308" s="3"/>
      <c r="D308" s="3"/>
      <c r="E308" s="3"/>
      <c r="F308" s="3"/>
      <c r="G308" s="3"/>
      <c r="H308" s="3"/>
      <c r="I308" s="3"/>
    </row>
    <row r="309" spans="1:9" x14ac:dyDescent="0.25">
      <c r="A309" s="3"/>
      <c r="B309" s="3"/>
      <c r="C309" s="3"/>
      <c r="D309" s="3"/>
      <c r="E309" s="3"/>
      <c r="F309" s="3"/>
      <c r="G309" s="3"/>
      <c r="H309" s="3"/>
      <c r="I309" s="3"/>
    </row>
    <row r="310" spans="1:9" x14ac:dyDescent="0.25">
      <c r="A310" s="3"/>
      <c r="B310" s="3"/>
      <c r="C310" s="3"/>
      <c r="D310" s="3"/>
      <c r="E310" s="3"/>
      <c r="F310" s="3"/>
      <c r="G310" s="3"/>
      <c r="H310" s="3"/>
      <c r="I310" s="3"/>
    </row>
    <row r="311" spans="1:9" x14ac:dyDescent="0.25">
      <c r="A311" s="3"/>
      <c r="B311" s="3"/>
      <c r="C311" s="3"/>
      <c r="D311" s="3"/>
      <c r="E311" s="3"/>
      <c r="F311" s="3"/>
      <c r="G311" s="3"/>
      <c r="H311" s="3"/>
      <c r="I311" s="3"/>
    </row>
    <row r="312" spans="1:9" x14ac:dyDescent="0.25">
      <c r="A312" s="3"/>
      <c r="B312" s="3"/>
      <c r="C312" s="3"/>
      <c r="D312" s="3"/>
      <c r="E312" s="3"/>
      <c r="F312" s="3"/>
      <c r="G312" s="3"/>
      <c r="H312" s="3"/>
      <c r="I312" s="3"/>
    </row>
    <row r="313" spans="1:9" x14ac:dyDescent="0.25">
      <c r="A313" s="3"/>
      <c r="B313" s="3"/>
      <c r="C313" s="3"/>
      <c r="D313" s="3"/>
      <c r="E313" s="3"/>
      <c r="F313" s="3"/>
      <c r="G313" s="3"/>
      <c r="H313" s="3"/>
      <c r="I313" s="3"/>
    </row>
    <row r="314" spans="1:9" x14ac:dyDescent="0.25">
      <c r="A314" s="3"/>
      <c r="B314" s="3"/>
      <c r="C314" s="3"/>
      <c r="D314" s="3"/>
      <c r="E314" s="3"/>
      <c r="F314" s="3"/>
      <c r="G314" s="3"/>
      <c r="H314" s="3"/>
      <c r="I314" s="3"/>
    </row>
    <row r="315" spans="1:9" x14ac:dyDescent="0.25">
      <c r="A315" s="3"/>
      <c r="B315" s="3"/>
      <c r="C315" s="3"/>
      <c r="D315" s="3"/>
      <c r="E315" s="3"/>
      <c r="F315" s="3"/>
      <c r="G315" s="3"/>
      <c r="H315" s="3"/>
      <c r="I315" s="3"/>
    </row>
    <row r="316" spans="1:9" x14ac:dyDescent="0.25">
      <c r="A316" s="3"/>
      <c r="B316" s="3"/>
      <c r="C316" s="3"/>
      <c r="D316" s="3"/>
      <c r="E316" s="3"/>
      <c r="F316" s="3"/>
      <c r="G316" s="3"/>
      <c r="H316" s="3"/>
      <c r="I316" s="3"/>
    </row>
    <row r="317" spans="1:9" x14ac:dyDescent="0.25">
      <c r="A317" s="3"/>
      <c r="B317" s="3"/>
      <c r="C317" s="3"/>
      <c r="D317" s="3"/>
      <c r="E317" s="3"/>
      <c r="F317" s="3"/>
      <c r="G317" s="3"/>
      <c r="H317" s="3"/>
      <c r="I317" s="3"/>
    </row>
    <row r="318" spans="1:9" x14ac:dyDescent="0.25">
      <c r="A318" s="3"/>
      <c r="B318" s="3"/>
      <c r="C318" s="3"/>
      <c r="D318" s="3"/>
      <c r="E318" s="3"/>
      <c r="F318" s="3"/>
      <c r="G318" s="3"/>
      <c r="H318" s="3"/>
      <c r="I318" s="3"/>
    </row>
    <row r="319" spans="1:9" x14ac:dyDescent="0.25">
      <c r="A319" s="3"/>
      <c r="B319" s="3"/>
      <c r="C319" s="3"/>
      <c r="D319" s="3"/>
      <c r="E319" s="3"/>
      <c r="F319" s="3"/>
      <c r="G319" s="3"/>
      <c r="H319" s="3"/>
      <c r="I319" s="3"/>
    </row>
    <row r="320" spans="1:9" x14ac:dyDescent="0.25">
      <c r="A320" s="3"/>
      <c r="B320" s="3"/>
      <c r="C320" s="3"/>
      <c r="D320" s="3"/>
      <c r="E320" s="3"/>
      <c r="F320" s="3"/>
      <c r="G320" s="3"/>
      <c r="H320" s="3"/>
      <c r="I320" s="3"/>
    </row>
    <row r="321" spans="1:9" x14ac:dyDescent="0.25">
      <c r="A321" s="3"/>
      <c r="B321" s="3"/>
      <c r="C321" s="3"/>
      <c r="D321" s="3"/>
      <c r="E321" s="3"/>
      <c r="F321" s="3"/>
      <c r="G321" s="3"/>
      <c r="H321" s="3"/>
      <c r="I321" s="3"/>
    </row>
    <row r="322" spans="1:9" x14ac:dyDescent="0.25">
      <c r="A322" s="3"/>
      <c r="B322" s="3"/>
      <c r="C322" s="3"/>
      <c r="D322" s="3"/>
      <c r="E322" s="3"/>
      <c r="F322" s="3"/>
      <c r="G322" s="3"/>
      <c r="H322" s="3"/>
      <c r="I322" s="3"/>
    </row>
    <row r="323" spans="1:9" x14ac:dyDescent="0.25">
      <c r="A323" s="3"/>
      <c r="B323" s="3"/>
      <c r="C323" s="3"/>
      <c r="D323" s="3"/>
      <c r="E323" s="3"/>
      <c r="F323" s="3"/>
      <c r="G323" s="3"/>
      <c r="H323" s="3"/>
      <c r="I323" s="3"/>
    </row>
    <row r="324" spans="1:9" x14ac:dyDescent="0.25">
      <c r="A324" s="3"/>
      <c r="B324" s="3"/>
      <c r="C324" s="3"/>
      <c r="D324" s="3"/>
      <c r="E324" s="3"/>
      <c r="F324" s="3"/>
      <c r="G324" s="3"/>
      <c r="H324" s="3"/>
      <c r="I324" s="3"/>
    </row>
    <row r="325" spans="1:9" x14ac:dyDescent="0.25">
      <c r="A325" s="3"/>
      <c r="B325" s="3"/>
      <c r="C325" s="3"/>
      <c r="D325" s="3"/>
      <c r="E325" s="3"/>
      <c r="F325" s="3"/>
      <c r="G325" s="3"/>
      <c r="H325" s="3"/>
      <c r="I325" s="3"/>
    </row>
    <row r="326" spans="1:9" x14ac:dyDescent="0.25">
      <c r="A326" s="3"/>
      <c r="B326" s="3"/>
      <c r="C326" s="3"/>
      <c r="D326" s="3"/>
      <c r="E326" s="3"/>
      <c r="F326" s="3"/>
      <c r="G326" s="3"/>
      <c r="H326" s="3"/>
      <c r="I326" s="3"/>
    </row>
    <row r="327" spans="1:9" x14ac:dyDescent="0.25">
      <c r="A327" s="3"/>
      <c r="B327" s="3"/>
      <c r="C327" s="3"/>
      <c r="D327" s="3"/>
      <c r="E327" s="3"/>
      <c r="F327" s="3"/>
      <c r="G327" s="3"/>
      <c r="H327" s="3"/>
      <c r="I327" s="3"/>
    </row>
    <row r="328" spans="1:9" x14ac:dyDescent="0.25">
      <c r="A328" s="3"/>
      <c r="B328" s="3"/>
      <c r="C328" s="3"/>
      <c r="D328" s="3"/>
      <c r="E328" s="3"/>
      <c r="F328" s="3"/>
      <c r="G328" s="3"/>
      <c r="H328" s="3"/>
      <c r="I328" s="3"/>
    </row>
    <row r="329" spans="1:9" x14ac:dyDescent="0.25">
      <c r="A329" s="3"/>
      <c r="B329" s="3"/>
      <c r="C329" s="3"/>
      <c r="D329" s="3"/>
      <c r="E329" s="3"/>
      <c r="F329" s="3"/>
      <c r="G329" s="3"/>
      <c r="H329" s="3"/>
      <c r="I329" s="3"/>
    </row>
    <row r="330" spans="1:9" x14ac:dyDescent="0.25">
      <c r="A330" s="3"/>
      <c r="B330" s="3"/>
      <c r="C330" s="3"/>
      <c r="D330" s="3"/>
      <c r="E330" s="3"/>
      <c r="F330" s="3"/>
      <c r="G330" s="3"/>
      <c r="H330" s="3"/>
      <c r="I330" s="3"/>
    </row>
    <row r="331" spans="1:9" x14ac:dyDescent="0.25">
      <c r="A331" s="3"/>
      <c r="B331" s="3"/>
      <c r="C331" s="3"/>
      <c r="D331" s="3"/>
      <c r="E331" s="3"/>
      <c r="F331" s="3"/>
      <c r="G331" s="3"/>
      <c r="H331" s="3"/>
      <c r="I331" s="3"/>
    </row>
    <row r="332" spans="1:9" x14ac:dyDescent="0.25">
      <c r="A332" s="3"/>
      <c r="B332" s="3"/>
      <c r="C332" s="3"/>
      <c r="D332" s="3"/>
      <c r="E332" s="3"/>
      <c r="F332" s="3"/>
      <c r="G332" s="3"/>
      <c r="H332" s="3"/>
      <c r="I332" s="3"/>
    </row>
    <row r="333" spans="1:9" x14ac:dyDescent="0.25">
      <c r="A333" s="3"/>
      <c r="B333" s="3"/>
      <c r="C333" s="3"/>
      <c r="D333" s="3"/>
      <c r="E333" s="3"/>
      <c r="F333" s="3"/>
      <c r="G333" s="3"/>
      <c r="H333" s="3"/>
      <c r="I333" s="3"/>
    </row>
    <row r="334" spans="1:9" x14ac:dyDescent="0.25">
      <c r="A334" s="3"/>
      <c r="B334" s="3"/>
      <c r="C334" s="3"/>
      <c r="D334" s="3"/>
      <c r="E334" s="3"/>
      <c r="F334" s="3"/>
      <c r="G334" s="3"/>
      <c r="H334" s="3"/>
      <c r="I334" s="3"/>
    </row>
    <row r="335" spans="1:9" x14ac:dyDescent="0.25">
      <c r="A335" s="3"/>
      <c r="B335" s="3"/>
      <c r="C335" s="3"/>
      <c r="D335" s="3"/>
      <c r="E335" s="3"/>
      <c r="F335" s="3"/>
      <c r="G335" s="3"/>
      <c r="H335" s="3"/>
      <c r="I335" s="3"/>
    </row>
    <row r="336" spans="1:9" x14ac:dyDescent="0.25">
      <c r="A336" s="3"/>
      <c r="B336" s="3"/>
      <c r="C336" s="3"/>
      <c r="D336" s="3"/>
      <c r="E336" s="3"/>
      <c r="F336" s="3"/>
      <c r="G336" s="3"/>
      <c r="H336" s="3"/>
      <c r="I336" s="3"/>
    </row>
    <row r="337" spans="1:9" x14ac:dyDescent="0.25">
      <c r="A337" s="3"/>
      <c r="B337" s="3"/>
      <c r="C337" s="3"/>
      <c r="D337" s="3"/>
      <c r="E337" s="3"/>
      <c r="F337" s="3"/>
      <c r="G337" s="3"/>
      <c r="H337" s="3"/>
      <c r="I337" s="3"/>
    </row>
    <row r="338" spans="1:9" x14ac:dyDescent="0.25">
      <c r="A338" s="3"/>
      <c r="B338" s="3"/>
      <c r="C338" s="3"/>
      <c r="D338" s="3"/>
      <c r="E338" s="3"/>
      <c r="F338" s="3"/>
      <c r="G338" s="3"/>
      <c r="H338" s="3"/>
      <c r="I338" s="3"/>
    </row>
    <row r="339" spans="1:9" x14ac:dyDescent="0.25">
      <c r="A339" s="3"/>
      <c r="B339" s="3"/>
      <c r="C339" s="3"/>
      <c r="D339" s="3"/>
      <c r="E339" s="3"/>
      <c r="F339" s="3"/>
      <c r="G339" s="3"/>
      <c r="H339" s="3"/>
      <c r="I339" s="3"/>
    </row>
    <row r="340" spans="1:9" x14ac:dyDescent="0.25">
      <c r="A340" s="3"/>
      <c r="B340" s="3"/>
      <c r="C340" s="3"/>
      <c r="D340" s="3"/>
      <c r="E340" s="3"/>
      <c r="F340" s="3"/>
      <c r="G340" s="3"/>
      <c r="H340" s="3"/>
      <c r="I340" s="3"/>
    </row>
    <row r="341" spans="1:9" x14ac:dyDescent="0.25">
      <c r="A341" s="3"/>
      <c r="B341" s="3"/>
      <c r="C341" s="3"/>
      <c r="D341" s="3"/>
      <c r="E341" s="3"/>
      <c r="F341" s="3"/>
      <c r="G341" s="3"/>
      <c r="H341" s="3"/>
      <c r="I341" s="3"/>
    </row>
    <row r="342" spans="1:9" x14ac:dyDescent="0.25">
      <c r="A342" s="3"/>
      <c r="B342" s="3"/>
      <c r="C342" s="3"/>
      <c r="D342" s="3"/>
      <c r="E342" s="3"/>
      <c r="F342" s="3"/>
      <c r="G342" s="3"/>
      <c r="H342" s="3"/>
      <c r="I342" s="3"/>
    </row>
    <row r="343" spans="1:9" x14ac:dyDescent="0.25">
      <c r="A343" s="3"/>
      <c r="B343" s="3"/>
      <c r="C343" s="3"/>
      <c r="D343" s="3"/>
      <c r="E343" s="3"/>
      <c r="F343" s="3"/>
      <c r="G343" s="3"/>
      <c r="H343" s="3"/>
      <c r="I343" s="3"/>
    </row>
    <row r="344" spans="1:9" x14ac:dyDescent="0.25">
      <c r="A344" s="3"/>
      <c r="B344" s="3"/>
      <c r="C344" s="3"/>
      <c r="D344" s="3"/>
      <c r="E344" s="3"/>
      <c r="F344" s="3"/>
      <c r="G344" s="3"/>
      <c r="H344" s="3"/>
      <c r="I344" s="3"/>
    </row>
    <row r="345" spans="1:9" x14ac:dyDescent="0.25">
      <c r="A345" s="3"/>
      <c r="B345" s="3"/>
      <c r="C345" s="3"/>
      <c r="D345" s="3"/>
      <c r="E345" s="3"/>
      <c r="F345" s="3"/>
      <c r="G345" s="3"/>
      <c r="H345" s="3"/>
      <c r="I345" s="3"/>
    </row>
    <row r="346" spans="1:9" x14ac:dyDescent="0.25">
      <c r="A346" s="3"/>
      <c r="B346" s="3"/>
      <c r="C346" s="3"/>
      <c r="D346" s="3"/>
      <c r="E346" s="3"/>
      <c r="F346" s="3"/>
      <c r="G346" s="3"/>
      <c r="H346" s="3"/>
      <c r="I346" s="3"/>
    </row>
    <row r="347" spans="1:9" x14ac:dyDescent="0.25">
      <c r="A347" s="3"/>
      <c r="B347" s="3"/>
      <c r="C347" s="3"/>
      <c r="D347" s="3"/>
      <c r="E347" s="3"/>
      <c r="F347" s="3"/>
      <c r="G347" s="3"/>
      <c r="H347" s="3"/>
      <c r="I347" s="3"/>
    </row>
    <row r="348" spans="1:9" x14ac:dyDescent="0.25">
      <c r="A348" s="3"/>
      <c r="B348" s="3"/>
      <c r="C348" s="3"/>
      <c r="D348" s="3"/>
      <c r="E348" s="3"/>
      <c r="F348" s="3"/>
      <c r="G348" s="3"/>
      <c r="H348" s="3"/>
      <c r="I348" s="3"/>
    </row>
    <row r="349" spans="1:9" x14ac:dyDescent="0.25">
      <c r="A349" s="3"/>
      <c r="B349" s="3"/>
      <c r="C349" s="3"/>
      <c r="D349" s="3"/>
      <c r="E349" s="3"/>
      <c r="F349" s="3"/>
      <c r="G349" s="3"/>
      <c r="H349" s="3"/>
      <c r="I349" s="3"/>
    </row>
    <row r="350" spans="1:9" x14ac:dyDescent="0.25">
      <c r="A350" s="3"/>
      <c r="B350" s="3"/>
      <c r="C350" s="3"/>
      <c r="D350" s="3"/>
      <c r="E350" s="3"/>
      <c r="F350" s="3"/>
      <c r="G350" s="3"/>
      <c r="H350" s="3"/>
      <c r="I350" s="3"/>
    </row>
    <row r="351" spans="1:9" x14ac:dyDescent="0.25">
      <c r="A351" s="3"/>
      <c r="B351" s="3"/>
      <c r="C351" s="3"/>
      <c r="D351" s="3"/>
      <c r="E351" s="3"/>
      <c r="F351" s="3"/>
      <c r="G351" s="3"/>
      <c r="H351" s="3"/>
      <c r="I351" s="3"/>
    </row>
    <row r="352" spans="1:9" x14ac:dyDescent="0.25">
      <c r="A352" s="3"/>
      <c r="B352" s="3"/>
      <c r="C352" s="3"/>
      <c r="D352" s="3"/>
      <c r="E352" s="3"/>
      <c r="F352" s="3"/>
      <c r="G352" s="3"/>
      <c r="H352" s="3"/>
      <c r="I352" s="3"/>
    </row>
    <row r="353" spans="1:9" x14ac:dyDescent="0.25">
      <c r="A353" s="3"/>
      <c r="B353" s="3"/>
      <c r="C353" s="3"/>
      <c r="D353" s="3"/>
      <c r="E353" s="3"/>
      <c r="F353" s="3"/>
      <c r="G353" s="3"/>
      <c r="H353" s="3"/>
      <c r="I353" s="3"/>
    </row>
    <row r="354" spans="1:9" x14ac:dyDescent="0.25">
      <c r="A354" s="3"/>
      <c r="B354" s="3"/>
      <c r="C354" s="3"/>
      <c r="D354" s="3"/>
      <c r="E354" s="3"/>
      <c r="F354" s="3"/>
      <c r="G354" s="3"/>
      <c r="H354" s="3"/>
      <c r="I354" s="3"/>
    </row>
    <row r="355" spans="1:9" x14ac:dyDescent="0.25">
      <c r="A355" s="3"/>
      <c r="B355" s="3"/>
      <c r="C355" s="3"/>
      <c r="D355" s="3"/>
      <c r="E355" s="3"/>
      <c r="F355" s="3"/>
      <c r="G355" s="3"/>
      <c r="H355" s="3"/>
      <c r="I355" s="3"/>
    </row>
    <row r="356" spans="1:9" x14ac:dyDescent="0.25">
      <c r="A356" s="3"/>
      <c r="B356" s="3"/>
      <c r="C356" s="3"/>
      <c r="D356" s="3"/>
      <c r="E356" s="3"/>
      <c r="F356" s="3"/>
      <c r="G356" s="3"/>
      <c r="H356" s="3"/>
      <c r="I356" s="3"/>
    </row>
    <row r="357" spans="1:9" x14ac:dyDescent="0.25">
      <c r="A357" s="3"/>
      <c r="B357" s="3"/>
      <c r="C357" s="3"/>
      <c r="D357" s="3"/>
      <c r="E357" s="3"/>
      <c r="F357" s="3"/>
      <c r="G357" s="3"/>
      <c r="H357" s="3"/>
      <c r="I357" s="3"/>
    </row>
    <row r="358" spans="1:9" x14ac:dyDescent="0.25">
      <c r="A358" s="3"/>
      <c r="B358" s="3"/>
      <c r="C358" s="3"/>
      <c r="D358" s="3"/>
      <c r="E358" s="3"/>
      <c r="F358" s="3"/>
      <c r="G358" s="3"/>
      <c r="H358" s="3"/>
      <c r="I358" s="3"/>
    </row>
    <row r="359" spans="1:9" x14ac:dyDescent="0.25">
      <c r="A359" s="3"/>
      <c r="B359" s="3"/>
      <c r="C359" s="3"/>
      <c r="D359" s="3"/>
      <c r="E359" s="3"/>
      <c r="F359" s="3"/>
      <c r="G359" s="3"/>
      <c r="H359" s="3"/>
      <c r="I359" s="3"/>
    </row>
    <row r="360" spans="1:9" x14ac:dyDescent="0.25">
      <c r="A360" s="3"/>
      <c r="B360" s="3"/>
      <c r="C360" s="3"/>
      <c r="D360" s="3"/>
      <c r="E360" s="3"/>
      <c r="F360" s="3"/>
      <c r="G360" s="3"/>
      <c r="H360" s="3"/>
      <c r="I360" s="3"/>
    </row>
    <row r="361" spans="1:9" x14ac:dyDescent="0.25">
      <c r="A361" s="3"/>
      <c r="B361" s="3"/>
      <c r="C361" s="3"/>
      <c r="D361" s="3"/>
      <c r="E361" s="3"/>
      <c r="F361" s="3"/>
      <c r="G361" s="3"/>
      <c r="H361" s="3"/>
      <c r="I361" s="3"/>
    </row>
    <row r="362" spans="1:9" x14ac:dyDescent="0.25">
      <c r="A362" s="3"/>
      <c r="B362" s="3"/>
      <c r="C362" s="3"/>
      <c r="D362" s="3"/>
      <c r="E362" s="3"/>
      <c r="F362" s="3"/>
      <c r="G362" s="3"/>
      <c r="H362" s="3"/>
      <c r="I362" s="3"/>
    </row>
    <row r="363" spans="1:9" x14ac:dyDescent="0.25">
      <c r="A363" s="3"/>
      <c r="B363" s="3"/>
      <c r="C363" s="3"/>
      <c r="D363" s="3"/>
      <c r="E363" s="3"/>
      <c r="F363" s="3"/>
      <c r="G363" s="3"/>
      <c r="H363" s="3"/>
      <c r="I363" s="3"/>
    </row>
    <row r="364" spans="1:9" x14ac:dyDescent="0.25">
      <c r="A364" s="3"/>
      <c r="B364" s="3"/>
      <c r="C364" s="3"/>
      <c r="D364" s="3"/>
      <c r="E364" s="3"/>
      <c r="F364" s="3"/>
      <c r="G364" s="3"/>
      <c r="H364" s="3"/>
      <c r="I364" s="3"/>
    </row>
    <row r="365" spans="1:9" x14ac:dyDescent="0.25">
      <c r="A365" s="3"/>
      <c r="B365" s="3"/>
      <c r="C365" s="3"/>
      <c r="D365" s="3"/>
      <c r="E365" s="3"/>
      <c r="F365" s="3"/>
      <c r="G365" s="3"/>
      <c r="H365" s="3"/>
      <c r="I365" s="3"/>
    </row>
    <row r="366" spans="1:9" x14ac:dyDescent="0.25">
      <c r="A366" s="3"/>
      <c r="B366" s="3"/>
      <c r="C366" s="3"/>
      <c r="D366" s="3"/>
      <c r="E366" s="3"/>
      <c r="F366" s="3"/>
      <c r="G366" s="3"/>
      <c r="H366" s="3"/>
      <c r="I366" s="3"/>
    </row>
    <row r="367" spans="1:9" x14ac:dyDescent="0.25">
      <c r="A367" s="3"/>
      <c r="B367" s="3"/>
      <c r="C367" s="3"/>
      <c r="D367" s="3"/>
      <c r="E367" s="3"/>
      <c r="F367" s="3"/>
      <c r="G367" s="3"/>
      <c r="H367" s="3"/>
      <c r="I367" s="3"/>
    </row>
    <row r="368" spans="1:9" x14ac:dyDescent="0.25">
      <c r="A368" s="3"/>
      <c r="B368" s="3"/>
      <c r="C368" s="3"/>
      <c r="D368" s="3"/>
      <c r="E368" s="3"/>
      <c r="F368" s="3"/>
      <c r="G368" s="3"/>
      <c r="H368" s="3"/>
      <c r="I368" s="3"/>
    </row>
    <row r="369" spans="1:9" x14ac:dyDescent="0.25">
      <c r="A369" s="3"/>
      <c r="B369" s="3"/>
      <c r="C369" s="3"/>
      <c r="D369" s="3"/>
      <c r="E369" s="3"/>
      <c r="F369" s="3"/>
      <c r="G369" s="3"/>
      <c r="H369" s="3"/>
      <c r="I369" s="3"/>
    </row>
    <row r="370" spans="1:9" x14ac:dyDescent="0.25">
      <c r="A370" s="3"/>
      <c r="B370" s="3"/>
      <c r="C370" s="3"/>
      <c r="D370" s="3"/>
      <c r="E370" s="3"/>
      <c r="F370" s="3"/>
      <c r="G370" s="3"/>
      <c r="H370" s="3"/>
      <c r="I370" s="3"/>
    </row>
    <row r="371" spans="1:9" x14ac:dyDescent="0.25">
      <c r="A371" s="3"/>
      <c r="B371" s="3"/>
      <c r="C371" s="3"/>
      <c r="D371" s="3"/>
      <c r="E371" s="3"/>
      <c r="F371" s="3"/>
      <c r="G371" s="3"/>
      <c r="H371" s="3"/>
      <c r="I371" s="3"/>
    </row>
    <row r="372" spans="1:9" x14ac:dyDescent="0.25">
      <c r="A372" s="3"/>
      <c r="B372" s="3"/>
      <c r="C372" s="3"/>
      <c r="D372" s="3"/>
      <c r="E372" s="3"/>
      <c r="F372" s="3"/>
      <c r="G372" s="3"/>
      <c r="H372" s="3"/>
      <c r="I372" s="3"/>
    </row>
    <row r="373" spans="1:9" x14ac:dyDescent="0.25">
      <c r="A373" s="3"/>
      <c r="B373" s="3"/>
      <c r="C373" s="3"/>
      <c r="D373" s="3"/>
      <c r="E373" s="3"/>
      <c r="F373" s="3"/>
      <c r="G373" s="3"/>
      <c r="H373" s="3"/>
      <c r="I373" s="3"/>
    </row>
    <row r="374" spans="1:9" x14ac:dyDescent="0.25">
      <c r="A374" s="3"/>
      <c r="B374" s="3"/>
      <c r="C374" s="3"/>
      <c r="D374" s="3"/>
      <c r="E374" s="3"/>
      <c r="F374" s="3"/>
      <c r="G374" s="3"/>
      <c r="H374" s="3"/>
      <c r="I374" s="3"/>
    </row>
    <row r="375" spans="1:9" x14ac:dyDescent="0.25">
      <c r="A375" s="3"/>
      <c r="B375" s="3"/>
      <c r="C375" s="3"/>
      <c r="D375" s="3"/>
      <c r="E375" s="3"/>
      <c r="F375" s="3"/>
      <c r="G375" s="3"/>
      <c r="H375" s="3"/>
      <c r="I375" s="3"/>
    </row>
    <row r="376" spans="1:9" x14ac:dyDescent="0.25">
      <c r="A376" s="3"/>
      <c r="B376" s="3"/>
      <c r="C376" s="3"/>
      <c r="D376" s="3"/>
      <c r="E376" s="3"/>
      <c r="F376" s="3"/>
      <c r="G376" s="3"/>
      <c r="H376" s="3"/>
      <c r="I376" s="3"/>
    </row>
    <row r="377" spans="1:9" x14ac:dyDescent="0.25">
      <c r="A377" s="3"/>
      <c r="B377" s="3"/>
      <c r="C377" s="3"/>
      <c r="D377" s="3"/>
      <c r="E377" s="3"/>
      <c r="F377" s="3"/>
      <c r="G377" s="3"/>
      <c r="H377" s="3"/>
      <c r="I377" s="3"/>
    </row>
    <row r="378" spans="1:9" x14ac:dyDescent="0.25">
      <c r="A378" s="3"/>
      <c r="B378" s="3"/>
      <c r="C378" s="3"/>
      <c r="D378" s="3"/>
      <c r="E378" s="3"/>
      <c r="F378" s="3"/>
      <c r="G378" s="3"/>
      <c r="H378" s="3"/>
      <c r="I378" s="3"/>
    </row>
    <row r="379" spans="1:9" x14ac:dyDescent="0.25">
      <c r="A379" s="3"/>
      <c r="B379" s="3"/>
      <c r="C379" s="3"/>
      <c r="D379" s="3"/>
      <c r="E379" s="3"/>
      <c r="F379" s="3"/>
      <c r="G379" s="3"/>
      <c r="H379" s="3"/>
      <c r="I379" s="3"/>
    </row>
    <row r="380" spans="1:9" x14ac:dyDescent="0.25">
      <c r="A380" s="3"/>
      <c r="B380" s="3"/>
      <c r="C380" s="3"/>
      <c r="D380" s="3"/>
      <c r="E380" s="3"/>
      <c r="F380" s="3"/>
      <c r="G380" s="3"/>
      <c r="H380" s="3"/>
      <c r="I380" s="3"/>
    </row>
    <row r="381" spans="1:9" x14ac:dyDescent="0.25">
      <c r="A381" s="3"/>
      <c r="B381" s="3"/>
      <c r="C381" s="3"/>
      <c r="D381" s="3"/>
      <c r="E381" s="3"/>
      <c r="F381" s="3"/>
      <c r="G381" s="3"/>
      <c r="H381" s="3"/>
      <c r="I381" s="3"/>
    </row>
    <row r="382" spans="1:9" x14ac:dyDescent="0.25">
      <c r="A382" s="3"/>
      <c r="B382" s="3"/>
      <c r="C382" s="3"/>
      <c r="D382" s="3"/>
      <c r="E382" s="3"/>
      <c r="F382" s="3"/>
      <c r="G382" s="3"/>
      <c r="H382" s="3"/>
      <c r="I382" s="3"/>
    </row>
    <row r="383" spans="1:9" x14ac:dyDescent="0.25">
      <c r="A383" s="3"/>
      <c r="B383" s="3"/>
      <c r="C383" s="3"/>
      <c r="D383" s="3"/>
      <c r="E383" s="3"/>
      <c r="F383" s="3"/>
      <c r="G383" s="3"/>
      <c r="H383" s="3"/>
      <c r="I383" s="3"/>
    </row>
    <row r="384" spans="1:9" x14ac:dyDescent="0.25">
      <c r="A384" s="3"/>
      <c r="B384" s="3"/>
      <c r="C384" s="3"/>
      <c r="D384" s="3"/>
      <c r="E384" s="3"/>
      <c r="F384" s="3"/>
      <c r="G384" s="3"/>
      <c r="H384" s="3"/>
      <c r="I384" s="3"/>
    </row>
    <row r="385" spans="1:9" x14ac:dyDescent="0.25">
      <c r="A385" s="3"/>
      <c r="B385" s="3"/>
      <c r="C385" s="3"/>
      <c r="D385" s="3"/>
      <c r="E385" s="3"/>
      <c r="F385" s="3"/>
      <c r="G385" s="3"/>
      <c r="H385" s="3"/>
      <c r="I385" s="3"/>
    </row>
    <row r="386" spans="1:9" x14ac:dyDescent="0.25">
      <c r="A386" s="3"/>
      <c r="B386" s="3"/>
      <c r="C386" s="3"/>
      <c r="D386" s="3"/>
      <c r="E386" s="3"/>
      <c r="F386" s="3"/>
      <c r="G386" s="3"/>
      <c r="H386" s="3"/>
      <c r="I386" s="3"/>
    </row>
    <row r="387" spans="1:9" x14ac:dyDescent="0.25">
      <c r="A387" s="3"/>
      <c r="B387" s="3"/>
      <c r="C387" s="3"/>
      <c r="D387" s="3"/>
      <c r="E387" s="3"/>
      <c r="F387" s="3"/>
      <c r="G387" s="3"/>
      <c r="H387" s="3"/>
      <c r="I387" s="3"/>
    </row>
    <row r="388" spans="1:9" x14ac:dyDescent="0.25">
      <c r="A388" s="3"/>
      <c r="B388" s="3"/>
      <c r="C388" s="3"/>
      <c r="D388" s="3"/>
      <c r="E388" s="3"/>
      <c r="F388" s="3"/>
      <c r="G388" s="3"/>
      <c r="H388" s="3"/>
      <c r="I388" s="3"/>
    </row>
    <row r="389" spans="1:9" x14ac:dyDescent="0.25">
      <c r="A389" s="3"/>
      <c r="B389" s="3"/>
      <c r="C389" s="3"/>
      <c r="D389" s="3"/>
      <c r="E389" s="3"/>
      <c r="F389" s="3"/>
      <c r="G389" s="3"/>
      <c r="H389" s="3"/>
      <c r="I389" s="3"/>
    </row>
    <row r="390" spans="1:9" x14ac:dyDescent="0.25">
      <c r="A390" s="3"/>
      <c r="B390" s="3"/>
      <c r="C390" s="3"/>
      <c r="D390" s="3"/>
      <c r="E390" s="3"/>
      <c r="F390" s="3"/>
      <c r="G390" s="3"/>
      <c r="H390" s="3"/>
      <c r="I390" s="3"/>
    </row>
    <row r="391" spans="1:9" x14ac:dyDescent="0.25">
      <c r="A391" s="3"/>
      <c r="B391" s="3"/>
      <c r="C391" s="3"/>
      <c r="D391" s="3"/>
      <c r="E391" s="3"/>
      <c r="F391" s="3"/>
      <c r="G391" s="3"/>
      <c r="H391" s="3"/>
      <c r="I391" s="3"/>
    </row>
    <row r="392" spans="1:9" x14ac:dyDescent="0.25">
      <c r="A392" s="3"/>
      <c r="B392" s="3"/>
      <c r="C392" s="3"/>
      <c r="D392" s="3"/>
      <c r="E392" s="3"/>
      <c r="F392" s="3"/>
      <c r="G392" s="3"/>
      <c r="H392" s="3"/>
      <c r="I392" s="3"/>
    </row>
    <row r="393" spans="1:9" x14ac:dyDescent="0.25">
      <c r="A393" s="3"/>
      <c r="B393" s="3"/>
      <c r="C393" s="3"/>
      <c r="D393" s="3"/>
      <c r="E393" s="3"/>
      <c r="F393" s="3"/>
      <c r="G393" s="3"/>
      <c r="H393" s="3"/>
      <c r="I393" s="3"/>
    </row>
    <row r="394" spans="1:9" x14ac:dyDescent="0.25">
      <c r="A394" s="3"/>
      <c r="B394" s="3"/>
      <c r="C394" s="3"/>
      <c r="D394" s="3"/>
      <c r="E394" s="3"/>
      <c r="F394" s="3"/>
      <c r="G394" s="3"/>
      <c r="H394" s="3"/>
      <c r="I394" s="3"/>
    </row>
    <row r="395" spans="1:9" x14ac:dyDescent="0.25">
      <c r="A395" s="3"/>
      <c r="B395" s="3"/>
      <c r="C395" s="3"/>
      <c r="D395" s="3"/>
      <c r="E395" s="3"/>
      <c r="F395" s="3"/>
      <c r="G395" s="3"/>
      <c r="H395" s="3"/>
      <c r="I395" s="3"/>
    </row>
    <row r="396" spans="1:9" x14ac:dyDescent="0.25">
      <c r="A396" s="3"/>
      <c r="B396" s="3"/>
      <c r="C396" s="3"/>
      <c r="D396" s="3"/>
      <c r="E396" s="3"/>
      <c r="F396" s="3"/>
      <c r="G396" s="3"/>
      <c r="H396" s="3"/>
      <c r="I396" s="3"/>
    </row>
    <row r="397" spans="1:9" x14ac:dyDescent="0.25">
      <c r="A397" s="3"/>
      <c r="B397" s="3"/>
      <c r="C397" s="3"/>
      <c r="D397" s="3"/>
      <c r="E397" s="3"/>
      <c r="F397" s="3"/>
      <c r="G397" s="3"/>
      <c r="H397" s="3"/>
      <c r="I397" s="3"/>
    </row>
    <row r="398" spans="1:9" x14ac:dyDescent="0.25">
      <c r="A398" s="3"/>
      <c r="B398" s="3"/>
      <c r="C398" s="3"/>
      <c r="D398" s="3"/>
      <c r="E398" s="3"/>
      <c r="F398" s="3"/>
      <c r="G398" s="3"/>
      <c r="H398" s="3"/>
      <c r="I398" s="3"/>
    </row>
    <row r="399" spans="1:9" x14ac:dyDescent="0.25">
      <c r="A399" s="3"/>
      <c r="B399" s="3"/>
      <c r="C399" s="3"/>
      <c r="D399" s="3"/>
      <c r="E399" s="3"/>
      <c r="F399" s="3"/>
      <c r="G399" s="3"/>
      <c r="H399" s="3"/>
      <c r="I399" s="3"/>
    </row>
    <row r="400" spans="1:9" x14ac:dyDescent="0.25">
      <c r="A400" s="3"/>
      <c r="B400" s="3"/>
      <c r="C400" s="3"/>
      <c r="D400" s="3"/>
      <c r="E400" s="3"/>
      <c r="F400" s="3"/>
      <c r="G400" s="3"/>
      <c r="H400" s="3"/>
      <c r="I400" s="3"/>
    </row>
    <row r="401" spans="1:9" x14ac:dyDescent="0.25">
      <c r="A401" s="3"/>
      <c r="B401" s="3"/>
      <c r="C401" s="3"/>
      <c r="D401" s="3"/>
      <c r="E401" s="3"/>
      <c r="F401" s="3"/>
      <c r="G401" s="3"/>
      <c r="H401" s="3"/>
      <c r="I401" s="3"/>
    </row>
    <row r="402" spans="1:9" x14ac:dyDescent="0.25">
      <c r="A402" s="3"/>
      <c r="B402" s="3"/>
      <c r="C402" s="3"/>
      <c r="D402" s="3"/>
      <c r="E402" s="3"/>
      <c r="F402" s="3"/>
      <c r="G402" s="3"/>
      <c r="H402" s="3"/>
      <c r="I402" s="3"/>
    </row>
    <row r="403" spans="1:9" x14ac:dyDescent="0.25">
      <c r="A403" s="3"/>
      <c r="B403" s="3"/>
      <c r="C403" s="3"/>
      <c r="D403" s="3"/>
      <c r="E403" s="3"/>
      <c r="F403" s="3"/>
      <c r="G403" s="3"/>
      <c r="H403" s="3"/>
      <c r="I403" s="3"/>
    </row>
    <row r="404" spans="1:9" x14ac:dyDescent="0.25">
      <c r="A404" s="3"/>
      <c r="B404" s="3"/>
      <c r="C404" s="3"/>
      <c r="D404" s="3"/>
      <c r="E404" s="3"/>
      <c r="F404" s="3"/>
      <c r="G404" s="3"/>
      <c r="H404" s="3"/>
      <c r="I404" s="3"/>
    </row>
    <row r="405" spans="1:9" x14ac:dyDescent="0.25">
      <c r="A405" s="3"/>
      <c r="B405" s="3"/>
      <c r="C405" s="3"/>
      <c r="D405" s="3"/>
      <c r="E405" s="3"/>
      <c r="F405" s="3"/>
      <c r="G405" s="3"/>
      <c r="H405" s="3"/>
      <c r="I405" s="3"/>
    </row>
    <row r="406" spans="1:9" x14ac:dyDescent="0.25">
      <c r="A406" s="3"/>
      <c r="B406" s="3"/>
      <c r="C406" s="3"/>
      <c r="D406" s="3"/>
      <c r="E406" s="3"/>
      <c r="F406" s="3"/>
      <c r="G406" s="3"/>
      <c r="H406" s="3"/>
      <c r="I406" s="3"/>
    </row>
    <row r="407" spans="1:9" x14ac:dyDescent="0.25">
      <c r="A407" s="3"/>
      <c r="B407" s="3"/>
      <c r="C407" s="3"/>
      <c r="D407" s="3"/>
      <c r="E407" s="3"/>
      <c r="F407" s="3"/>
      <c r="G407" s="3"/>
      <c r="H407" s="3"/>
      <c r="I407" s="3"/>
    </row>
    <row r="408" spans="1:9" x14ac:dyDescent="0.25">
      <c r="A408" s="3"/>
      <c r="B408" s="3"/>
      <c r="C408" s="3"/>
      <c r="D408" s="3"/>
      <c r="E408" s="3"/>
      <c r="F408" s="3"/>
      <c r="G408" s="3"/>
      <c r="H408" s="3"/>
      <c r="I408" s="3"/>
    </row>
    <row r="409" spans="1:9" x14ac:dyDescent="0.25">
      <c r="A409" s="3"/>
      <c r="B409" s="3"/>
      <c r="C409" s="3"/>
      <c r="D409" s="3"/>
      <c r="E409" s="3"/>
      <c r="F409" s="3"/>
      <c r="G409" s="3"/>
      <c r="H409" s="3"/>
      <c r="I409" s="3"/>
    </row>
    <row r="410" spans="1:9" x14ac:dyDescent="0.25">
      <c r="A410" s="3"/>
      <c r="B410" s="3"/>
      <c r="C410" s="3"/>
      <c r="D410" s="3"/>
      <c r="E410" s="3"/>
      <c r="F410" s="3"/>
      <c r="G410" s="3"/>
      <c r="H410" s="3"/>
      <c r="I410" s="3"/>
    </row>
    <row r="411" spans="1:9" x14ac:dyDescent="0.25">
      <c r="A411" s="3"/>
      <c r="B411" s="3"/>
      <c r="C411" s="3"/>
      <c r="D411" s="3"/>
      <c r="E411" s="3"/>
      <c r="F411" s="3"/>
      <c r="G411" s="3"/>
      <c r="H411" s="3"/>
      <c r="I411" s="3"/>
    </row>
    <row r="412" spans="1:9" x14ac:dyDescent="0.25">
      <c r="A412" s="3"/>
      <c r="B412" s="3"/>
      <c r="C412" s="3"/>
      <c r="D412" s="3"/>
      <c r="E412" s="3"/>
      <c r="F412" s="3"/>
      <c r="G412" s="3"/>
      <c r="H412" s="3"/>
      <c r="I412" s="3"/>
    </row>
    <row r="413" spans="1:9" x14ac:dyDescent="0.25">
      <c r="A413" s="3"/>
      <c r="B413" s="3"/>
      <c r="C413" s="3"/>
      <c r="D413" s="3"/>
      <c r="E413" s="3"/>
      <c r="F413" s="3"/>
      <c r="G413" s="3"/>
      <c r="H413" s="3"/>
      <c r="I413" s="3"/>
    </row>
    <row r="414" spans="1:9" x14ac:dyDescent="0.25">
      <c r="A414" s="3"/>
      <c r="B414" s="3"/>
      <c r="C414" s="3"/>
      <c r="D414" s="3"/>
      <c r="E414" s="3"/>
      <c r="F414" s="3"/>
      <c r="G414" s="3"/>
      <c r="H414" s="3"/>
      <c r="I414" s="3"/>
    </row>
    <row r="415" spans="1:9" x14ac:dyDescent="0.25">
      <c r="A415" s="3"/>
      <c r="B415" s="3"/>
      <c r="C415" s="3"/>
      <c r="D415" s="3"/>
      <c r="E415" s="3"/>
      <c r="F415" s="3"/>
      <c r="G415" s="3"/>
      <c r="H415" s="3"/>
      <c r="I415" s="3"/>
    </row>
    <row r="416" spans="1:9" x14ac:dyDescent="0.25">
      <c r="A416" s="3"/>
      <c r="B416" s="3"/>
      <c r="C416" s="3"/>
      <c r="D416" s="3"/>
      <c r="E416" s="3"/>
      <c r="F416" s="3"/>
      <c r="G416" s="3"/>
      <c r="H416" s="3"/>
      <c r="I416" s="3"/>
    </row>
    <row r="417" spans="1:9" x14ac:dyDescent="0.25">
      <c r="A417" s="3"/>
      <c r="B417" s="3"/>
      <c r="C417" s="3"/>
      <c r="D417" s="3"/>
      <c r="E417" s="3"/>
      <c r="F417" s="3"/>
      <c r="G417" s="3"/>
      <c r="H417" s="3"/>
      <c r="I417" s="3"/>
    </row>
    <row r="418" spans="1:9" x14ac:dyDescent="0.25">
      <c r="A418" s="3"/>
      <c r="B418" s="3"/>
      <c r="C418" s="3"/>
      <c r="D418" s="3"/>
      <c r="E418" s="3"/>
      <c r="F418" s="3"/>
      <c r="G418" s="3"/>
      <c r="H418" s="3"/>
      <c r="I418" s="3"/>
    </row>
    <row r="419" spans="1:9" x14ac:dyDescent="0.25">
      <c r="A419" s="3"/>
      <c r="B419" s="3"/>
      <c r="C419" s="3"/>
      <c r="D419" s="3"/>
      <c r="E419" s="3"/>
      <c r="F419" s="3"/>
      <c r="G419" s="3"/>
      <c r="H419" s="3"/>
      <c r="I419" s="3"/>
    </row>
    <row r="420" spans="1:9" x14ac:dyDescent="0.25">
      <c r="A420" s="3"/>
      <c r="B420" s="3"/>
      <c r="C420" s="3"/>
      <c r="D420" s="3"/>
      <c r="E420" s="3"/>
      <c r="F420" s="3"/>
      <c r="G420" s="3"/>
      <c r="H420" s="3"/>
      <c r="I420" s="3"/>
    </row>
    <row r="421" spans="1:9" x14ac:dyDescent="0.25">
      <c r="A421" s="3"/>
      <c r="B421" s="3"/>
      <c r="C421" s="3"/>
      <c r="D421" s="3"/>
      <c r="E421" s="3"/>
      <c r="F421" s="3"/>
      <c r="G421" s="3"/>
      <c r="H421" s="3"/>
      <c r="I421" s="3"/>
    </row>
    <row r="422" spans="1:9" x14ac:dyDescent="0.25">
      <c r="A422" s="3"/>
      <c r="B422" s="3"/>
      <c r="C422" s="3"/>
      <c r="D422" s="3"/>
      <c r="E422" s="3"/>
      <c r="F422" s="3"/>
      <c r="G422" s="3"/>
      <c r="H422" s="3"/>
      <c r="I422" s="3"/>
    </row>
    <row r="423" spans="1:9" x14ac:dyDescent="0.25">
      <c r="A423" s="3"/>
      <c r="B423" s="3"/>
      <c r="C423" s="3"/>
      <c r="D423" s="3"/>
      <c r="E423" s="3"/>
      <c r="F423" s="3"/>
      <c r="G423" s="3"/>
      <c r="H423" s="3"/>
      <c r="I423" s="3"/>
    </row>
    <row r="424" spans="1:9" x14ac:dyDescent="0.25">
      <c r="A424" s="3"/>
      <c r="B424" s="3"/>
      <c r="C424" s="3"/>
      <c r="D424" s="3"/>
      <c r="E424" s="3"/>
      <c r="F424" s="3"/>
      <c r="G424" s="3"/>
      <c r="H424" s="3"/>
      <c r="I424" s="3"/>
    </row>
    <row r="425" spans="1:9" x14ac:dyDescent="0.25">
      <c r="A425" s="3"/>
      <c r="B425" s="3"/>
      <c r="C425" s="3"/>
      <c r="D425" s="3"/>
      <c r="E425" s="3"/>
      <c r="F425" s="3"/>
      <c r="G425" s="3"/>
      <c r="H425" s="3"/>
      <c r="I425" s="3"/>
    </row>
    <row r="426" spans="1:9" x14ac:dyDescent="0.25">
      <c r="A426" s="3"/>
      <c r="B426" s="3"/>
      <c r="C426" s="3"/>
      <c r="D426" s="3"/>
      <c r="E426" s="3"/>
      <c r="F426" s="3"/>
      <c r="G426" s="3"/>
      <c r="H426" s="3"/>
      <c r="I426" s="3"/>
    </row>
    <row r="427" spans="1:9" x14ac:dyDescent="0.25">
      <c r="A427" s="3"/>
      <c r="B427" s="3"/>
      <c r="C427" s="3"/>
      <c r="D427" s="3"/>
      <c r="E427" s="3"/>
      <c r="F427" s="3"/>
      <c r="G427" s="3"/>
      <c r="H427" s="3"/>
      <c r="I427" s="3"/>
    </row>
    <row r="428" spans="1:9" x14ac:dyDescent="0.25">
      <c r="A428" s="3"/>
      <c r="B428" s="3"/>
      <c r="C428" s="3"/>
      <c r="D428" s="3"/>
      <c r="E428" s="3"/>
      <c r="F428" s="3"/>
      <c r="G428" s="3"/>
      <c r="H428" s="3"/>
      <c r="I428" s="3"/>
    </row>
    <row r="429" spans="1:9" x14ac:dyDescent="0.25">
      <c r="A429" s="3"/>
      <c r="B429" s="3"/>
      <c r="C429" s="3"/>
      <c r="D429" s="3"/>
      <c r="E429" s="3"/>
      <c r="F429" s="3"/>
      <c r="G429" s="3"/>
      <c r="H429" s="3"/>
      <c r="I429" s="3"/>
    </row>
    <row r="430" spans="1:9" x14ac:dyDescent="0.25">
      <c r="A430" s="3"/>
      <c r="B430" s="3"/>
      <c r="C430" s="3"/>
      <c r="D430" s="3"/>
      <c r="E430" s="3"/>
      <c r="F430" s="3"/>
      <c r="G430" s="3"/>
      <c r="H430" s="3"/>
      <c r="I430" s="3"/>
    </row>
    <row r="431" spans="1:9" x14ac:dyDescent="0.25">
      <c r="A431" s="3"/>
      <c r="B431" s="3"/>
      <c r="C431" s="3"/>
      <c r="D431" s="3"/>
      <c r="E431" s="3"/>
      <c r="F431" s="3"/>
      <c r="G431" s="3"/>
      <c r="H431" s="3"/>
      <c r="I431" s="3"/>
    </row>
    <row r="432" spans="1:9" x14ac:dyDescent="0.25">
      <c r="A432" s="3"/>
      <c r="B432" s="3"/>
      <c r="C432" s="3"/>
      <c r="D432" s="3"/>
      <c r="E432" s="3"/>
      <c r="F432" s="3"/>
      <c r="G432" s="3"/>
      <c r="H432" s="3"/>
      <c r="I432" s="3"/>
    </row>
    <row r="433" spans="1:9" x14ac:dyDescent="0.25">
      <c r="A433" s="3"/>
      <c r="B433" s="3"/>
      <c r="C433" s="3"/>
      <c r="D433" s="3"/>
      <c r="E433" s="3"/>
      <c r="F433" s="3"/>
      <c r="G433" s="3"/>
      <c r="H433" s="3"/>
      <c r="I433" s="3"/>
    </row>
    <row r="434" spans="1:9" x14ac:dyDescent="0.25">
      <c r="A434" s="3"/>
      <c r="B434" s="3"/>
      <c r="C434" s="3"/>
      <c r="D434" s="3"/>
      <c r="E434" s="3"/>
      <c r="F434" s="3"/>
      <c r="G434" s="3"/>
      <c r="H434" s="3"/>
      <c r="I434" s="3"/>
    </row>
    <row r="435" spans="1:9" x14ac:dyDescent="0.25">
      <c r="A435" s="3"/>
      <c r="B435" s="3"/>
      <c r="C435" s="3"/>
      <c r="D435" s="3"/>
      <c r="E435" s="3"/>
      <c r="F435" s="3"/>
      <c r="G435" s="3"/>
      <c r="H435" s="3"/>
      <c r="I435" s="3"/>
    </row>
    <row r="436" spans="1:9" x14ac:dyDescent="0.25">
      <c r="A436" s="3"/>
      <c r="B436" s="3"/>
      <c r="C436" s="3"/>
      <c r="D436" s="3"/>
      <c r="E436" s="3"/>
      <c r="F436" s="3"/>
      <c r="G436" s="3"/>
      <c r="H436" s="3"/>
      <c r="I436" s="3"/>
    </row>
    <row r="437" spans="1:9" x14ac:dyDescent="0.25">
      <c r="A437" s="3"/>
      <c r="B437" s="3"/>
      <c r="C437" s="3"/>
      <c r="D437" s="3"/>
      <c r="E437" s="3"/>
      <c r="F437" s="3"/>
      <c r="G437" s="3"/>
      <c r="H437" s="3"/>
      <c r="I437" s="3"/>
    </row>
    <row r="438" spans="1:9" x14ac:dyDescent="0.25">
      <c r="A438" s="3"/>
      <c r="B438" s="3"/>
      <c r="C438" s="3"/>
      <c r="D438" s="3"/>
      <c r="E438" s="3"/>
      <c r="F438" s="3"/>
      <c r="G438" s="3"/>
      <c r="H438" s="3"/>
      <c r="I438" s="3"/>
    </row>
    <row r="439" spans="1:9" x14ac:dyDescent="0.25">
      <c r="A439" s="3"/>
      <c r="B439" s="3"/>
      <c r="C439" s="3"/>
      <c r="D439" s="3"/>
      <c r="E439" s="3"/>
      <c r="F439" s="3"/>
      <c r="G439" s="3"/>
      <c r="H439" s="3"/>
      <c r="I439" s="3"/>
    </row>
    <row r="440" spans="1:9" x14ac:dyDescent="0.25">
      <c r="A440" s="3"/>
      <c r="B440" s="3"/>
      <c r="C440" s="3"/>
      <c r="D440" s="3"/>
      <c r="E440" s="3"/>
      <c r="F440" s="3"/>
      <c r="G440" s="3"/>
      <c r="H440" s="3"/>
      <c r="I440" s="3"/>
    </row>
    <row r="441" spans="1:9" x14ac:dyDescent="0.25">
      <c r="A441" s="3"/>
      <c r="B441" s="3"/>
      <c r="C441" s="3"/>
      <c r="D441" s="3"/>
      <c r="E441" s="3"/>
      <c r="F441" s="3"/>
      <c r="G441" s="3"/>
      <c r="H441" s="3"/>
      <c r="I441" s="3"/>
    </row>
    <row r="442" spans="1:9" x14ac:dyDescent="0.25">
      <c r="A442" s="3"/>
      <c r="B442" s="3"/>
      <c r="C442" s="3"/>
      <c r="D442" s="3"/>
      <c r="E442" s="3"/>
      <c r="F442" s="3"/>
      <c r="G442" s="3"/>
      <c r="H442" s="3"/>
      <c r="I442" s="3"/>
    </row>
    <row r="443" spans="1:9" x14ac:dyDescent="0.25">
      <c r="A443" s="3"/>
      <c r="B443" s="3"/>
      <c r="C443" s="3"/>
      <c r="D443" s="3"/>
      <c r="E443" s="3"/>
      <c r="F443" s="3"/>
      <c r="G443" s="3"/>
      <c r="H443" s="3"/>
      <c r="I443" s="3"/>
    </row>
    <row r="444" spans="1:9" x14ac:dyDescent="0.25">
      <c r="A444" s="3"/>
      <c r="B444" s="3"/>
      <c r="C444" s="3"/>
      <c r="D444" s="3"/>
      <c r="E444" s="3"/>
      <c r="F444" s="3"/>
      <c r="G444" s="3"/>
      <c r="H444" s="3"/>
      <c r="I444" s="3"/>
    </row>
    <row r="445" spans="1:9" x14ac:dyDescent="0.25">
      <c r="A445" s="3"/>
      <c r="B445" s="3"/>
      <c r="C445" s="3"/>
      <c r="D445" s="3"/>
      <c r="E445" s="3"/>
      <c r="F445" s="3"/>
      <c r="G445" s="3"/>
      <c r="H445" s="3"/>
      <c r="I445" s="3"/>
    </row>
    <row r="446" spans="1:9" x14ac:dyDescent="0.25">
      <c r="A446" s="3"/>
      <c r="B446" s="3"/>
      <c r="C446" s="3"/>
      <c r="D446" s="3"/>
      <c r="E446" s="3"/>
      <c r="F446" s="3"/>
      <c r="G446" s="3"/>
      <c r="H446" s="3"/>
      <c r="I446" s="3"/>
    </row>
    <row r="447" spans="1:9" x14ac:dyDescent="0.25">
      <c r="A447" s="3"/>
      <c r="B447" s="3"/>
      <c r="C447" s="3"/>
      <c r="D447" s="3"/>
      <c r="E447" s="3"/>
      <c r="F447" s="3"/>
      <c r="G447" s="3"/>
      <c r="H447" s="3"/>
      <c r="I447" s="3"/>
    </row>
    <row r="448" spans="1:9" x14ac:dyDescent="0.25">
      <c r="A448" s="3"/>
      <c r="B448" s="3"/>
      <c r="C448" s="3"/>
      <c r="D448" s="3"/>
      <c r="E448" s="3"/>
      <c r="F448" s="3"/>
      <c r="G448" s="3"/>
      <c r="H448" s="3"/>
      <c r="I448" s="3"/>
    </row>
    <row r="449" spans="1:9" x14ac:dyDescent="0.25">
      <c r="A449" s="3"/>
      <c r="B449" s="3"/>
      <c r="C449" s="3"/>
      <c r="D449" s="3"/>
      <c r="E449" s="3"/>
      <c r="F449" s="3"/>
      <c r="G449" s="3"/>
      <c r="H449" s="3"/>
      <c r="I449" s="3"/>
    </row>
    <row r="450" spans="1:9" x14ac:dyDescent="0.25">
      <c r="A450" s="3"/>
      <c r="B450" s="3"/>
      <c r="C450" s="3"/>
      <c r="D450" s="3"/>
      <c r="E450" s="3"/>
      <c r="F450" s="3"/>
      <c r="G450" s="3"/>
      <c r="H450" s="3"/>
      <c r="I450" s="3"/>
    </row>
    <row r="451" spans="1:9" x14ac:dyDescent="0.25">
      <c r="A451" s="3"/>
      <c r="B451" s="3"/>
      <c r="C451" s="3"/>
      <c r="D451" s="3"/>
      <c r="E451" s="3"/>
      <c r="F451" s="3"/>
      <c r="G451" s="3"/>
      <c r="H451" s="3"/>
      <c r="I451" s="3"/>
    </row>
    <row r="452" spans="1:9" x14ac:dyDescent="0.25">
      <c r="A452" s="3"/>
      <c r="B452" s="3"/>
      <c r="C452" s="3"/>
      <c r="D452" s="3"/>
      <c r="E452" s="3"/>
      <c r="F452" s="3"/>
      <c r="G452" s="3"/>
      <c r="H452" s="3"/>
      <c r="I452" s="3"/>
    </row>
    <row r="453" spans="1:9" x14ac:dyDescent="0.25">
      <c r="A453" s="3"/>
      <c r="B453" s="3"/>
      <c r="C453" s="3"/>
      <c r="D453" s="3"/>
      <c r="E453" s="3"/>
      <c r="F453" s="3"/>
      <c r="G453" s="3"/>
      <c r="H453" s="3"/>
      <c r="I453" s="3"/>
    </row>
    <row r="454" spans="1:9" x14ac:dyDescent="0.25">
      <c r="A454" s="3"/>
      <c r="B454" s="3"/>
      <c r="C454" s="3"/>
      <c r="D454" s="3"/>
      <c r="E454" s="3"/>
      <c r="F454" s="3"/>
      <c r="G454" s="3"/>
      <c r="H454" s="3"/>
      <c r="I454" s="3"/>
    </row>
    <row r="455" spans="1:9" x14ac:dyDescent="0.25">
      <c r="A455" s="3"/>
      <c r="B455" s="3"/>
      <c r="C455" s="3"/>
      <c r="D455" s="3"/>
      <c r="E455" s="3"/>
      <c r="F455" s="3"/>
      <c r="G455" s="3"/>
      <c r="H455" s="3"/>
      <c r="I455" s="3"/>
    </row>
    <row r="456" spans="1:9" x14ac:dyDescent="0.25">
      <c r="A456" s="3"/>
      <c r="B456" s="3"/>
      <c r="C456" s="3"/>
      <c r="D456" s="3"/>
      <c r="E456" s="3"/>
      <c r="F456" s="3"/>
      <c r="G456" s="3"/>
      <c r="H456" s="3"/>
      <c r="I456" s="3"/>
    </row>
    <row r="457" spans="1:9" x14ac:dyDescent="0.25">
      <c r="A457" s="3"/>
      <c r="B457" s="3"/>
      <c r="C457" s="3"/>
      <c r="D457" s="3"/>
      <c r="E457" s="3"/>
      <c r="F457" s="3"/>
      <c r="G457" s="3"/>
      <c r="H457" s="3"/>
      <c r="I457" s="3"/>
    </row>
    <row r="458" spans="1:9" x14ac:dyDescent="0.25">
      <c r="A458" s="3"/>
      <c r="B458" s="3"/>
      <c r="C458" s="3"/>
      <c r="D458" s="3"/>
      <c r="E458" s="3"/>
      <c r="F458" s="3"/>
      <c r="G458" s="3"/>
      <c r="H458" s="3"/>
      <c r="I458" s="3"/>
    </row>
    <row r="459" spans="1:9" x14ac:dyDescent="0.25">
      <c r="A459" s="3"/>
      <c r="B459" s="3"/>
      <c r="C459" s="3"/>
      <c r="D459" s="3"/>
      <c r="E459" s="3"/>
      <c r="F459" s="3"/>
      <c r="G459" s="3"/>
      <c r="H459" s="3"/>
      <c r="I459" s="3"/>
    </row>
    <row r="460" spans="1:9" x14ac:dyDescent="0.25">
      <c r="A460" s="3"/>
      <c r="B460" s="3"/>
      <c r="C460" s="3"/>
      <c r="D460" s="3"/>
      <c r="E460" s="3"/>
      <c r="F460" s="3"/>
      <c r="G460" s="3"/>
      <c r="H460" s="3"/>
      <c r="I460" s="3"/>
    </row>
    <row r="461" spans="1:9" x14ac:dyDescent="0.25">
      <c r="A461" s="3"/>
      <c r="B461" s="3"/>
      <c r="C461" s="3"/>
      <c r="D461" s="3"/>
      <c r="E461" s="3"/>
      <c r="F461" s="3"/>
      <c r="G461" s="3"/>
      <c r="H461" s="3"/>
      <c r="I461" s="3"/>
    </row>
    <row r="462" spans="1:9" x14ac:dyDescent="0.25">
      <c r="A462" s="3"/>
      <c r="B462" s="3"/>
      <c r="C462" s="3"/>
      <c r="D462" s="3"/>
      <c r="E462" s="3"/>
      <c r="F462" s="3"/>
      <c r="G462" s="3"/>
      <c r="H462" s="3"/>
      <c r="I462" s="3"/>
    </row>
    <row r="463" spans="1:9" x14ac:dyDescent="0.25">
      <c r="A463" s="3"/>
      <c r="B463" s="3"/>
      <c r="C463" s="3"/>
      <c r="D463" s="3"/>
      <c r="E463" s="3"/>
      <c r="F463" s="3"/>
      <c r="G463" s="3"/>
      <c r="H463" s="3"/>
      <c r="I463" s="3"/>
    </row>
    <row r="464" spans="1:9" x14ac:dyDescent="0.25">
      <c r="A464" s="3"/>
      <c r="B464" s="3"/>
      <c r="C464" s="3"/>
      <c r="D464" s="3"/>
      <c r="E464" s="3"/>
      <c r="F464" s="3"/>
      <c r="G464" s="3"/>
      <c r="H464" s="3"/>
      <c r="I464" s="3"/>
    </row>
    <row r="465" spans="1:9" x14ac:dyDescent="0.25">
      <c r="A465" s="3"/>
      <c r="B465" s="3"/>
      <c r="C465" s="3"/>
      <c r="D465" s="3"/>
      <c r="E465" s="3"/>
      <c r="F465" s="3"/>
      <c r="G465" s="3"/>
      <c r="H465" s="3"/>
      <c r="I465" s="3"/>
    </row>
    <row r="466" spans="1:9" x14ac:dyDescent="0.25">
      <c r="A466" s="3"/>
      <c r="B466" s="3"/>
      <c r="C466" s="3"/>
      <c r="D466" s="3"/>
      <c r="E466" s="3"/>
      <c r="F466" s="3"/>
      <c r="G466" s="3"/>
      <c r="H466" s="3"/>
      <c r="I466" s="3"/>
    </row>
    <row r="467" spans="1:9" x14ac:dyDescent="0.25">
      <c r="A467" s="3"/>
      <c r="B467" s="3"/>
      <c r="C467" s="3"/>
      <c r="D467" s="3"/>
      <c r="E467" s="3"/>
      <c r="F467" s="3"/>
      <c r="G467" s="3"/>
      <c r="H467" s="3"/>
      <c r="I467" s="3"/>
    </row>
    <row r="468" spans="1:9" x14ac:dyDescent="0.25">
      <c r="A468" s="3"/>
      <c r="B468" s="3"/>
      <c r="C468" s="3"/>
      <c r="D468" s="3"/>
      <c r="E468" s="3"/>
      <c r="F468" s="3"/>
      <c r="G468" s="3"/>
      <c r="H468" s="3"/>
      <c r="I468" s="3"/>
    </row>
    <row r="469" spans="1:9" x14ac:dyDescent="0.25">
      <c r="A469" s="3"/>
      <c r="B469" s="3"/>
      <c r="C469" s="3"/>
      <c r="D469" s="3"/>
      <c r="E469" s="3"/>
      <c r="F469" s="3"/>
      <c r="G469" s="3"/>
      <c r="H469" s="3"/>
      <c r="I469" s="3"/>
    </row>
    <row r="470" spans="1:9" x14ac:dyDescent="0.25">
      <c r="A470" s="3"/>
      <c r="B470" s="3"/>
      <c r="C470" s="3"/>
      <c r="D470" s="3"/>
      <c r="E470" s="3"/>
      <c r="F470" s="3"/>
      <c r="G470" s="3"/>
      <c r="H470" s="3"/>
      <c r="I470" s="3"/>
    </row>
    <row r="471" spans="1:9" x14ac:dyDescent="0.25">
      <c r="A471" s="3"/>
      <c r="B471" s="3"/>
      <c r="C471" s="3"/>
      <c r="D471" s="3"/>
      <c r="E471" s="3"/>
      <c r="F471" s="3"/>
      <c r="G471" s="3"/>
      <c r="H471" s="3"/>
      <c r="I471" s="3"/>
    </row>
    <row r="472" spans="1:9" x14ac:dyDescent="0.25">
      <c r="A472" s="3"/>
      <c r="B472" s="3"/>
      <c r="C472" s="3"/>
      <c r="D472" s="3"/>
      <c r="E472" s="3"/>
      <c r="F472" s="3"/>
      <c r="G472" s="3"/>
      <c r="H472" s="3"/>
      <c r="I472" s="3"/>
    </row>
    <row r="473" spans="1:9" x14ac:dyDescent="0.25">
      <c r="A473" s="3"/>
      <c r="B473" s="3"/>
      <c r="C473" s="3"/>
      <c r="D473" s="3"/>
      <c r="E473" s="3"/>
      <c r="F473" s="3"/>
      <c r="G473" s="3"/>
      <c r="H473" s="3"/>
      <c r="I473" s="3"/>
    </row>
    <row r="474" spans="1:9" x14ac:dyDescent="0.25">
      <c r="A474" s="3"/>
      <c r="B474" s="3"/>
      <c r="C474" s="3"/>
      <c r="D474" s="3"/>
      <c r="E474" s="3"/>
      <c r="F474" s="3"/>
      <c r="G474" s="3"/>
      <c r="H474" s="3"/>
      <c r="I474" s="3"/>
    </row>
    <row r="475" spans="1:9" x14ac:dyDescent="0.25">
      <c r="A475" s="3"/>
      <c r="B475" s="3"/>
      <c r="C475" s="3"/>
      <c r="D475" s="3"/>
      <c r="E475" s="3"/>
      <c r="F475" s="3"/>
      <c r="G475" s="3"/>
      <c r="H475" s="3"/>
      <c r="I475" s="3"/>
    </row>
    <row r="476" spans="1:9" x14ac:dyDescent="0.25">
      <c r="A476" s="3"/>
      <c r="B476" s="3"/>
      <c r="C476" s="3"/>
      <c r="D476" s="3"/>
      <c r="E476" s="3"/>
      <c r="F476" s="3"/>
      <c r="G476" s="3"/>
      <c r="H476" s="3"/>
      <c r="I476" s="3"/>
    </row>
    <row r="477" spans="1:9" x14ac:dyDescent="0.25">
      <c r="A477" s="3"/>
      <c r="B477" s="3"/>
      <c r="C477" s="3"/>
      <c r="D477" s="3"/>
      <c r="E477" s="3"/>
      <c r="F477" s="3"/>
      <c r="G477" s="3"/>
      <c r="H477" s="3"/>
      <c r="I477" s="3"/>
    </row>
    <row r="478" spans="1:9" x14ac:dyDescent="0.25">
      <c r="A478" s="3"/>
      <c r="B478" s="3"/>
      <c r="C478" s="3"/>
      <c r="D478" s="3"/>
      <c r="E478" s="3"/>
      <c r="F478" s="3"/>
      <c r="G478" s="3"/>
      <c r="H478" s="3"/>
      <c r="I478" s="3"/>
    </row>
    <row r="479" spans="1:9" x14ac:dyDescent="0.25">
      <c r="A479" s="3"/>
      <c r="B479" s="3"/>
      <c r="C479" s="3"/>
      <c r="D479" s="3"/>
      <c r="E479" s="3"/>
      <c r="F479" s="3"/>
      <c r="G479" s="3"/>
      <c r="H479" s="3"/>
      <c r="I479" s="3"/>
    </row>
    <row r="480" spans="1:9" x14ac:dyDescent="0.25">
      <c r="A480" s="3"/>
      <c r="B480" s="3"/>
      <c r="C480" s="3"/>
      <c r="D480" s="3"/>
      <c r="E480" s="3"/>
      <c r="F480" s="3"/>
      <c r="G480" s="3"/>
      <c r="H480" s="3"/>
      <c r="I480" s="3"/>
    </row>
    <row r="481" spans="1:9" x14ac:dyDescent="0.25">
      <c r="A481" s="3"/>
      <c r="B481" s="3"/>
      <c r="C481" s="3"/>
      <c r="D481" s="3"/>
      <c r="E481" s="3"/>
      <c r="F481" s="3"/>
      <c r="G481" s="3"/>
      <c r="H481" s="3"/>
      <c r="I481" s="3"/>
    </row>
    <row r="482" spans="1:9" x14ac:dyDescent="0.25">
      <c r="A482" s="3"/>
      <c r="B482" s="3"/>
      <c r="C482" s="3"/>
      <c r="D482" s="3"/>
      <c r="E482" s="3"/>
      <c r="F482" s="3"/>
      <c r="G482" s="3"/>
      <c r="H482" s="3"/>
      <c r="I482" s="3"/>
    </row>
    <row r="483" spans="1:9" x14ac:dyDescent="0.25">
      <c r="A483" s="3"/>
      <c r="B483" s="3"/>
      <c r="C483" s="3"/>
      <c r="D483" s="3"/>
      <c r="E483" s="3"/>
      <c r="F483" s="3"/>
      <c r="G483" s="3"/>
      <c r="H483" s="3"/>
      <c r="I483" s="3"/>
    </row>
    <row r="484" spans="1:9" x14ac:dyDescent="0.25">
      <c r="A484" s="3"/>
      <c r="B484" s="3"/>
      <c r="C484" s="3"/>
      <c r="D484" s="3"/>
      <c r="E484" s="3"/>
      <c r="F484" s="3"/>
      <c r="G484" s="3"/>
      <c r="H484" s="3"/>
      <c r="I484" s="3"/>
    </row>
    <row r="485" spans="1:9" x14ac:dyDescent="0.25">
      <c r="A485" s="3"/>
      <c r="B485" s="3"/>
      <c r="C485" s="3"/>
      <c r="D485" s="3"/>
      <c r="E485" s="3"/>
      <c r="F485" s="3"/>
      <c r="G485" s="3"/>
      <c r="H485" s="3"/>
      <c r="I485" s="3"/>
    </row>
    <row r="486" spans="1:9" x14ac:dyDescent="0.25">
      <c r="A486" s="3"/>
      <c r="B486" s="3"/>
      <c r="C486" s="3"/>
      <c r="D486" s="3"/>
      <c r="E486" s="3"/>
      <c r="F486" s="3"/>
      <c r="G486" s="3"/>
      <c r="H486" s="3"/>
      <c r="I486" s="3"/>
    </row>
    <row r="487" spans="1:9" x14ac:dyDescent="0.25">
      <c r="A487" s="3"/>
      <c r="B487" s="3"/>
      <c r="C487" s="3"/>
      <c r="D487" s="3"/>
      <c r="E487" s="3"/>
      <c r="F487" s="3"/>
      <c r="G487" s="3"/>
      <c r="H487" s="3"/>
      <c r="I487" s="3"/>
    </row>
    <row r="488" spans="1:9" x14ac:dyDescent="0.25">
      <c r="A488" s="3"/>
      <c r="B488" s="3"/>
      <c r="C488" s="3"/>
      <c r="D488" s="3"/>
      <c r="E488" s="3"/>
      <c r="F488" s="3"/>
      <c r="G488" s="3"/>
      <c r="H488" s="3"/>
      <c r="I488" s="3"/>
    </row>
    <row r="489" spans="1:9" x14ac:dyDescent="0.25">
      <c r="A489" s="3"/>
      <c r="B489" s="3"/>
      <c r="C489" s="3"/>
      <c r="D489" s="3"/>
      <c r="E489" s="3"/>
      <c r="F489" s="3"/>
      <c r="G489" s="3"/>
      <c r="H489" s="3"/>
      <c r="I489" s="3"/>
    </row>
    <row r="490" spans="1:9" x14ac:dyDescent="0.25">
      <c r="A490" s="3"/>
      <c r="B490" s="3"/>
      <c r="C490" s="3"/>
      <c r="D490" s="3"/>
      <c r="E490" s="3"/>
      <c r="F490" s="3"/>
      <c r="G490" s="3"/>
      <c r="H490" s="3"/>
      <c r="I490" s="3"/>
    </row>
    <row r="491" spans="1:9" x14ac:dyDescent="0.25">
      <c r="A491" s="3"/>
      <c r="B491" s="3"/>
      <c r="C491" s="3"/>
      <c r="D491" s="3"/>
      <c r="E491" s="3"/>
      <c r="F491" s="3"/>
      <c r="G491" s="3"/>
      <c r="H491" s="3"/>
      <c r="I491" s="3"/>
    </row>
    <row r="492" spans="1:9" x14ac:dyDescent="0.25">
      <c r="A492" s="3"/>
      <c r="B492" s="3"/>
      <c r="C492" s="3"/>
      <c r="D492" s="3"/>
      <c r="E492" s="3"/>
      <c r="F492" s="3"/>
      <c r="G492" s="3"/>
      <c r="H492" s="3"/>
      <c r="I492" s="3"/>
    </row>
    <row r="493" spans="1:9" x14ac:dyDescent="0.25">
      <c r="A493" s="3"/>
      <c r="B493" s="3"/>
      <c r="C493" s="3"/>
      <c r="D493" s="3"/>
      <c r="E493" s="3"/>
      <c r="F493" s="3"/>
      <c r="G493" s="3"/>
      <c r="H493" s="3"/>
      <c r="I493" s="3"/>
    </row>
    <row r="494" spans="1:9" x14ac:dyDescent="0.25">
      <c r="A494" s="3"/>
      <c r="B494" s="3"/>
      <c r="C494" s="3"/>
      <c r="D494" s="3"/>
      <c r="E494" s="3"/>
      <c r="F494" s="3"/>
      <c r="G494" s="3"/>
      <c r="H494" s="3"/>
      <c r="I494" s="3"/>
    </row>
    <row r="495" spans="1:9" x14ac:dyDescent="0.25">
      <c r="A495" s="3"/>
      <c r="B495" s="3"/>
      <c r="C495" s="3"/>
      <c r="D495" s="3"/>
      <c r="E495" s="3"/>
      <c r="F495" s="3"/>
      <c r="G495" s="3"/>
      <c r="H495" s="3"/>
      <c r="I495" s="3"/>
    </row>
    <row r="496" spans="1:9" x14ac:dyDescent="0.25">
      <c r="A496" s="3"/>
      <c r="B496" s="3"/>
      <c r="C496" s="3"/>
      <c r="D496" s="3"/>
      <c r="E496" s="3"/>
      <c r="F496" s="3"/>
      <c r="G496" s="3"/>
      <c r="H496" s="3"/>
      <c r="I496" s="3"/>
    </row>
    <row r="497" spans="1:9" x14ac:dyDescent="0.25">
      <c r="A497" s="3"/>
      <c r="B497" s="3"/>
      <c r="C497" s="3"/>
      <c r="D497" s="3"/>
      <c r="E497" s="3"/>
      <c r="F497" s="3"/>
      <c r="G497" s="3"/>
      <c r="H497" s="3"/>
      <c r="I497" s="3"/>
    </row>
    <row r="498" spans="1:9" x14ac:dyDescent="0.25">
      <c r="A498" s="3"/>
      <c r="B498" s="3"/>
      <c r="C498" s="3"/>
      <c r="D498" s="3"/>
      <c r="E498" s="3"/>
      <c r="F498" s="3"/>
      <c r="G498" s="3"/>
      <c r="H498" s="3"/>
      <c r="I498" s="3"/>
    </row>
    <row r="499" spans="1:9" x14ac:dyDescent="0.25">
      <c r="A499" s="3"/>
      <c r="B499" s="3"/>
      <c r="C499" s="3"/>
      <c r="D499" s="3"/>
      <c r="E499" s="3"/>
      <c r="F499" s="3"/>
      <c r="G499" s="3"/>
      <c r="H499" s="3"/>
      <c r="I499" s="3"/>
    </row>
    <row r="500" spans="1:9" x14ac:dyDescent="0.25">
      <c r="A500" s="3"/>
      <c r="B500" s="3"/>
      <c r="C500" s="3"/>
      <c r="D500" s="3"/>
      <c r="E500" s="3"/>
      <c r="F500" s="3"/>
      <c r="G500" s="3"/>
      <c r="H500" s="3"/>
      <c r="I500" s="3"/>
    </row>
    <row r="501" spans="1:9" x14ac:dyDescent="0.25">
      <c r="A501" s="3"/>
      <c r="B501" s="3"/>
      <c r="C501" s="3"/>
      <c r="D501" s="3"/>
      <c r="E501" s="3"/>
      <c r="F501" s="3"/>
      <c r="G501" s="3"/>
      <c r="H501" s="3"/>
      <c r="I501" s="3"/>
    </row>
    <row r="502" spans="1:9" x14ac:dyDescent="0.25">
      <c r="A502" s="3"/>
      <c r="B502" s="3"/>
      <c r="C502" s="3"/>
      <c r="D502" s="3"/>
      <c r="E502" s="3"/>
      <c r="F502" s="3"/>
      <c r="G502" s="3"/>
      <c r="H502" s="3"/>
      <c r="I502" s="3"/>
    </row>
    <row r="503" spans="1:9" x14ac:dyDescent="0.25">
      <c r="A503" s="3"/>
      <c r="B503" s="3"/>
      <c r="C503" s="3"/>
      <c r="D503" s="3"/>
      <c r="E503" s="3"/>
      <c r="F503" s="3"/>
      <c r="G503" s="3"/>
      <c r="H503" s="3"/>
      <c r="I503" s="3"/>
    </row>
    <row r="504" spans="1:9" x14ac:dyDescent="0.25">
      <c r="A504" s="3"/>
      <c r="B504" s="3"/>
      <c r="C504" s="3"/>
      <c r="D504" s="3"/>
      <c r="E504" s="3"/>
      <c r="F504" s="3"/>
      <c r="G504" s="3"/>
      <c r="H504" s="3"/>
      <c r="I504" s="3"/>
    </row>
    <row r="505" spans="1:9" x14ac:dyDescent="0.25">
      <c r="A505" s="3"/>
      <c r="B505" s="3"/>
      <c r="C505" s="3"/>
      <c r="D505" s="3"/>
      <c r="E505" s="3"/>
      <c r="F505" s="3"/>
      <c r="G505" s="3"/>
      <c r="H505" s="3"/>
      <c r="I505" s="3"/>
    </row>
    <row r="506" spans="1:9" x14ac:dyDescent="0.25">
      <c r="A506" s="3"/>
      <c r="B506" s="3"/>
      <c r="C506" s="3"/>
      <c r="D506" s="3"/>
      <c r="E506" s="3"/>
      <c r="F506" s="3"/>
      <c r="G506" s="3"/>
      <c r="H506" s="3"/>
      <c r="I506" s="3"/>
    </row>
    <row r="507" spans="1:9" x14ac:dyDescent="0.25">
      <c r="A507" s="3"/>
      <c r="B507" s="3"/>
      <c r="C507" s="3"/>
      <c r="D507" s="3"/>
      <c r="E507" s="3"/>
      <c r="F507" s="3"/>
      <c r="G507" s="3"/>
      <c r="H507" s="3"/>
      <c r="I507" s="3"/>
    </row>
    <row r="508" spans="1:9" x14ac:dyDescent="0.25">
      <c r="A508" s="3"/>
      <c r="B508" s="3"/>
      <c r="C508" s="3"/>
      <c r="D508" s="3"/>
      <c r="E508" s="3"/>
      <c r="F508" s="3"/>
      <c r="G508" s="3"/>
      <c r="H508" s="3"/>
      <c r="I508" s="3"/>
    </row>
    <row r="509" spans="1:9" x14ac:dyDescent="0.25">
      <c r="A509" s="3"/>
      <c r="B509" s="3"/>
      <c r="C509" s="3"/>
      <c r="D509" s="3"/>
      <c r="E509" s="3"/>
      <c r="F509" s="3"/>
      <c r="G509" s="3"/>
      <c r="H509" s="3"/>
      <c r="I509" s="3"/>
    </row>
    <row r="510" spans="1:9" x14ac:dyDescent="0.25">
      <c r="A510" s="3"/>
      <c r="B510" s="3"/>
      <c r="C510" s="3"/>
      <c r="D510" s="3"/>
      <c r="E510" s="3"/>
      <c r="F510" s="3"/>
      <c r="G510" s="3"/>
      <c r="H510" s="3"/>
      <c r="I510" s="3"/>
    </row>
    <row r="511" spans="1:9" x14ac:dyDescent="0.25">
      <c r="A511" s="3"/>
      <c r="B511" s="3"/>
      <c r="C511" s="3"/>
      <c r="D511" s="3"/>
      <c r="E511" s="3"/>
      <c r="F511" s="3"/>
      <c r="G511" s="3"/>
      <c r="H511" s="3"/>
      <c r="I511" s="3"/>
    </row>
    <row r="512" spans="1:9" x14ac:dyDescent="0.25">
      <c r="A512" s="3"/>
      <c r="B512" s="3"/>
      <c r="C512" s="3"/>
      <c r="D512" s="3"/>
      <c r="E512" s="3"/>
      <c r="F512" s="3"/>
      <c r="G512" s="3"/>
      <c r="H512" s="3"/>
      <c r="I512" s="3"/>
    </row>
    <row r="513" spans="1:9" x14ac:dyDescent="0.25">
      <c r="A513" s="3"/>
      <c r="B513" s="3"/>
      <c r="C513" s="3"/>
      <c r="D513" s="3"/>
      <c r="E513" s="3"/>
      <c r="F513" s="3"/>
      <c r="G513" s="3"/>
      <c r="H513" s="3"/>
      <c r="I513" s="3"/>
    </row>
    <row r="514" spans="1:9" x14ac:dyDescent="0.25">
      <c r="A514" s="3"/>
      <c r="B514" s="3"/>
      <c r="C514" s="3"/>
      <c r="D514" s="3"/>
      <c r="E514" s="3"/>
      <c r="F514" s="3"/>
      <c r="G514" s="3"/>
      <c r="H514" s="3"/>
      <c r="I514" s="3"/>
    </row>
    <row r="515" spans="1:9" x14ac:dyDescent="0.25">
      <c r="A515" s="3"/>
      <c r="B515" s="3"/>
      <c r="C515" s="3"/>
      <c r="D515" s="3"/>
      <c r="E515" s="3"/>
      <c r="F515" s="3"/>
      <c r="G515" s="3"/>
      <c r="H515" s="3"/>
      <c r="I515" s="3"/>
    </row>
    <row r="516" spans="1:9" x14ac:dyDescent="0.25">
      <c r="A516" s="3"/>
      <c r="B516" s="3"/>
      <c r="C516" s="3"/>
      <c r="D516" s="3"/>
      <c r="E516" s="3"/>
      <c r="F516" s="3"/>
      <c r="G516" s="3"/>
      <c r="H516" s="3"/>
      <c r="I516" s="3"/>
    </row>
    <row r="517" spans="1:9" x14ac:dyDescent="0.25">
      <c r="A517" s="3"/>
      <c r="B517" s="3"/>
      <c r="C517" s="3"/>
      <c r="D517" s="3"/>
      <c r="E517" s="3"/>
      <c r="F517" s="3"/>
      <c r="G517" s="3"/>
      <c r="H517" s="3"/>
      <c r="I517" s="3"/>
    </row>
    <row r="518" spans="1:9" x14ac:dyDescent="0.25">
      <c r="A518" s="3"/>
      <c r="B518" s="3"/>
      <c r="C518" s="3"/>
      <c r="D518" s="3"/>
      <c r="E518" s="3"/>
      <c r="F518" s="3"/>
      <c r="G518" s="3"/>
      <c r="H518" s="3"/>
      <c r="I518" s="3"/>
    </row>
    <row r="519" spans="1:9" x14ac:dyDescent="0.25">
      <c r="A519" s="3"/>
      <c r="B519" s="3"/>
      <c r="C519" s="3"/>
      <c r="D519" s="3"/>
      <c r="E519" s="3"/>
      <c r="F519" s="3"/>
      <c r="G519" s="3"/>
      <c r="H519" s="3"/>
      <c r="I519" s="3"/>
    </row>
    <row r="520" spans="1:9" x14ac:dyDescent="0.25">
      <c r="A520" s="3"/>
      <c r="B520" s="3"/>
      <c r="C520" s="3"/>
      <c r="D520" s="3"/>
      <c r="E520" s="3"/>
      <c r="F520" s="3"/>
      <c r="G520" s="3"/>
      <c r="H520" s="3"/>
      <c r="I520" s="3"/>
    </row>
    <row r="521" spans="1:9" x14ac:dyDescent="0.25">
      <c r="A521" s="3"/>
      <c r="B521" s="3"/>
      <c r="C521" s="3"/>
      <c r="D521" s="3"/>
      <c r="E521" s="3"/>
      <c r="F521" s="3"/>
      <c r="G521" s="3"/>
      <c r="H521" s="3"/>
      <c r="I521" s="3"/>
    </row>
    <row r="522" spans="1:9" x14ac:dyDescent="0.25">
      <c r="A522" s="3"/>
      <c r="B522" s="3"/>
      <c r="C522" s="3"/>
      <c r="D522" s="3"/>
      <c r="E522" s="3"/>
      <c r="F522" s="3"/>
      <c r="G522" s="3"/>
      <c r="H522" s="3"/>
      <c r="I522" s="3"/>
    </row>
    <row r="523" spans="1:9" x14ac:dyDescent="0.25">
      <c r="A523" s="3"/>
      <c r="B523" s="3"/>
      <c r="C523" s="3"/>
      <c r="D523" s="3"/>
      <c r="E523" s="3"/>
      <c r="F523" s="3"/>
      <c r="G523" s="3"/>
      <c r="H523" s="3"/>
      <c r="I523" s="3"/>
    </row>
    <row r="524" spans="1:9" x14ac:dyDescent="0.25">
      <c r="A524" s="3"/>
      <c r="B524" s="3"/>
      <c r="C524" s="3"/>
      <c r="D524" s="3"/>
      <c r="E524" s="3"/>
      <c r="F524" s="3"/>
      <c r="G524" s="3"/>
      <c r="H524" s="3"/>
      <c r="I524" s="3"/>
    </row>
    <row r="525" spans="1:9" x14ac:dyDescent="0.25">
      <c r="A525" s="3"/>
      <c r="B525" s="3"/>
      <c r="C525" s="3"/>
      <c r="D525" s="3"/>
      <c r="E525" s="3"/>
      <c r="F525" s="3"/>
      <c r="G525" s="3"/>
      <c r="H525" s="3"/>
      <c r="I525" s="3"/>
    </row>
    <row r="526" spans="1:9" x14ac:dyDescent="0.25">
      <c r="A526" s="3"/>
      <c r="B526" s="3"/>
      <c r="C526" s="3"/>
      <c r="D526" s="3"/>
      <c r="E526" s="3"/>
      <c r="F526" s="3"/>
      <c r="G526" s="3"/>
      <c r="H526" s="3"/>
      <c r="I526" s="3"/>
    </row>
    <row r="527" spans="1:9" x14ac:dyDescent="0.25">
      <c r="A527" s="3"/>
      <c r="B527" s="3"/>
      <c r="C527" s="3"/>
      <c r="D527" s="3"/>
      <c r="E527" s="3"/>
      <c r="F527" s="3"/>
      <c r="G527" s="3"/>
      <c r="H527" s="3"/>
      <c r="I527" s="3"/>
    </row>
    <row r="528" spans="1:9" x14ac:dyDescent="0.25">
      <c r="A528" s="3"/>
      <c r="B528" s="3"/>
      <c r="C528" s="3"/>
      <c r="D528" s="3"/>
      <c r="E528" s="3"/>
      <c r="F528" s="3"/>
      <c r="G528" s="3"/>
      <c r="H528" s="3"/>
      <c r="I528" s="3"/>
    </row>
    <row r="529" spans="1:9" x14ac:dyDescent="0.25">
      <c r="A529" s="3"/>
      <c r="B529" s="3"/>
      <c r="C529" s="3"/>
      <c r="D529" s="3"/>
      <c r="E529" s="3"/>
      <c r="F529" s="3"/>
      <c r="G529" s="3"/>
      <c r="H529" s="3"/>
      <c r="I529" s="3"/>
    </row>
    <row r="530" spans="1:9" x14ac:dyDescent="0.25">
      <c r="A530" s="3"/>
      <c r="B530" s="3"/>
      <c r="C530" s="3"/>
      <c r="D530" s="3"/>
      <c r="E530" s="3"/>
      <c r="F530" s="3"/>
      <c r="G530" s="3"/>
      <c r="H530" s="3"/>
      <c r="I530" s="3"/>
    </row>
    <row r="531" spans="1:9" x14ac:dyDescent="0.25">
      <c r="A531" s="3"/>
      <c r="B531" s="3"/>
      <c r="C531" s="3"/>
      <c r="D531" s="3"/>
      <c r="E531" s="3"/>
      <c r="F531" s="3"/>
      <c r="G531" s="3"/>
      <c r="H531" s="3"/>
      <c r="I531" s="3"/>
    </row>
    <row r="532" spans="1:9" x14ac:dyDescent="0.25">
      <c r="A532" s="3"/>
      <c r="B532" s="3"/>
      <c r="C532" s="3"/>
      <c r="D532" s="3"/>
      <c r="E532" s="3"/>
      <c r="F532" s="3"/>
      <c r="G532" s="3"/>
      <c r="H532" s="3"/>
      <c r="I532" s="3"/>
    </row>
    <row r="533" spans="1:9" x14ac:dyDescent="0.25">
      <c r="A533" s="3"/>
      <c r="B533" s="3"/>
      <c r="C533" s="3"/>
      <c r="D533" s="3"/>
      <c r="E533" s="3"/>
      <c r="F533" s="3"/>
      <c r="G533" s="3"/>
      <c r="H533" s="3"/>
      <c r="I533" s="3"/>
    </row>
    <row r="534" spans="1:9" x14ac:dyDescent="0.25">
      <c r="A534" s="3"/>
      <c r="B534" s="3"/>
      <c r="C534" s="3"/>
      <c r="D534" s="3"/>
      <c r="E534" s="3"/>
      <c r="F534" s="3"/>
      <c r="G534" s="3"/>
      <c r="H534" s="3"/>
      <c r="I534" s="3"/>
    </row>
    <row r="535" spans="1:9" x14ac:dyDescent="0.25">
      <c r="A535" s="3"/>
      <c r="B535" s="3"/>
      <c r="C535" s="3"/>
      <c r="D535" s="3"/>
      <c r="E535" s="3"/>
      <c r="F535" s="3"/>
      <c r="G535" s="3"/>
      <c r="H535" s="3"/>
      <c r="I535" s="3"/>
    </row>
    <row r="536" spans="1:9" x14ac:dyDescent="0.25">
      <c r="A536" s="3"/>
      <c r="B536" s="3"/>
      <c r="C536" s="3"/>
      <c r="D536" s="3"/>
      <c r="E536" s="3"/>
      <c r="F536" s="3"/>
      <c r="G536" s="3"/>
      <c r="H536" s="3"/>
      <c r="I536" s="3"/>
    </row>
    <row r="537" spans="1:9" x14ac:dyDescent="0.25">
      <c r="A537" s="3"/>
      <c r="B537" s="3"/>
      <c r="C537" s="3"/>
      <c r="D537" s="3"/>
      <c r="E537" s="3"/>
      <c r="F537" s="3"/>
      <c r="G537" s="3"/>
      <c r="H537" s="3"/>
      <c r="I537" s="3"/>
    </row>
    <row r="538" spans="1:9" x14ac:dyDescent="0.25">
      <c r="A538" s="3"/>
      <c r="B538" s="3"/>
      <c r="C538" s="3"/>
      <c r="D538" s="3"/>
      <c r="E538" s="3"/>
      <c r="F538" s="3"/>
      <c r="G538" s="3"/>
      <c r="H538" s="3"/>
      <c r="I538" s="3"/>
    </row>
    <row r="539" spans="1:9" x14ac:dyDescent="0.25">
      <c r="A539" s="3"/>
      <c r="B539" s="3"/>
      <c r="C539" s="3"/>
      <c r="D539" s="3"/>
      <c r="E539" s="3"/>
      <c r="F539" s="3"/>
      <c r="G539" s="3"/>
      <c r="H539" s="3"/>
      <c r="I539" s="3"/>
    </row>
    <row r="540" spans="1:9" x14ac:dyDescent="0.25">
      <c r="A540" s="3"/>
      <c r="B540" s="3"/>
      <c r="C540" s="3"/>
      <c r="D540" s="3"/>
      <c r="E540" s="3"/>
      <c r="F540" s="3"/>
      <c r="G540" s="3"/>
      <c r="H540" s="3"/>
      <c r="I540" s="3"/>
    </row>
    <row r="541" spans="1:9" x14ac:dyDescent="0.25">
      <c r="A541" s="3"/>
      <c r="B541" s="3"/>
      <c r="C541" s="3"/>
      <c r="D541" s="3"/>
      <c r="E541" s="3"/>
      <c r="F541" s="3"/>
      <c r="G541" s="3"/>
      <c r="H541" s="3"/>
      <c r="I541" s="3"/>
    </row>
    <row r="542" spans="1:9" x14ac:dyDescent="0.25">
      <c r="A542" s="3"/>
      <c r="B542" s="3"/>
      <c r="C542" s="3"/>
      <c r="D542" s="3"/>
      <c r="E542" s="3"/>
      <c r="F542" s="3"/>
      <c r="G542" s="3"/>
      <c r="H542" s="3"/>
      <c r="I542" s="3"/>
    </row>
    <row r="543" spans="1:9" x14ac:dyDescent="0.25">
      <c r="A543" s="3"/>
      <c r="B543" s="3"/>
      <c r="C543" s="3"/>
      <c r="D543" s="3"/>
      <c r="E543" s="3"/>
      <c r="F543" s="3"/>
      <c r="G543" s="3"/>
      <c r="H543" s="3"/>
      <c r="I543" s="3"/>
    </row>
    <row r="544" spans="1:9" x14ac:dyDescent="0.25">
      <c r="A544" s="3"/>
      <c r="B544" s="3"/>
      <c r="C544" s="3"/>
      <c r="D544" s="3"/>
      <c r="E544" s="3"/>
      <c r="F544" s="3"/>
      <c r="G544" s="3"/>
      <c r="H544" s="3"/>
      <c r="I544" s="3"/>
    </row>
    <row r="545" spans="1:9" x14ac:dyDescent="0.25">
      <c r="A545" s="3"/>
      <c r="B545" s="3"/>
      <c r="C545" s="3"/>
      <c r="D545" s="3"/>
      <c r="E545" s="3"/>
      <c r="F545" s="3"/>
      <c r="G545" s="3"/>
      <c r="H545" s="3"/>
      <c r="I545" s="3"/>
    </row>
    <row r="546" spans="1:9" x14ac:dyDescent="0.25">
      <c r="A546" s="3"/>
      <c r="B546" s="3"/>
      <c r="C546" s="3"/>
      <c r="D546" s="3"/>
      <c r="E546" s="3"/>
      <c r="F546" s="3"/>
      <c r="G546" s="3"/>
      <c r="H546" s="3"/>
      <c r="I546" s="3"/>
    </row>
    <row r="547" spans="1:9" x14ac:dyDescent="0.25">
      <c r="A547" s="3"/>
      <c r="B547" s="3"/>
      <c r="C547" s="3"/>
      <c r="D547" s="3"/>
      <c r="E547" s="3"/>
      <c r="F547" s="3"/>
      <c r="G547" s="3"/>
      <c r="H547" s="3"/>
      <c r="I547" s="3"/>
    </row>
    <row r="548" spans="1:9" x14ac:dyDescent="0.25">
      <c r="A548" s="3"/>
      <c r="B548" s="3"/>
      <c r="C548" s="3"/>
      <c r="D548" s="3"/>
      <c r="E548" s="3"/>
      <c r="F548" s="3"/>
      <c r="G548" s="3"/>
      <c r="H548" s="3"/>
      <c r="I548" s="3"/>
    </row>
    <row r="549" spans="1:9" x14ac:dyDescent="0.25">
      <c r="A549" s="3"/>
      <c r="B549" s="3"/>
      <c r="C549" s="3"/>
      <c r="D549" s="3"/>
      <c r="E549" s="3"/>
      <c r="F549" s="3"/>
      <c r="G549" s="3"/>
      <c r="H549" s="3"/>
      <c r="I549" s="3"/>
    </row>
    <row r="550" spans="1:9" x14ac:dyDescent="0.25">
      <c r="A550" s="3"/>
      <c r="B550" s="3"/>
      <c r="C550" s="3"/>
      <c r="D550" s="3"/>
      <c r="E550" s="3"/>
      <c r="F550" s="3"/>
      <c r="G550" s="3"/>
      <c r="H550" s="3"/>
      <c r="I550" s="3"/>
    </row>
    <row r="551" spans="1:9" x14ac:dyDescent="0.25">
      <c r="A551" s="3"/>
      <c r="B551" s="3"/>
      <c r="C551" s="3"/>
      <c r="D551" s="3"/>
      <c r="E551" s="3"/>
      <c r="F551" s="3"/>
      <c r="G551" s="3"/>
      <c r="H551" s="3"/>
      <c r="I551" s="3"/>
    </row>
    <row r="552" spans="1:9" x14ac:dyDescent="0.25">
      <c r="A552" s="3"/>
      <c r="B552" s="3"/>
      <c r="C552" s="3"/>
      <c r="D552" s="3"/>
      <c r="E552" s="3"/>
      <c r="F552" s="3"/>
      <c r="G552" s="3"/>
      <c r="H552" s="3"/>
      <c r="I552" s="3"/>
    </row>
    <row r="553" spans="1:9" x14ac:dyDescent="0.25">
      <c r="A553" s="3"/>
      <c r="B553" s="3"/>
      <c r="C553" s="3"/>
      <c r="D553" s="3"/>
      <c r="E553" s="3"/>
      <c r="F553" s="3"/>
      <c r="G553" s="3"/>
      <c r="H553" s="3"/>
      <c r="I553" s="3"/>
    </row>
    <row r="554" spans="1:9" x14ac:dyDescent="0.25">
      <c r="A554" s="3"/>
      <c r="B554" s="3"/>
      <c r="C554" s="3"/>
      <c r="D554" s="3"/>
      <c r="E554" s="3"/>
      <c r="F554" s="3"/>
      <c r="G554" s="3"/>
      <c r="H554" s="3"/>
      <c r="I554" s="3"/>
    </row>
    <row r="555" spans="1:9" x14ac:dyDescent="0.25">
      <c r="A555" s="3"/>
      <c r="B555" s="3"/>
      <c r="C555" s="3"/>
      <c r="D555" s="3"/>
      <c r="E555" s="3"/>
      <c r="F555" s="3"/>
      <c r="G555" s="3"/>
      <c r="H555" s="3"/>
      <c r="I555" s="3"/>
    </row>
    <row r="556" spans="1:9" x14ac:dyDescent="0.25">
      <c r="A556" s="3"/>
      <c r="B556" s="3"/>
      <c r="C556" s="3"/>
      <c r="D556" s="3"/>
      <c r="E556" s="3"/>
      <c r="F556" s="3"/>
      <c r="G556" s="3"/>
      <c r="H556" s="3"/>
      <c r="I556" s="3"/>
    </row>
    <row r="557" spans="1:9" x14ac:dyDescent="0.25">
      <c r="A557" s="3"/>
      <c r="B557" s="3"/>
      <c r="C557" s="3"/>
      <c r="D557" s="3"/>
      <c r="E557" s="3"/>
      <c r="F557" s="3"/>
      <c r="G557" s="3"/>
      <c r="H557" s="3"/>
      <c r="I557" s="3"/>
    </row>
    <row r="558" spans="1:9" x14ac:dyDescent="0.25">
      <c r="A558" s="3"/>
      <c r="B558" s="3"/>
      <c r="C558" s="3"/>
      <c r="D558" s="3"/>
      <c r="E558" s="3"/>
      <c r="F558" s="3"/>
      <c r="G558" s="3"/>
      <c r="H558" s="3"/>
      <c r="I558" s="3"/>
    </row>
    <row r="559" spans="1:9" x14ac:dyDescent="0.25">
      <c r="A559" s="3"/>
      <c r="B559" s="3"/>
      <c r="C559" s="3"/>
      <c r="D559" s="3"/>
      <c r="E559" s="3"/>
      <c r="F559" s="3"/>
      <c r="G559" s="3"/>
      <c r="H559" s="3"/>
      <c r="I559" s="3"/>
    </row>
    <row r="560" spans="1:9" x14ac:dyDescent="0.25">
      <c r="A560" s="3"/>
      <c r="B560" s="3"/>
      <c r="C560" s="3"/>
      <c r="D560" s="3"/>
      <c r="E560" s="3"/>
      <c r="F560" s="3"/>
      <c r="G560" s="3"/>
      <c r="H560" s="3"/>
      <c r="I560" s="3"/>
    </row>
    <row r="561" spans="1:9" x14ac:dyDescent="0.25">
      <c r="A561" s="3"/>
      <c r="B561" s="3"/>
      <c r="C561" s="3"/>
      <c r="D561" s="3"/>
      <c r="E561" s="3"/>
      <c r="F561" s="3"/>
      <c r="G561" s="3"/>
      <c r="H561" s="3"/>
      <c r="I561" s="3"/>
    </row>
    <row r="562" spans="1:9" x14ac:dyDescent="0.25">
      <c r="A562" s="3"/>
      <c r="B562" s="3"/>
      <c r="C562" s="3"/>
      <c r="D562" s="3"/>
      <c r="E562" s="3"/>
      <c r="F562" s="3"/>
      <c r="G562" s="3"/>
      <c r="H562" s="3"/>
      <c r="I562" s="3"/>
    </row>
    <row r="563" spans="1:9" x14ac:dyDescent="0.25">
      <c r="A563" s="3"/>
      <c r="B563" s="3"/>
      <c r="C563" s="3"/>
      <c r="D563" s="3"/>
      <c r="E563" s="3"/>
      <c r="F563" s="3"/>
      <c r="G563" s="3"/>
      <c r="H563" s="3"/>
      <c r="I563" s="3"/>
    </row>
    <row r="564" spans="1:9" x14ac:dyDescent="0.25">
      <c r="A564" s="3"/>
      <c r="B564" s="3"/>
      <c r="C564" s="3"/>
      <c r="D564" s="3"/>
      <c r="E564" s="3"/>
      <c r="F564" s="3"/>
      <c r="G564" s="3"/>
      <c r="H564" s="3"/>
      <c r="I564" s="3"/>
    </row>
    <row r="565" spans="1:9" x14ac:dyDescent="0.25">
      <c r="A565" s="3"/>
      <c r="B565" s="3"/>
      <c r="C565" s="3"/>
      <c r="D565" s="3"/>
      <c r="E565" s="3"/>
      <c r="F565" s="3"/>
      <c r="G565" s="3"/>
      <c r="H565" s="3"/>
      <c r="I565" s="3"/>
    </row>
    <row r="566" spans="1:9" x14ac:dyDescent="0.25">
      <c r="A566" s="3"/>
      <c r="B566" s="3"/>
      <c r="C566" s="3"/>
      <c r="D566" s="3"/>
      <c r="E566" s="3"/>
      <c r="F566" s="3"/>
      <c r="G566" s="3"/>
      <c r="H566" s="3"/>
      <c r="I566" s="3"/>
    </row>
    <row r="567" spans="1:9" x14ac:dyDescent="0.25">
      <c r="A567" s="3"/>
      <c r="B567" s="3"/>
      <c r="C567" s="3"/>
      <c r="D567" s="3"/>
      <c r="E567" s="3"/>
      <c r="F567" s="3"/>
      <c r="G567" s="3"/>
      <c r="H567" s="3"/>
      <c r="I567" s="3"/>
    </row>
    <row r="568" spans="1:9" x14ac:dyDescent="0.25">
      <c r="A568" s="3"/>
      <c r="B568" s="3"/>
      <c r="C568" s="3"/>
      <c r="D568" s="3"/>
      <c r="E568" s="3"/>
      <c r="F568" s="3"/>
      <c r="G568" s="3"/>
      <c r="H568" s="3"/>
      <c r="I568" s="3"/>
    </row>
    <row r="569" spans="1:9" x14ac:dyDescent="0.25">
      <c r="A569" s="3"/>
      <c r="B569" s="3"/>
      <c r="C569" s="3"/>
      <c r="D569" s="3"/>
      <c r="E569" s="3"/>
      <c r="F569" s="3"/>
      <c r="G569" s="3"/>
      <c r="H569" s="3"/>
      <c r="I569" s="3"/>
    </row>
    <row r="570" spans="1:9" x14ac:dyDescent="0.25">
      <c r="A570" s="3"/>
      <c r="B570" s="3"/>
      <c r="C570" s="3"/>
      <c r="D570" s="3"/>
      <c r="E570" s="3"/>
      <c r="F570" s="3"/>
      <c r="G570" s="3"/>
      <c r="H570" s="3"/>
      <c r="I570" s="3"/>
    </row>
    <row r="571" spans="1:9" x14ac:dyDescent="0.25">
      <c r="A571" s="3"/>
      <c r="B571" s="3"/>
      <c r="C571" s="3"/>
      <c r="D571" s="3"/>
      <c r="E571" s="3"/>
      <c r="F571" s="3"/>
      <c r="G571" s="3"/>
      <c r="H571" s="3"/>
      <c r="I571" s="3"/>
    </row>
    <row r="572" spans="1:9" x14ac:dyDescent="0.25">
      <c r="A572" s="3"/>
      <c r="B572" s="3"/>
      <c r="C572" s="3"/>
      <c r="D572" s="3"/>
      <c r="E572" s="3"/>
      <c r="F572" s="3"/>
      <c r="G572" s="3"/>
      <c r="H572" s="3"/>
      <c r="I572" s="3"/>
    </row>
    <row r="573" spans="1:9" x14ac:dyDescent="0.25">
      <c r="A573" s="3"/>
      <c r="B573" s="3"/>
      <c r="C573" s="3"/>
      <c r="D573" s="3"/>
      <c r="E573" s="3"/>
      <c r="F573" s="3"/>
      <c r="G573" s="3"/>
      <c r="H573" s="3"/>
      <c r="I573" s="3"/>
    </row>
    <row r="574" spans="1:9" x14ac:dyDescent="0.25">
      <c r="A574" s="3"/>
      <c r="B574" s="3"/>
      <c r="C574" s="3"/>
      <c r="D574" s="3"/>
      <c r="E574" s="3"/>
      <c r="F574" s="3"/>
      <c r="G574" s="3"/>
      <c r="H574" s="3"/>
      <c r="I574" s="3"/>
    </row>
    <row r="575" spans="1:9" x14ac:dyDescent="0.25">
      <c r="A575" s="3"/>
      <c r="B575" s="3"/>
      <c r="C575" s="3"/>
      <c r="D575" s="3"/>
      <c r="E575" s="3"/>
      <c r="F575" s="3"/>
      <c r="G575" s="3"/>
      <c r="H575" s="3"/>
      <c r="I575" s="3"/>
    </row>
    <row r="576" spans="1:9" x14ac:dyDescent="0.25">
      <c r="A576" s="3"/>
      <c r="B576" s="3"/>
      <c r="C576" s="3"/>
      <c r="D576" s="3"/>
      <c r="E576" s="3"/>
      <c r="F576" s="3"/>
      <c r="G576" s="3"/>
      <c r="H576" s="3"/>
      <c r="I576" s="3"/>
    </row>
    <row r="577" spans="1:9" x14ac:dyDescent="0.25">
      <c r="A577" s="3"/>
      <c r="B577" s="3"/>
      <c r="C577" s="3"/>
      <c r="D577" s="3"/>
      <c r="E577" s="3"/>
      <c r="F577" s="3"/>
      <c r="G577" s="3"/>
      <c r="H577" s="3"/>
      <c r="I577" s="3"/>
    </row>
    <row r="578" spans="1:9" x14ac:dyDescent="0.25">
      <c r="A578" s="3"/>
      <c r="B578" s="3"/>
      <c r="C578" s="3"/>
      <c r="D578" s="3"/>
      <c r="E578" s="3"/>
      <c r="F578" s="3"/>
      <c r="G578" s="3"/>
      <c r="H578" s="3"/>
      <c r="I578" s="3"/>
    </row>
    <row r="579" spans="1:9" x14ac:dyDescent="0.25">
      <c r="A579" s="3"/>
      <c r="B579" s="3"/>
      <c r="C579" s="3"/>
      <c r="D579" s="3"/>
      <c r="E579" s="3"/>
      <c r="F579" s="3"/>
      <c r="G579" s="3"/>
      <c r="H579" s="3"/>
      <c r="I579" s="3"/>
    </row>
    <row r="580" spans="1:9" x14ac:dyDescent="0.25">
      <c r="A580" s="3"/>
      <c r="B580" s="3"/>
      <c r="C580" s="3"/>
      <c r="D580" s="3"/>
      <c r="E580" s="3"/>
      <c r="F580" s="3"/>
      <c r="G580" s="3"/>
      <c r="H580" s="3"/>
      <c r="I580" s="3"/>
    </row>
    <row r="581" spans="1:9" x14ac:dyDescent="0.25">
      <c r="A581" s="3"/>
      <c r="B581" s="3"/>
      <c r="C581" s="3"/>
      <c r="D581" s="3"/>
      <c r="E581" s="3"/>
      <c r="F581" s="3"/>
      <c r="G581" s="3"/>
      <c r="H581" s="3"/>
      <c r="I581" s="3"/>
    </row>
    <row r="582" spans="1:9" x14ac:dyDescent="0.25">
      <c r="A582" s="3"/>
      <c r="B582" s="3"/>
      <c r="C582" s="3"/>
      <c r="D582" s="3"/>
      <c r="E582" s="3"/>
      <c r="F582" s="3"/>
      <c r="G582" s="3"/>
      <c r="H582" s="3"/>
      <c r="I582" s="3"/>
    </row>
    <row r="583" spans="1:9" x14ac:dyDescent="0.25">
      <c r="A583" s="3"/>
      <c r="B583" s="3"/>
      <c r="C583" s="3"/>
      <c r="D583" s="3"/>
      <c r="E583" s="3"/>
      <c r="F583" s="3"/>
      <c r="G583" s="3"/>
      <c r="H583" s="3"/>
      <c r="I583" s="3"/>
    </row>
    <row r="584" spans="1:9" x14ac:dyDescent="0.25">
      <c r="A584" s="3"/>
      <c r="B584" s="3"/>
      <c r="C584" s="3"/>
      <c r="D584" s="3"/>
      <c r="E584" s="3"/>
      <c r="F584" s="3"/>
      <c r="G584" s="3"/>
      <c r="H584" s="3"/>
      <c r="I584" s="3"/>
    </row>
    <row r="585" spans="1:9" x14ac:dyDescent="0.25">
      <c r="A585" s="3"/>
      <c r="B585" s="3"/>
      <c r="C585" s="3"/>
      <c r="D585" s="3"/>
      <c r="E585" s="3"/>
      <c r="F585" s="3"/>
      <c r="G585" s="3"/>
      <c r="H585" s="3"/>
      <c r="I585" s="3"/>
    </row>
    <row r="586" spans="1:9" x14ac:dyDescent="0.25">
      <c r="A586" s="3"/>
      <c r="B586" s="3"/>
      <c r="C586" s="3"/>
      <c r="D586" s="3"/>
      <c r="E586" s="3"/>
      <c r="F586" s="3"/>
      <c r="G586" s="3"/>
      <c r="H586" s="3"/>
      <c r="I586" s="3"/>
    </row>
    <row r="587" spans="1:9" x14ac:dyDescent="0.25">
      <c r="A587" s="3"/>
      <c r="B587" s="3"/>
      <c r="C587" s="3"/>
      <c r="D587" s="3"/>
      <c r="E587" s="3"/>
      <c r="F587" s="3"/>
      <c r="G587" s="3"/>
      <c r="H587" s="3"/>
      <c r="I587" s="3"/>
    </row>
    <row r="588" spans="1:9" x14ac:dyDescent="0.25">
      <c r="A588" s="3"/>
      <c r="B588" s="3"/>
      <c r="C588" s="3"/>
      <c r="D588" s="3"/>
      <c r="E588" s="3"/>
      <c r="F588" s="3"/>
      <c r="G588" s="3"/>
      <c r="H588" s="3"/>
      <c r="I588" s="3"/>
    </row>
    <row r="589" spans="1:9" x14ac:dyDescent="0.25">
      <c r="A589" s="3"/>
      <c r="B589" s="3"/>
      <c r="C589" s="3"/>
      <c r="D589" s="3"/>
      <c r="E589" s="3"/>
      <c r="F589" s="3"/>
      <c r="G589" s="3"/>
      <c r="H589" s="3"/>
      <c r="I589" s="3"/>
    </row>
    <row r="590" spans="1:9" x14ac:dyDescent="0.25">
      <c r="A590" s="3"/>
      <c r="B590" s="3"/>
      <c r="C590" s="3"/>
      <c r="D590" s="3"/>
      <c r="E590" s="3"/>
      <c r="F590" s="3"/>
      <c r="G590" s="3"/>
      <c r="H590" s="3"/>
      <c r="I590" s="3"/>
    </row>
    <row r="591" spans="1:9" x14ac:dyDescent="0.25">
      <c r="A591" s="3"/>
      <c r="B591" s="3"/>
      <c r="C591" s="3"/>
      <c r="D591" s="3"/>
      <c r="E591" s="3"/>
      <c r="F591" s="3"/>
      <c r="G591" s="3"/>
      <c r="H591" s="3"/>
      <c r="I591" s="3"/>
    </row>
    <row r="592" spans="1:9" x14ac:dyDescent="0.25">
      <c r="A592" s="3"/>
      <c r="B592" s="3"/>
      <c r="C592" s="3"/>
      <c r="D592" s="3"/>
      <c r="E592" s="3"/>
      <c r="F592" s="3"/>
      <c r="G592" s="3"/>
      <c r="H592" s="3"/>
      <c r="I592" s="3"/>
    </row>
    <row r="593" spans="1:9" x14ac:dyDescent="0.25">
      <c r="A593" s="3"/>
      <c r="B593" s="3"/>
      <c r="C593" s="3"/>
      <c r="D593" s="3"/>
      <c r="E593" s="3"/>
      <c r="F593" s="3"/>
      <c r="G593" s="3"/>
      <c r="H593" s="3"/>
      <c r="I593" s="3"/>
    </row>
    <row r="594" spans="1:9" x14ac:dyDescent="0.25">
      <c r="A594" s="3"/>
      <c r="B594" s="3"/>
      <c r="C594" s="3"/>
      <c r="D594" s="3"/>
      <c r="E594" s="3"/>
      <c r="F594" s="3"/>
      <c r="G594" s="3"/>
      <c r="H594" s="3"/>
      <c r="I594" s="3"/>
    </row>
    <row r="595" spans="1:9" x14ac:dyDescent="0.25">
      <c r="A595" s="3"/>
      <c r="B595" s="3"/>
      <c r="C595" s="3"/>
      <c r="D595" s="3"/>
      <c r="E595" s="3"/>
      <c r="F595" s="3"/>
      <c r="G595" s="3"/>
      <c r="H595" s="3"/>
      <c r="I595" s="3"/>
    </row>
    <row r="596" spans="1:9" x14ac:dyDescent="0.25">
      <c r="A596" s="3"/>
      <c r="B596" s="3"/>
      <c r="C596" s="3"/>
      <c r="D596" s="3"/>
      <c r="E596" s="3"/>
      <c r="F596" s="3"/>
      <c r="G596" s="3"/>
      <c r="H596" s="3"/>
      <c r="I596" s="3"/>
    </row>
    <row r="597" spans="1:9" x14ac:dyDescent="0.25">
      <c r="A597" s="3"/>
      <c r="B597" s="3"/>
      <c r="C597" s="3"/>
      <c r="D597" s="3"/>
      <c r="E597" s="3"/>
      <c r="F597" s="3"/>
      <c r="G597" s="3"/>
      <c r="H597" s="3"/>
      <c r="I597" s="3"/>
    </row>
    <row r="598" spans="1:9" x14ac:dyDescent="0.25">
      <c r="A598" s="3"/>
      <c r="B598" s="3"/>
      <c r="C598" s="3"/>
      <c r="D598" s="3"/>
      <c r="E598" s="3"/>
      <c r="F598" s="3"/>
      <c r="G598" s="3"/>
      <c r="H598" s="3"/>
      <c r="I598" s="3"/>
    </row>
    <row r="599" spans="1:9" x14ac:dyDescent="0.25">
      <c r="A599" s="3"/>
      <c r="B599" s="3"/>
      <c r="C599" s="3"/>
      <c r="D599" s="3"/>
      <c r="E599" s="3"/>
      <c r="F599" s="3"/>
      <c r="G599" s="3"/>
      <c r="H599" s="3"/>
      <c r="I599" s="3"/>
    </row>
    <row r="600" spans="1:9" x14ac:dyDescent="0.25">
      <c r="A600" s="3"/>
      <c r="B600" s="3"/>
      <c r="C600" s="3"/>
      <c r="D600" s="3"/>
      <c r="E600" s="3"/>
      <c r="F600" s="3"/>
      <c r="G600" s="3"/>
      <c r="H600" s="3"/>
      <c r="I600" s="3"/>
    </row>
    <row r="601" spans="1:9" x14ac:dyDescent="0.25">
      <c r="A601" s="3"/>
      <c r="B601" s="3"/>
      <c r="C601" s="3"/>
      <c r="D601" s="3"/>
      <c r="E601" s="3"/>
      <c r="F601" s="3"/>
      <c r="G601" s="3"/>
      <c r="H601" s="3"/>
      <c r="I601" s="3"/>
    </row>
    <row r="602" spans="1:9" x14ac:dyDescent="0.25">
      <c r="A602" s="3"/>
      <c r="B602" s="3"/>
      <c r="C602" s="3"/>
      <c r="D602" s="3"/>
      <c r="E602" s="3"/>
      <c r="F602" s="3"/>
      <c r="G602" s="3"/>
      <c r="H602" s="3"/>
      <c r="I602" s="3"/>
    </row>
    <row r="603" spans="1:9" x14ac:dyDescent="0.25">
      <c r="A603" s="3"/>
      <c r="B603" s="3"/>
      <c r="C603" s="3"/>
      <c r="D603" s="3"/>
      <c r="E603" s="3"/>
      <c r="F603" s="3"/>
      <c r="G603" s="3"/>
      <c r="H603" s="3"/>
      <c r="I603" s="3"/>
    </row>
    <row r="604" spans="1:9" x14ac:dyDescent="0.25">
      <c r="A604" s="3"/>
      <c r="B604" s="3"/>
      <c r="C604" s="3"/>
      <c r="D604" s="3"/>
      <c r="E604" s="3"/>
      <c r="F604" s="3"/>
      <c r="G604" s="3"/>
      <c r="H604" s="3"/>
      <c r="I604" s="3"/>
    </row>
    <row r="605" spans="1:9" x14ac:dyDescent="0.25">
      <c r="A605" s="3"/>
      <c r="B605" s="3"/>
      <c r="C605" s="3"/>
      <c r="D605" s="3"/>
      <c r="E605" s="3"/>
      <c r="F605" s="3"/>
      <c r="G605" s="3"/>
      <c r="H605" s="3"/>
      <c r="I605" s="3"/>
    </row>
    <row r="606" spans="1:9" x14ac:dyDescent="0.25">
      <c r="A606" s="3"/>
      <c r="B606" s="3"/>
      <c r="C606" s="3"/>
      <c r="D606" s="3"/>
      <c r="E606" s="3"/>
      <c r="F606" s="3"/>
      <c r="G606" s="3"/>
      <c r="H606" s="3"/>
      <c r="I606" s="3"/>
    </row>
    <row r="607" spans="1:9" x14ac:dyDescent="0.25">
      <c r="A607" s="3"/>
      <c r="B607" s="3"/>
      <c r="C607" s="3"/>
      <c r="D607" s="3"/>
      <c r="E607" s="3"/>
      <c r="F607" s="3"/>
      <c r="G607" s="3"/>
      <c r="H607" s="3"/>
      <c r="I607" s="3"/>
    </row>
    <row r="608" spans="1:9" x14ac:dyDescent="0.25">
      <c r="A608" s="3"/>
      <c r="B608" s="3"/>
      <c r="C608" s="3"/>
      <c r="D608" s="3"/>
      <c r="E608" s="3"/>
      <c r="F608" s="3"/>
      <c r="G608" s="3"/>
      <c r="H608" s="3"/>
      <c r="I608" s="3"/>
    </row>
    <row r="609" spans="1:9" x14ac:dyDescent="0.25">
      <c r="A609" s="3"/>
      <c r="B609" s="3"/>
      <c r="C609" s="3"/>
      <c r="D609" s="3"/>
      <c r="E609" s="3"/>
      <c r="F609" s="3"/>
      <c r="G609" s="3"/>
      <c r="H609" s="3"/>
      <c r="I609" s="3"/>
    </row>
    <row r="610" spans="1:9" x14ac:dyDescent="0.25">
      <c r="A610" s="3"/>
      <c r="B610" s="3"/>
      <c r="C610" s="3"/>
      <c r="D610" s="3"/>
      <c r="E610" s="3"/>
      <c r="F610" s="3"/>
      <c r="G610" s="3"/>
      <c r="H610" s="3"/>
      <c r="I610" s="3"/>
    </row>
    <row r="611" spans="1:9" x14ac:dyDescent="0.25">
      <c r="A611" s="3"/>
      <c r="B611" s="3"/>
      <c r="C611" s="3"/>
      <c r="D611" s="3"/>
      <c r="E611" s="3"/>
      <c r="F611" s="3"/>
      <c r="G611" s="3"/>
      <c r="H611" s="3"/>
      <c r="I611" s="3"/>
    </row>
    <row r="612" spans="1:9" x14ac:dyDescent="0.25">
      <c r="A612" s="3"/>
      <c r="B612" s="3"/>
      <c r="C612" s="3"/>
      <c r="D612" s="3"/>
      <c r="E612" s="3"/>
      <c r="F612" s="3"/>
      <c r="G612" s="3"/>
      <c r="H612" s="3"/>
      <c r="I612" s="3"/>
    </row>
    <row r="613" spans="1:9" x14ac:dyDescent="0.25">
      <c r="A613" s="3"/>
      <c r="B613" s="3"/>
      <c r="C613" s="3"/>
      <c r="D613" s="3"/>
      <c r="E613" s="3"/>
      <c r="F613" s="3"/>
      <c r="G613" s="3"/>
      <c r="H613" s="3"/>
      <c r="I613" s="3"/>
    </row>
    <row r="614" spans="1:9" x14ac:dyDescent="0.25">
      <c r="A614" s="3"/>
      <c r="B614" s="3"/>
      <c r="C614" s="3"/>
      <c r="D614" s="3"/>
      <c r="E614" s="3"/>
      <c r="F614" s="3"/>
      <c r="G614" s="3"/>
      <c r="H614" s="3"/>
      <c r="I614" s="3"/>
    </row>
    <row r="615" spans="1:9" x14ac:dyDescent="0.25">
      <c r="A615" s="3"/>
      <c r="B615" s="3"/>
      <c r="C615" s="3"/>
      <c r="D615" s="3"/>
      <c r="E615" s="3"/>
      <c r="F615" s="3"/>
      <c r="G615" s="3"/>
      <c r="H615" s="3"/>
      <c r="I615" s="3"/>
    </row>
    <row r="616" spans="1:9" x14ac:dyDescent="0.25">
      <c r="A616" s="3"/>
      <c r="B616" s="3"/>
      <c r="C616" s="3"/>
      <c r="D616" s="3"/>
      <c r="E616" s="3"/>
      <c r="F616" s="3"/>
      <c r="G616" s="3"/>
      <c r="H616" s="3"/>
      <c r="I616" s="3"/>
    </row>
    <row r="617" spans="1:9" x14ac:dyDescent="0.25">
      <c r="A617" s="3"/>
      <c r="B617" s="3"/>
      <c r="C617" s="3"/>
      <c r="D617" s="3"/>
      <c r="E617" s="3"/>
      <c r="F617" s="3"/>
      <c r="G617" s="3"/>
      <c r="H617" s="3"/>
      <c r="I617" s="3"/>
    </row>
    <row r="618" spans="1:9" x14ac:dyDescent="0.25">
      <c r="A618" s="3"/>
      <c r="B618" s="3"/>
      <c r="C618" s="3"/>
      <c r="D618" s="3"/>
      <c r="E618" s="3"/>
      <c r="F618" s="3"/>
      <c r="G618" s="3"/>
      <c r="H618" s="3"/>
      <c r="I618" s="3"/>
    </row>
    <row r="619" spans="1:9" x14ac:dyDescent="0.25">
      <c r="A619" s="3"/>
      <c r="B619" s="3"/>
      <c r="C619" s="3"/>
      <c r="D619" s="3"/>
      <c r="E619" s="3"/>
      <c r="F619" s="3"/>
      <c r="G619" s="3"/>
      <c r="H619" s="3"/>
      <c r="I619" s="3"/>
    </row>
    <row r="620" spans="1:9" x14ac:dyDescent="0.25">
      <c r="A620" s="3"/>
      <c r="B620" s="3"/>
      <c r="C620" s="3"/>
      <c r="D620" s="3"/>
      <c r="E620" s="3"/>
      <c r="F620" s="3"/>
      <c r="G620" s="3"/>
      <c r="H620" s="3"/>
      <c r="I620" s="3"/>
    </row>
    <row r="621" spans="1:9" x14ac:dyDescent="0.25">
      <c r="A621" s="3"/>
      <c r="B621" s="3"/>
      <c r="C621" s="3"/>
      <c r="D621" s="3"/>
      <c r="E621" s="3"/>
      <c r="F621" s="3"/>
      <c r="G621" s="3"/>
      <c r="H621" s="3"/>
      <c r="I621" s="3"/>
    </row>
    <row r="622" spans="1:9" x14ac:dyDescent="0.25">
      <c r="A622" s="3"/>
      <c r="B622" s="3"/>
      <c r="C622" s="3"/>
      <c r="D622" s="3"/>
      <c r="E622" s="3"/>
      <c r="F622" s="3"/>
      <c r="G622" s="3"/>
      <c r="H622" s="3"/>
      <c r="I622" s="3"/>
    </row>
    <row r="623" spans="1:9" x14ac:dyDescent="0.25">
      <c r="A623" s="3"/>
      <c r="B623" s="3"/>
      <c r="C623" s="3"/>
      <c r="D623" s="3"/>
      <c r="E623" s="3"/>
      <c r="F623" s="3"/>
      <c r="G623" s="3"/>
      <c r="H623" s="3"/>
      <c r="I623" s="3"/>
    </row>
    <row r="624" spans="1:9" x14ac:dyDescent="0.25">
      <c r="A624" s="3"/>
      <c r="B624" s="3"/>
      <c r="C624" s="3"/>
      <c r="D624" s="3"/>
      <c r="E624" s="3"/>
      <c r="F624" s="3"/>
      <c r="G624" s="3"/>
      <c r="H624" s="3"/>
      <c r="I624" s="3"/>
    </row>
    <row r="625" spans="1:9" x14ac:dyDescent="0.25">
      <c r="A625" s="3"/>
      <c r="B625" s="3"/>
      <c r="C625" s="3"/>
      <c r="D625" s="3"/>
      <c r="E625" s="3"/>
      <c r="F625" s="3"/>
      <c r="G625" s="3"/>
      <c r="H625" s="3"/>
      <c r="I625" s="3"/>
    </row>
    <row r="626" spans="1:9" x14ac:dyDescent="0.25">
      <c r="A626" s="3"/>
      <c r="B626" s="3"/>
      <c r="C626" s="3"/>
      <c r="D626" s="3"/>
      <c r="E626" s="3"/>
      <c r="F626" s="3"/>
      <c r="G626" s="3"/>
      <c r="H626" s="3"/>
      <c r="I626" s="3"/>
    </row>
    <row r="627" spans="1:9" x14ac:dyDescent="0.25">
      <c r="A627" s="3"/>
      <c r="B627" s="3"/>
      <c r="C627" s="3"/>
      <c r="D627" s="3"/>
      <c r="E627" s="3"/>
      <c r="F627" s="3"/>
      <c r="G627" s="3"/>
      <c r="H627" s="3"/>
      <c r="I627" s="3"/>
    </row>
    <row r="628" spans="1:9" x14ac:dyDescent="0.25">
      <c r="A628" s="3"/>
      <c r="B628" s="3"/>
      <c r="C628" s="3"/>
      <c r="D628" s="3"/>
      <c r="E628" s="3"/>
      <c r="F628" s="3"/>
      <c r="G628" s="3"/>
      <c r="H628" s="3"/>
      <c r="I628" s="3"/>
    </row>
    <row r="629" spans="1:9" x14ac:dyDescent="0.25">
      <c r="A629" s="3"/>
      <c r="B629" s="3"/>
      <c r="C629" s="3"/>
      <c r="D629" s="3"/>
      <c r="E629" s="3"/>
      <c r="F629" s="3"/>
      <c r="G629" s="3"/>
      <c r="H629" s="3"/>
      <c r="I629" s="3"/>
    </row>
    <row r="630" spans="1:9" x14ac:dyDescent="0.25">
      <c r="A630" s="3"/>
      <c r="B630" s="3"/>
      <c r="C630" s="3"/>
      <c r="D630" s="3"/>
      <c r="E630" s="3"/>
      <c r="F630" s="3"/>
      <c r="G630" s="3"/>
      <c r="H630" s="3"/>
      <c r="I630" s="3"/>
    </row>
    <row r="631" spans="1:9" x14ac:dyDescent="0.25">
      <c r="A631" s="3"/>
      <c r="B631" s="3"/>
      <c r="C631" s="3"/>
      <c r="D631" s="3"/>
      <c r="E631" s="3"/>
      <c r="F631" s="3"/>
      <c r="G631" s="3"/>
      <c r="H631" s="3"/>
      <c r="I631" s="3"/>
    </row>
    <row r="632" spans="1:9" x14ac:dyDescent="0.25">
      <c r="A632" s="3"/>
      <c r="B632" s="3"/>
      <c r="C632" s="3"/>
      <c r="D632" s="3"/>
      <c r="E632" s="3"/>
      <c r="F632" s="3"/>
      <c r="G632" s="3"/>
      <c r="H632" s="3"/>
      <c r="I632" s="3"/>
    </row>
    <row r="633" spans="1:9" x14ac:dyDescent="0.25">
      <c r="A633" s="3"/>
      <c r="B633" s="3"/>
      <c r="C633" s="3"/>
      <c r="D633" s="3"/>
      <c r="E633" s="3"/>
      <c r="F633" s="3"/>
      <c r="G633" s="3"/>
      <c r="H633" s="3"/>
      <c r="I633" s="3"/>
    </row>
    <row r="634" spans="1:9" x14ac:dyDescent="0.25">
      <c r="A634" s="3"/>
      <c r="B634" s="3"/>
      <c r="C634" s="3"/>
      <c r="D634" s="3"/>
      <c r="E634" s="3"/>
      <c r="F634" s="3"/>
      <c r="G634" s="3"/>
      <c r="H634" s="3"/>
      <c r="I634" s="3"/>
    </row>
    <row r="635" spans="1:9" x14ac:dyDescent="0.25">
      <c r="A635" s="3"/>
      <c r="B635" s="3"/>
      <c r="C635" s="3"/>
      <c r="D635" s="3"/>
      <c r="E635" s="3"/>
      <c r="F635" s="3"/>
      <c r="G635" s="3"/>
      <c r="H635" s="3"/>
      <c r="I635" s="3"/>
    </row>
    <row r="636" spans="1:9" x14ac:dyDescent="0.25">
      <c r="A636" s="3"/>
      <c r="B636" s="3"/>
      <c r="C636" s="3"/>
      <c r="D636" s="3"/>
      <c r="E636" s="3"/>
      <c r="F636" s="3"/>
      <c r="G636" s="3"/>
      <c r="H636" s="3"/>
      <c r="I636" s="3"/>
    </row>
    <row r="637" spans="1:9" x14ac:dyDescent="0.25">
      <c r="A637" s="3"/>
      <c r="B637" s="3"/>
      <c r="C637" s="3"/>
      <c r="D637" s="3"/>
      <c r="E637" s="3"/>
      <c r="F637" s="3"/>
      <c r="G637" s="3"/>
      <c r="H637" s="3"/>
      <c r="I637" s="3"/>
    </row>
    <row r="638" spans="1:9" x14ac:dyDescent="0.25">
      <c r="A638" s="3"/>
      <c r="B638" s="3"/>
      <c r="C638" s="3"/>
      <c r="D638" s="3"/>
      <c r="E638" s="3"/>
      <c r="F638" s="3"/>
      <c r="G638" s="3"/>
      <c r="H638" s="3"/>
      <c r="I638" s="3"/>
    </row>
    <row r="639" spans="1:9" x14ac:dyDescent="0.25">
      <c r="A639" s="3"/>
      <c r="B639" s="3"/>
      <c r="C639" s="3"/>
      <c r="D639" s="3"/>
      <c r="E639" s="3"/>
      <c r="F639" s="3"/>
      <c r="G639" s="3"/>
      <c r="H639" s="3"/>
      <c r="I639" s="3"/>
    </row>
    <row r="640" spans="1:9" x14ac:dyDescent="0.25">
      <c r="A640" s="3"/>
      <c r="B640" s="3"/>
      <c r="C640" s="3"/>
      <c r="D640" s="3"/>
      <c r="E640" s="3"/>
      <c r="F640" s="3"/>
      <c r="G640" s="3"/>
      <c r="H640" s="3"/>
      <c r="I640" s="3"/>
    </row>
    <row r="641" spans="1:9" x14ac:dyDescent="0.25">
      <c r="A641" s="3"/>
      <c r="B641" s="3"/>
      <c r="C641" s="3"/>
      <c r="D641" s="3"/>
      <c r="E641" s="3"/>
      <c r="F641" s="3"/>
      <c r="G641" s="3"/>
      <c r="H641" s="3"/>
      <c r="I641" s="3"/>
    </row>
    <row r="642" spans="1:9" x14ac:dyDescent="0.25">
      <c r="A642" s="3"/>
      <c r="B642" s="3"/>
      <c r="C642" s="3"/>
      <c r="D642" s="3"/>
      <c r="E642" s="3"/>
      <c r="F642" s="3"/>
      <c r="G642" s="3"/>
      <c r="H642" s="3"/>
      <c r="I642" s="3"/>
    </row>
    <row r="643" spans="1:9" x14ac:dyDescent="0.25">
      <c r="A643" s="3"/>
      <c r="B643" s="3"/>
      <c r="C643" s="3"/>
      <c r="D643" s="3"/>
      <c r="E643" s="3"/>
      <c r="F643" s="3"/>
      <c r="G643" s="3"/>
      <c r="H643" s="3"/>
      <c r="I643" s="3"/>
    </row>
    <row r="644" spans="1:9" x14ac:dyDescent="0.25">
      <c r="A644" s="3"/>
      <c r="B644" s="3"/>
      <c r="C644" s="3"/>
      <c r="D644" s="3"/>
      <c r="E644" s="3"/>
      <c r="F644" s="3"/>
      <c r="G644" s="3"/>
      <c r="H644" s="3"/>
      <c r="I644" s="3"/>
    </row>
    <row r="645" spans="1:9" x14ac:dyDescent="0.25">
      <c r="A645" s="3"/>
      <c r="B645" s="3"/>
      <c r="C645" s="3"/>
      <c r="D645" s="3"/>
      <c r="E645" s="3"/>
      <c r="F645" s="3"/>
      <c r="G645" s="3"/>
      <c r="H645" s="3"/>
      <c r="I645" s="3"/>
    </row>
    <row r="646" spans="1:9" x14ac:dyDescent="0.25">
      <c r="A646" s="3"/>
      <c r="B646" s="3"/>
      <c r="C646" s="3"/>
      <c r="D646" s="3"/>
      <c r="E646" s="3"/>
      <c r="F646" s="3"/>
      <c r="G646" s="3"/>
      <c r="H646" s="3"/>
      <c r="I646" s="3"/>
    </row>
    <row r="647" spans="1:9" x14ac:dyDescent="0.25">
      <c r="A647" s="3"/>
      <c r="B647" s="3"/>
      <c r="C647" s="3"/>
      <c r="D647" s="3"/>
      <c r="E647" s="3"/>
      <c r="F647" s="3"/>
      <c r="G647" s="3"/>
      <c r="H647" s="3"/>
      <c r="I647" s="3"/>
    </row>
    <row r="648" spans="1:9" x14ac:dyDescent="0.25">
      <c r="A648" s="3"/>
      <c r="B648" s="3"/>
      <c r="C648" s="3"/>
      <c r="D648" s="3"/>
      <c r="E648" s="3"/>
      <c r="F648" s="3"/>
      <c r="G648" s="3"/>
      <c r="H648" s="3"/>
      <c r="I648" s="3"/>
    </row>
    <row r="649" spans="1:9" x14ac:dyDescent="0.25">
      <c r="A649" s="3"/>
      <c r="B649" s="3"/>
      <c r="C649" s="3"/>
      <c r="D649" s="3"/>
      <c r="E649" s="3"/>
      <c r="F649" s="3"/>
      <c r="G649" s="3"/>
      <c r="H649" s="3"/>
      <c r="I649" s="3"/>
    </row>
    <row r="650" spans="1:9" x14ac:dyDescent="0.25">
      <c r="A650" s="3"/>
      <c r="B650" s="3"/>
      <c r="C650" s="3"/>
      <c r="D650" s="3"/>
      <c r="E650" s="3"/>
      <c r="F650" s="3"/>
      <c r="G650" s="3"/>
      <c r="H650" s="3"/>
      <c r="I650" s="3"/>
    </row>
    <row r="651" spans="1:9" x14ac:dyDescent="0.25">
      <c r="A651" s="3"/>
      <c r="B651" s="3"/>
      <c r="C651" s="3"/>
      <c r="D651" s="3"/>
      <c r="E651" s="3"/>
      <c r="F651" s="3"/>
      <c r="G651" s="3"/>
      <c r="H651" s="3"/>
      <c r="I651" s="3"/>
    </row>
    <row r="652" spans="1:9" x14ac:dyDescent="0.25">
      <c r="A652" s="3"/>
      <c r="B652" s="3"/>
      <c r="C652" s="3"/>
      <c r="D652" s="3"/>
      <c r="E652" s="3"/>
      <c r="F652" s="3"/>
      <c r="G652" s="3"/>
      <c r="H652" s="3"/>
      <c r="I652" s="3"/>
    </row>
    <row r="653" spans="1:9" x14ac:dyDescent="0.25">
      <c r="A653" s="3"/>
      <c r="B653" s="3"/>
      <c r="C653" s="3"/>
      <c r="D653" s="3"/>
      <c r="E653" s="3"/>
      <c r="F653" s="3"/>
      <c r="G653" s="3"/>
      <c r="H653" s="3"/>
      <c r="I653" s="3"/>
    </row>
    <row r="654" spans="1:9" x14ac:dyDescent="0.25">
      <c r="A654" s="3"/>
      <c r="B654" s="3"/>
      <c r="C654" s="3"/>
      <c r="D654" s="3"/>
      <c r="E654" s="3"/>
      <c r="F654" s="3"/>
      <c r="G654" s="3"/>
      <c r="H654" s="3"/>
      <c r="I654" s="3"/>
    </row>
    <row r="655" spans="1:9" x14ac:dyDescent="0.25">
      <c r="A655" s="3"/>
      <c r="B655" s="3"/>
      <c r="C655" s="3"/>
      <c r="D655" s="3"/>
      <c r="E655" s="3"/>
      <c r="F655" s="3"/>
      <c r="G655" s="3"/>
      <c r="H655" s="3"/>
      <c r="I655" s="3"/>
    </row>
    <row r="656" spans="1:9" x14ac:dyDescent="0.25">
      <c r="A656" s="3"/>
      <c r="B656" s="3"/>
      <c r="C656" s="3"/>
      <c r="D656" s="3"/>
      <c r="E656" s="3"/>
      <c r="F656" s="3"/>
      <c r="G656" s="3"/>
      <c r="H656" s="3"/>
      <c r="I656" s="3"/>
    </row>
    <row r="657" spans="1:9" x14ac:dyDescent="0.25">
      <c r="A657" s="3"/>
      <c r="B657" s="3"/>
      <c r="C657" s="3"/>
      <c r="D657" s="3"/>
      <c r="E657" s="3"/>
      <c r="F657" s="3"/>
      <c r="G657" s="3"/>
      <c r="H657" s="3"/>
      <c r="I657" s="3"/>
    </row>
    <row r="658" spans="1:9" x14ac:dyDescent="0.25">
      <c r="A658" s="3"/>
      <c r="B658" s="3"/>
      <c r="C658" s="3"/>
      <c r="D658" s="3"/>
      <c r="E658" s="3"/>
      <c r="F658" s="3"/>
      <c r="G658" s="3"/>
      <c r="H658" s="3"/>
      <c r="I658" s="3"/>
    </row>
    <row r="659" spans="1:9" x14ac:dyDescent="0.25">
      <c r="A659" s="3"/>
      <c r="B659" s="3"/>
      <c r="C659" s="3"/>
      <c r="D659" s="3"/>
      <c r="E659" s="3"/>
      <c r="F659" s="3"/>
      <c r="G659" s="3"/>
      <c r="H659" s="3"/>
      <c r="I659" s="3"/>
    </row>
    <row r="660" spans="1:9" x14ac:dyDescent="0.25">
      <c r="A660" s="3"/>
      <c r="B660" s="3"/>
      <c r="C660" s="3"/>
      <c r="D660" s="3"/>
      <c r="E660" s="3"/>
      <c r="F660" s="3"/>
      <c r="G660" s="3"/>
      <c r="H660" s="3"/>
      <c r="I660" s="3"/>
    </row>
    <row r="661" spans="1:9" x14ac:dyDescent="0.25">
      <c r="A661" s="3"/>
      <c r="B661" s="3"/>
      <c r="C661" s="3"/>
      <c r="D661" s="3"/>
      <c r="E661" s="3"/>
      <c r="F661" s="3"/>
      <c r="G661" s="3"/>
      <c r="H661" s="3"/>
      <c r="I661" s="3"/>
    </row>
    <row r="662" spans="1:9" x14ac:dyDescent="0.25">
      <c r="A662" s="3"/>
      <c r="B662" s="3"/>
      <c r="C662" s="3"/>
      <c r="D662" s="3"/>
      <c r="E662" s="3"/>
      <c r="F662" s="3"/>
      <c r="G662" s="3"/>
      <c r="H662" s="3"/>
      <c r="I662" s="3"/>
    </row>
    <row r="663" spans="1:9" x14ac:dyDescent="0.25">
      <c r="A663" s="3"/>
      <c r="B663" s="3"/>
      <c r="C663" s="3"/>
      <c r="D663" s="3"/>
      <c r="E663" s="3"/>
      <c r="F663" s="3"/>
      <c r="G663" s="3"/>
      <c r="H663" s="3"/>
      <c r="I663" s="3"/>
    </row>
    <row r="664" spans="1:9" x14ac:dyDescent="0.25">
      <c r="A664" s="3"/>
      <c r="B664" s="3"/>
      <c r="C664" s="3"/>
      <c r="D664" s="3"/>
      <c r="E664" s="3"/>
      <c r="F664" s="3"/>
      <c r="G664" s="3"/>
      <c r="H664" s="3"/>
      <c r="I664" s="3"/>
    </row>
    <row r="665" spans="1:9" x14ac:dyDescent="0.25">
      <c r="A665" s="3"/>
      <c r="B665" s="3"/>
      <c r="C665" s="3"/>
      <c r="D665" s="3"/>
      <c r="E665" s="3"/>
      <c r="F665" s="3"/>
      <c r="G665" s="3"/>
      <c r="H665" s="3"/>
      <c r="I665" s="3"/>
    </row>
    <row r="666" spans="1:9" x14ac:dyDescent="0.25">
      <c r="A666" s="3"/>
      <c r="B666" s="3"/>
      <c r="C666" s="3"/>
      <c r="D666" s="3"/>
      <c r="E666" s="3"/>
      <c r="F666" s="3"/>
      <c r="G666" s="3"/>
      <c r="H666" s="3"/>
      <c r="I666" s="3"/>
    </row>
    <row r="667" spans="1:9" x14ac:dyDescent="0.25">
      <c r="A667" s="3"/>
      <c r="B667" s="3"/>
      <c r="C667" s="3"/>
      <c r="D667" s="3"/>
      <c r="E667" s="3"/>
      <c r="F667" s="3"/>
      <c r="G667" s="3"/>
      <c r="H667" s="3"/>
      <c r="I667" s="3"/>
    </row>
    <row r="668" spans="1:9" x14ac:dyDescent="0.25">
      <c r="A668" s="3"/>
      <c r="B668" s="3"/>
      <c r="C668" s="3"/>
      <c r="D668" s="3"/>
      <c r="E668" s="3"/>
      <c r="F668" s="3"/>
      <c r="G668" s="3"/>
      <c r="H668" s="3"/>
      <c r="I668" s="3"/>
    </row>
    <row r="669" spans="1:9" x14ac:dyDescent="0.25">
      <c r="A669" s="3"/>
      <c r="B669" s="3"/>
      <c r="C669" s="3"/>
      <c r="D669" s="3"/>
      <c r="E669" s="3"/>
      <c r="F669" s="3"/>
      <c r="G669" s="3"/>
      <c r="H669" s="3"/>
      <c r="I669" s="3"/>
    </row>
    <row r="670" spans="1:9" x14ac:dyDescent="0.25">
      <c r="A670" s="3"/>
      <c r="B670" s="3"/>
      <c r="C670" s="3"/>
      <c r="D670" s="3"/>
      <c r="E670" s="3"/>
      <c r="F670" s="3"/>
      <c r="G670" s="3"/>
      <c r="H670" s="3"/>
      <c r="I670" s="3"/>
    </row>
    <row r="671" spans="1:9" x14ac:dyDescent="0.25">
      <c r="A671" s="3"/>
      <c r="B671" s="3"/>
      <c r="C671" s="3"/>
      <c r="D671" s="3"/>
      <c r="E671" s="3"/>
      <c r="F671" s="3"/>
      <c r="G671" s="3"/>
      <c r="H671" s="3"/>
      <c r="I671" s="3"/>
    </row>
    <row r="672" spans="1:9" x14ac:dyDescent="0.25">
      <c r="A672" s="3"/>
      <c r="B672" s="3"/>
      <c r="C672" s="3"/>
      <c r="D672" s="3"/>
      <c r="E672" s="3"/>
      <c r="F672" s="3"/>
      <c r="G672" s="3"/>
      <c r="H672" s="3"/>
      <c r="I672" s="3"/>
    </row>
    <row r="673" spans="1:9" x14ac:dyDescent="0.25">
      <c r="A673" s="3"/>
      <c r="B673" s="3"/>
      <c r="C673" s="3"/>
      <c r="D673" s="3"/>
      <c r="E673" s="3"/>
      <c r="F673" s="3"/>
      <c r="G673" s="3"/>
      <c r="H673" s="3"/>
      <c r="I673" s="3"/>
    </row>
    <row r="674" spans="1:9" x14ac:dyDescent="0.25">
      <c r="A674" s="3"/>
      <c r="B674" s="3"/>
      <c r="C674" s="3"/>
      <c r="D674" s="3"/>
      <c r="E674" s="3"/>
      <c r="F674" s="3"/>
      <c r="G674" s="3"/>
      <c r="H674" s="3"/>
      <c r="I674" s="3"/>
    </row>
    <row r="675" spans="1:9" x14ac:dyDescent="0.25">
      <c r="A675" s="3"/>
      <c r="B675" s="3"/>
      <c r="C675" s="3"/>
      <c r="D675" s="3"/>
      <c r="E675" s="3"/>
      <c r="F675" s="3"/>
      <c r="G675" s="3"/>
      <c r="H675" s="3"/>
      <c r="I675" s="3"/>
    </row>
    <row r="676" spans="1:9" x14ac:dyDescent="0.25">
      <c r="A676" s="3"/>
      <c r="B676" s="3"/>
      <c r="C676" s="3"/>
      <c r="D676" s="3"/>
      <c r="E676" s="3"/>
      <c r="F676" s="3"/>
      <c r="G676" s="3"/>
      <c r="H676" s="3"/>
      <c r="I676" s="3"/>
    </row>
    <row r="677" spans="1:9" x14ac:dyDescent="0.25">
      <c r="A677" s="3"/>
      <c r="B677" s="3"/>
      <c r="C677" s="3"/>
      <c r="D677" s="3"/>
      <c r="E677" s="3"/>
      <c r="F677" s="3"/>
      <c r="G677" s="3"/>
      <c r="H677" s="3"/>
      <c r="I677" s="3"/>
    </row>
    <row r="678" spans="1:9" x14ac:dyDescent="0.25">
      <c r="A678" s="3"/>
      <c r="B678" s="3"/>
      <c r="C678" s="3"/>
      <c r="D678" s="3"/>
      <c r="E678" s="3"/>
      <c r="F678" s="3"/>
      <c r="G678" s="3"/>
      <c r="H678" s="3"/>
      <c r="I678" s="3"/>
    </row>
    <row r="679" spans="1:9" x14ac:dyDescent="0.25">
      <c r="A679" s="3"/>
      <c r="B679" s="3"/>
      <c r="C679" s="3"/>
      <c r="D679" s="3"/>
      <c r="E679" s="3"/>
      <c r="F679" s="3"/>
      <c r="G679" s="3"/>
      <c r="H679" s="3"/>
      <c r="I679" s="3"/>
    </row>
    <row r="680" spans="1:9" x14ac:dyDescent="0.25">
      <c r="A680" s="3"/>
      <c r="B680" s="3"/>
      <c r="C680" s="3"/>
      <c r="D680" s="3"/>
      <c r="E680" s="3"/>
      <c r="F680" s="3"/>
      <c r="G680" s="3"/>
      <c r="H680" s="3"/>
      <c r="I680" s="3"/>
    </row>
    <row r="681" spans="1:9" x14ac:dyDescent="0.25">
      <c r="A681" s="3"/>
      <c r="B681" s="3"/>
      <c r="C681" s="3"/>
      <c r="D681" s="3"/>
      <c r="E681" s="3"/>
      <c r="F681" s="3"/>
      <c r="G681" s="3"/>
      <c r="H681" s="3"/>
      <c r="I681" s="3"/>
    </row>
    <row r="682" spans="1:9" x14ac:dyDescent="0.25">
      <c r="A682" s="3"/>
      <c r="B682" s="3"/>
      <c r="C682" s="3"/>
      <c r="D682" s="3"/>
      <c r="E682" s="3"/>
      <c r="F682" s="3"/>
      <c r="G682" s="3"/>
      <c r="H682" s="3"/>
      <c r="I682" s="3"/>
    </row>
    <row r="683" spans="1:9" x14ac:dyDescent="0.25">
      <c r="A683" s="3"/>
      <c r="B683" s="3"/>
      <c r="C683" s="3"/>
      <c r="D683" s="3"/>
      <c r="E683" s="3"/>
      <c r="F683" s="3"/>
      <c r="G683" s="3"/>
      <c r="H683" s="3"/>
      <c r="I683" s="3"/>
    </row>
    <row r="684" spans="1:9" x14ac:dyDescent="0.25">
      <c r="A684" s="3"/>
      <c r="B684" s="3"/>
      <c r="C684" s="3"/>
      <c r="D684" s="3"/>
      <c r="E684" s="3"/>
      <c r="F684" s="3"/>
      <c r="G684" s="3"/>
      <c r="H684" s="3"/>
      <c r="I684" s="3"/>
    </row>
    <row r="685" spans="1:9" x14ac:dyDescent="0.25">
      <c r="A685" s="3"/>
      <c r="B685" s="3"/>
      <c r="C685" s="3"/>
      <c r="D685" s="3"/>
      <c r="E685" s="3"/>
      <c r="F685" s="3"/>
      <c r="G685" s="3"/>
      <c r="H685" s="3"/>
      <c r="I685" s="3"/>
    </row>
    <row r="686" spans="1:9" x14ac:dyDescent="0.25">
      <c r="A686" s="3"/>
      <c r="B686" s="3"/>
      <c r="C686" s="3"/>
      <c r="D686" s="3"/>
      <c r="E686" s="3"/>
      <c r="F686" s="3"/>
      <c r="G686" s="3"/>
      <c r="H686" s="3"/>
      <c r="I686" s="3"/>
    </row>
    <row r="687" spans="1:9" x14ac:dyDescent="0.25">
      <c r="A687" s="3"/>
      <c r="B687" s="3"/>
      <c r="C687" s="3"/>
      <c r="D687" s="3"/>
      <c r="E687" s="3"/>
      <c r="F687" s="3"/>
      <c r="G687" s="3"/>
      <c r="H687" s="3"/>
      <c r="I687" s="3"/>
    </row>
    <row r="688" spans="1:9" x14ac:dyDescent="0.25">
      <c r="A688" s="3"/>
      <c r="B688" s="3"/>
      <c r="C688" s="3"/>
      <c r="D688" s="3"/>
      <c r="E688" s="3"/>
      <c r="F688" s="3"/>
      <c r="G688" s="3"/>
      <c r="H688" s="3"/>
      <c r="I688" s="3"/>
    </row>
    <row r="689" spans="1:9" x14ac:dyDescent="0.25">
      <c r="A689" s="3"/>
      <c r="B689" s="3"/>
      <c r="C689" s="3"/>
      <c r="D689" s="3"/>
      <c r="E689" s="3"/>
      <c r="F689" s="3"/>
      <c r="G689" s="3"/>
      <c r="H689" s="3"/>
      <c r="I689" s="3"/>
    </row>
    <row r="690" spans="1:9" x14ac:dyDescent="0.25">
      <c r="A690" s="3"/>
      <c r="B690" s="3"/>
      <c r="C690" s="3"/>
      <c r="D690" s="3"/>
      <c r="E690" s="3"/>
      <c r="F690" s="3"/>
      <c r="G690" s="3"/>
      <c r="H690" s="3"/>
      <c r="I690" s="3"/>
    </row>
    <row r="691" spans="1:9" x14ac:dyDescent="0.25">
      <c r="A691" s="3"/>
      <c r="B691" s="3"/>
      <c r="C691" s="3"/>
      <c r="D691" s="3"/>
      <c r="E691" s="3"/>
      <c r="F691" s="3"/>
      <c r="G691" s="3"/>
      <c r="H691" s="3"/>
      <c r="I691" s="3"/>
    </row>
    <row r="692" spans="1:9" x14ac:dyDescent="0.25">
      <c r="A692" s="3"/>
      <c r="B692" s="3"/>
      <c r="C692" s="3"/>
      <c r="D692" s="3"/>
      <c r="E692" s="3"/>
      <c r="F692" s="3"/>
      <c r="G692" s="3"/>
      <c r="H692" s="3"/>
      <c r="I692" s="3"/>
    </row>
    <row r="693" spans="1:9" x14ac:dyDescent="0.25">
      <c r="A693" s="3"/>
      <c r="B693" s="3"/>
      <c r="C693" s="3"/>
      <c r="D693" s="3"/>
      <c r="E693" s="3"/>
      <c r="F693" s="3"/>
      <c r="G693" s="3"/>
      <c r="H693" s="3"/>
      <c r="I693" s="3"/>
    </row>
    <row r="694" spans="1:9" x14ac:dyDescent="0.25">
      <c r="A694" s="3"/>
      <c r="B694" s="3"/>
      <c r="C694" s="3"/>
      <c r="D694" s="3"/>
      <c r="E694" s="3"/>
      <c r="F694" s="3"/>
      <c r="G694" s="3"/>
      <c r="H694" s="3"/>
      <c r="I694" s="3"/>
    </row>
    <row r="695" spans="1:9" x14ac:dyDescent="0.25">
      <c r="A695" s="3"/>
      <c r="B695" s="3"/>
      <c r="C695" s="3"/>
      <c r="D695" s="3"/>
      <c r="E695" s="3"/>
      <c r="F695" s="3"/>
      <c r="G695" s="3"/>
      <c r="H695" s="3"/>
      <c r="I695" s="3"/>
    </row>
    <row r="696" spans="1:9" x14ac:dyDescent="0.25">
      <c r="A696" s="3"/>
      <c r="B696" s="3"/>
      <c r="C696" s="3"/>
      <c r="D696" s="3"/>
      <c r="E696" s="3"/>
      <c r="F696" s="3"/>
      <c r="G696" s="3"/>
      <c r="H696" s="3"/>
      <c r="I696" s="3"/>
    </row>
    <row r="697" spans="1:9" x14ac:dyDescent="0.25">
      <c r="A697" s="3"/>
      <c r="B697" s="3"/>
      <c r="C697" s="3"/>
      <c r="D697" s="3"/>
      <c r="E697" s="3"/>
      <c r="F697" s="3"/>
      <c r="G697" s="3"/>
      <c r="H697" s="3"/>
      <c r="I697" s="3"/>
    </row>
    <row r="698" spans="1:9" x14ac:dyDescent="0.25">
      <c r="A698" s="3"/>
      <c r="B698" s="3"/>
      <c r="C698" s="3"/>
      <c r="D698" s="3"/>
      <c r="E698" s="3"/>
      <c r="F698" s="3"/>
      <c r="G698" s="3"/>
      <c r="H698" s="3"/>
      <c r="I698" s="3"/>
    </row>
    <row r="699" spans="1:9" x14ac:dyDescent="0.25">
      <c r="A699" s="3"/>
      <c r="B699" s="3"/>
      <c r="C699" s="3"/>
      <c r="D699" s="3"/>
      <c r="E699" s="3"/>
      <c r="F699" s="3"/>
      <c r="G699" s="3"/>
      <c r="H699" s="3"/>
      <c r="I699" s="3"/>
    </row>
    <row r="700" spans="1:9" x14ac:dyDescent="0.25">
      <c r="A700" s="3"/>
      <c r="B700" s="3"/>
      <c r="C700" s="3"/>
      <c r="D700" s="3"/>
      <c r="E700" s="3"/>
      <c r="F700" s="3"/>
      <c r="G700" s="3"/>
      <c r="H700" s="3"/>
      <c r="I700" s="3"/>
    </row>
    <row r="701" spans="1:9" x14ac:dyDescent="0.25">
      <c r="A701" s="3"/>
      <c r="B701" s="3"/>
      <c r="C701" s="3"/>
      <c r="D701" s="3"/>
      <c r="E701" s="3"/>
      <c r="F701" s="3"/>
      <c r="G701" s="3"/>
      <c r="H701" s="3"/>
      <c r="I701" s="3"/>
    </row>
    <row r="702" spans="1:9" x14ac:dyDescent="0.25">
      <c r="A702" s="3"/>
      <c r="B702" s="3"/>
      <c r="C702" s="3"/>
      <c r="D702" s="3"/>
      <c r="E702" s="3"/>
      <c r="F702" s="3"/>
      <c r="G702" s="3"/>
      <c r="H702" s="3"/>
      <c r="I702" s="3"/>
    </row>
    <row r="703" spans="1:9" x14ac:dyDescent="0.25">
      <c r="A703" s="3"/>
      <c r="B703" s="3"/>
      <c r="C703" s="3"/>
      <c r="D703" s="3"/>
      <c r="E703" s="3"/>
      <c r="F703" s="3"/>
      <c r="G703" s="3"/>
      <c r="H703" s="3"/>
      <c r="I703" s="3"/>
    </row>
    <row r="704" spans="1:9" x14ac:dyDescent="0.25">
      <c r="A704" s="3"/>
      <c r="B704" s="3"/>
      <c r="C704" s="3"/>
      <c r="D704" s="3"/>
      <c r="E704" s="3"/>
      <c r="F704" s="3"/>
      <c r="G704" s="3"/>
      <c r="H704" s="3"/>
      <c r="I704" s="3"/>
    </row>
    <row r="705" spans="1:9" x14ac:dyDescent="0.25">
      <c r="A705" s="3"/>
      <c r="B705" s="3"/>
      <c r="C705" s="3"/>
      <c r="D705" s="3"/>
      <c r="E705" s="3"/>
      <c r="F705" s="3"/>
      <c r="G705" s="3"/>
      <c r="H705" s="3"/>
      <c r="I705" s="3"/>
    </row>
    <row r="706" spans="1:9" x14ac:dyDescent="0.25">
      <c r="A706" s="3"/>
      <c r="B706" s="3"/>
      <c r="C706" s="3"/>
      <c r="D706" s="3"/>
      <c r="E706" s="3"/>
      <c r="F706" s="3"/>
      <c r="G706" s="3"/>
      <c r="H706" s="3"/>
      <c r="I706" s="3"/>
    </row>
    <row r="707" spans="1:9" x14ac:dyDescent="0.25">
      <c r="A707" s="3"/>
      <c r="B707" s="3"/>
      <c r="C707" s="3"/>
      <c r="D707" s="3"/>
      <c r="E707" s="3"/>
      <c r="F707" s="3"/>
      <c r="G707" s="3"/>
      <c r="H707" s="3"/>
      <c r="I707" s="3"/>
    </row>
    <row r="708" spans="1:9" x14ac:dyDescent="0.25">
      <c r="A708" s="3"/>
      <c r="B708" s="3"/>
      <c r="C708" s="3"/>
      <c r="D708" s="3"/>
      <c r="E708" s="3"/>
      <c r="F708" s="3"/>
      <c r="G708" s="3"/>
      <c r="H708" s="3"/>
      <c r="I708" s="3"/>
    </row>
    <row r="709" spans="1:9" x14ac:dyDescent="0.25">
      <c r="A709" s="3"/>
      <c r="B709" s="3"/>
      <c r="C709" s="3"/>
      <c r="D709" s="3"/>
      <c r="E709" s="3"/>
      <c r="F709" s="3"/>
      <c r="G709" s="3"/>
      <c r="H709" s="3"/>
      <c r="I709" s="3"/>
    </row>
    <row r="710" spans="1:9" x14ac:dyDescent="0.25">
      <c r="A710" s="3"/>
      <c r="B710" s="3"/>
      <c r="C710" s="3"/>
      <c r="D710" s="3"/>
      <c r="E710" s="3"/>
      <c r="F710" s="3"/>
      <c r="G710" s="3"/>
      <c r="H710" s="3"/>
      <c r="I710" s="3"/>
    </row>
    <row r="711" spans="1:9" x14ac:dyDescent="0.25">
      <c r="A711" s="3"/>
      <c r="B711" s="3"/>
      <c r="C711" s="3"/>
      <c r="D711" s="3"/>
      <c r="E711" s="3"/>
      <c r="F711" s="3"/>
      <c r="G711" s="3"/>
      <c r="H711" s="3"/>
      <c r="I711" s="3"/>
    </row>
    <row r="712" spans="1:9" x14ac:dyDescent="0.25">
      <c r="A712" s="3"/>
      <c r="B712" s="3"/>
      <c r="C712" s="3"/>
      <c r="D712" s="3"/>
      <c r="E712" s="3"/>
      <c r="F712" s="3"/>
      <c r="G712" s="3"/>
      <c r="H712" s="3"/>
      <c r="I712" s="3"/>
    </row>
    <row r="713" spans="1:9" x14ac:dyDescent="0.25">
      <c r="A713" s="3"/>
      <c r="B713" s="3"/>
      <c r="C713" s="3"/>
      <c r="D713" s="3"/>
      <c r="E713" s="3"/>
      <c r="F713" s="3"/>
      <c r="G713" s="3"/>
      <c r="H713" s="3"/>
      <c r="I713" s="3"/>
    </row>
    <row r="714" spans="1:9" x14ac:dyDescent="0.25">
      <c r="A714" s="3"/>
      <c r="B714" s="3"/>
      <c r="C714" s="3"/>
      <c r="D714" s="3"/>
      <c r="E714" s="3"/>
      <c r="F714" s="3"/>
      <c r="G714" s="3"/>
      <c r="H714" s="3"/>
      <c r="I714" s="3"/>
    </row>
    <row r="715" spans="1:9" x14ac:dyDescent="0.25">
      <c r="A715" s="3"/>
      <c r="B715" s="3"/>
      <c r="C715" s="3"/>
      <c r="D715" s="3"/>
      <c r="E715" s="3"/>
      <c r="F715" s="3"/>
      <c r="G715" s="3"/>
      <c r="H715" s="3"/>
      <c r="I715" s="3"/>
    </row>
    <row r="716" spans="1:9" x14ac:dyDescent="0.25">
      <c r="B716" s="3"/>
      <c r="C716" s="3"/>
      <c r="D716" s="3"/>
      <c r="E716" s="3"/>
      <c r="F716" s="3"/>
      <c r="G716" s="3"/>
      <c r="H716" s="3"/>
      <c r="I716" s="3"/>
    </row>
    <row r="717" spans="1:9" x14ac:dyDescent="0.25">
      <c r="B717" s="3"/>
      <c r="C717" s="3"/>
      <c r="D717" s="3"/>
      <c r="E717" s="3"/>
      <c r="F717" s="3"/>
      <c r="G717" s="3"/>
      <c r="H717" s="3"/>
      <c r="I717" s="3"/>
    </row>
    <row r="718" spans="1:9" x14ac:dyDescent="0.25">
      <c r="B718" s="3"/>
      <c r="C718" s="3"/>
      <c r="D718" s="3"/>
      <c r="E718" s="3"/>
      <c r="F718" s="3"/>
      <c r="G718" s="3"/>
      <c r="H718" s="3"/>
      <c r="I718" s="3"/>
    </row>
    <row r="719" spans="1:9" x14ac:dyDescent="0.25">
      <c r="B719" s="3"/>
      <c r="C719" s="3"/>
      <c r="D719" s="3"/>
      <c r="E719" s="3"/>
      <c r="F719" s="3"/>
      <c r="G719" s="3"/>
      <c r="H719" s="3"/>
      <c r="I719" s="3"/>
    </row>
    <row r="720" spans="1:9" x14ac:dyDescent="0.25">
      <c r="B720" s="3"/>
      <c r="C720" s="3"/>
      <c r="D720" s="3"/>
      <c r="E720" s="3"/>
      <c r="F720" s="3"/>
      <c r="G720" s="3"/>
      <c r="H720" s="3"/>
      <c r="I720" s="3"/>
    </row>
  </sheetData>
  <mergeCells count="18">
    <mergeCell ref="A69:B69"/>
    <mergeCell ref="D69:E69"/>
    <mergeCell ref="A70:B70"/>
    <mergeCell ref="C70:C71"/>
    <mergeCell ref="D70:E71"/>
    <mergeCell ref="A71:B71"/>
    <mergeCell ref="E52:J52"/>
    <mergeCell ref="E53:J53"/>
    <mergeCell ref="A52:D52"/>
    <mergeCell ref="A53:D53"/>
    <mergeCell ref="G68:H68"/>
    <mergeCell ref="I68:J68"/>
    <mergeCell ref="G71:H71"/>
    <mergeCell ref="I71:J71"/>
    <mergeCell ref="G69:H69"/>
    <mergeCell ref="I69:J69"/>
    <mergeCell ref="G70:H70"/>
    <mergeCell ref="I70:J70"/>
  </mergeCells>
  <phoneticPr fontId="0" type="noConversion"/>
  <printOptions horizontalCentered="1" verticalCentered="1"/>
  <pageMargins left="0.5" right="0" top="0.35" bottom="0.05" header="0" footer="0"/>
  <pageSetup orientation="portrait" horizontalDpi="360" verticalDpi="36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pageSetUpPr autoPageBreaks="0" fitToPage="1"/>
  </sheetPr>
  <dimension ref="A1:J713"/>
  <sheetViews>
    <sheetView showGridLines="0" showZeros="0" workbookViewId="0"/>
  </sheetViews>
  <sheetFormatPr baseColWidth="10" defaultColWidth="8.88671875" defaultRowHeight="13.2" x14ac:dyDescent="0.25"/>
  <cols>
    <col min="1" max="1" width="21.33203125" customWidth="1"/>
    <col min="2" max="2" width="9.5546875" customWidth="1"/>
    <col min="3" max="3" width="13.88671875" customWidth="1"/>
    <col min="4" max="4" width="11.6640625" customWidth="1"/>
    <col min="5" max="5" width="10.44140625" customWidth="1"/>
    <col min="6" max="6" width="10.5546875" customWidth="1"/>
    <col min="7" max="7" width="4" customWidth="1"/>
    <col min="8" max="8" width="5.88671875" customWidth="1"/>
    <col min="9" max="9" width="9.44140625" customWidth="1"/>
    <col min="10" max="10" width="9.88671875" customWidth="1"/>
  </cols>
  <sheetData>
    <row r="1" spans="1:10" ht="6" customHeight="1" x14ac:dyDescent="0.25">
      <c r="A1" s="8"/>
      <c r="B1" s="9"/>
      <c r="C1" s="9"/>
      <c r="D1" s="9"/>
      <c r="E1" s="9"/>
      <c r="F1" s="9"/>
      <c r="G1" s="9"/>
      <c r="H1" s="9"/>
      <c r="I1" s="9"/>
      <c r="J1" s="10"/>
    </row>
    <row r="2" spans="1:10" ht="42" customHeight="1" thickBot="1" x14ac:dyDescent="0.35">
      <c r="A2" s="186"/>
      <c r="B2" s="48"/>
      <c r="C2" s="187"/>
      <c r="D2" s="50"/>
      <c r="E2" s="51"/>
      <c r="F2" s="52"/>
      <c r="G2" s="53"/>
      <c r="H2" s="53"/>
      <c r="I2" s="53"/>
      <c r="J2" s="54" t="str">
        <f>"EXTRA WBM PROPERTIES REPORT No. "&amp;[1]IFE!B166&amp;" "</f>
        <v xml:space="preserve">EXTRA WBM PROPERTIES REPORT No. 9 </v>
      </c>
    </row>
    <row r="3" spans="1:10" ht="9.9" customHeight="1" x14ac:dyDescent="0.25">
      <c r="A3" s="55" t="s">
        <v>11</v>
      </c>
      <c r="B3" s="56" t="str">
        <f xml:space="preserve"> [1]IFE!B6</f>
        <v>Cardon IV</v>
      </c>
      <c r="C3" s="57"/>
      <c r="D3" s="58" t="s">
        <v>13</v>
      </c>
      <c r="E3" s="59" t="str">
        <f xml:space="preserve"> [1]IFE!B9</f>
        <v>Golfo de Venezuela</v>
      </c>
      <c r="F3" s="4"/>
      <c r="G3" s="4"/>
      <c r="H3" s="58" t="s">
        <v>37</v>
      </c>
      <c r="I3" s="152" t="str">
        <f>[1]IFE!B120&amp;" "&amp;[1]IFE!B30&amp;" /"</f>
        <v>563 pies /</v>
      </c>
      <c r="J3" s="151" t="str">
        <f>[1]IFE!B121&amp;" "&amp;[1]IFE!B30</f>
        <v>563 pies</v>
      </c>
    </row>
    <row r="4" spans="1:10" ht="9.9" customHeight="1" x14ac:dyDescent="0.25">
      <c r="A4" s="61" t="s">
        <v>12</v>
      </c>
      <c r="B4" s="62" t="str">
        <f xml:space="preserve"> [1]IFE!B125</f>
        <v>Gerrit Ham / Jhony Quintero</v>
      </c>
      <c r="C4" s="63"/>
      <c r="D4" s="64" t="s">
        <v>38</v>
      </c>
      <c r="E4" s="62" t="str">
        <f>[1]IFE!B10</f>
        <v>Exploratory</v>
      </c>
      <c r="H4" s="64" t="s">
        <v>5</v>
      </c>
      <c r="I4" s="153">
        <f>[1]IFE!B119</f>
        <v>39989</v>
      </c>
      <c r="J4" s="244"/>
    </row>
    <row r="5" spans="1:10" ht="9.9" customHeight="1" x14ac:dyDescent="0.25">
      <c r="A5" s="61" t="s">
        <v>7</v>
      </c>
      <c r="B5" s="62" t="str">
        <f xml:space="preserve"> [1]IFE!B8</f>
        <v>Perla-1X</v>
      </c>
      <c r="C5" s="63"/>
      <c r="D5" s="64" t="s">
        <v>16</v>
      </c>
      <c r="E5" s="62" t="str">
        <f>[1]IFE!B11</f>
        <v>Offshore</v>
      </c>
      <c r="H5" s="64" t="s">
        <v>14</v>
      </c>
      <c r="I5" s="153">
        <f>[1]IFE!B5</f>
        <v>39981</v>
      </c>
      <c r="J5" s="244"/>
    </row>
    <row r="6" spans="1:10" ht="11.1" customHeight="1" x14ac:dyDescent="0.25">
      <c r="A6" s="61" t="s">
        <v>15</v>
      </c>
      <c r="B6" s="62" t="str">
        <f xml:space="preserve"> [1]IFE!B15</f>
        <v>Ensco</v>
      </c>
      <c r="C6" s="63"/>
      <c r="D6" s="64" t="s">
        <v>107</v>
      </c>
      <c r="E6" s="65" t="str">
        <f>[1]IFE!B16&amp;" "&amp;[1]IFE!B30</f>
        <v>202 pies</v>
      </c>
      <c r="G6" s="66"/>
      <c r="H6" s="67" t="s">
        <v>4</v>
      </c>
      <c r="I6" s="155" t="str">
        <f>[1]IFE!B124</f>
        <v>Agua de mar / HI VIS</v>
      </c>
      <c r="J6" s="244"/>
    </row>
    <row r="7" spans="1:10" ht="11.1" customHeight="1" thickBot="1" x14ac:dyDescent="0.3">
      <c r="A7" s="68" t="s">
        <v>12</v>
      </c>
      <c r="B7" s="69" t="str">
        <f>[1]IFE!B126</f>
        <v>Ricky Otwell</v>
      </c>
      <c r="C7" s="70"/>
      <c r="D7" s="71" t="s">
        <v>237</v>
      </c>
      <c r="E7" s="69">
        <f>[1]IFE!Z981</f>
        <v>68</v>
      </c>
      <c r="F7" s="1"/>
      <c r="H7" s="64" t="s">
        <v>17</v>
      </c>
      <c r="I7" s="534" t="str">
        <f xml:space="preserve"> [1]IFE!B123</f>
        <v>Bajando Tuberia</v>
      </c>
      <c r="J7" s="535"/>
    </row>
    <row r="8" spans="1:10" ht="11.1" customHeight="1" thickBot="1" x14ac:dyDescent="0.3">
      <c r="A8" s="735" t="s">
        <v>240</v>
      </c>
      <c r="B8" s="736"/>
      <c r="C8" s="736"/>
      <c r="D8" s="736"/>
      <c r="E8" s="736"/>
      <c r="F8" s="737"/>
      <c r="G8" s="536"/>
      <c r="H8" s="537"/>
      <c r="I8" s="537"/>
      <c r="J8" s="240"/>
    </row>
    <row r="9" spans="1:10" ht="11.1" customHeight="1" x14ac:dyDescent="0.25">
      <c r="A9" s="586" t="s">
        <v>47</v>
      </c>
      <c r="B9" s="587"/>
      <c r="C9" s="83" t="str">
        <f>CONCATENATE(TEXT([1]IFE!C77," ")&amp;" "&amp;TEXT([1]IFE!C78,"H:MM"))</f>
        <v>TK  1 12:00</v>
      </c>
      <c r="D9" s="83" t="str">
        <f>CONCATENATE(TEXT([1]IFE!D77," ")&amp;" "&amp;TEXT([1]IFE!D78,"H:MM"))</f>
        <v xml:space="preserve">  0:00</v>
      </c>
      <c r="E9" s="83" t="str">
        <f>CONCATENATE(TEXT([1]IFE!E77," ")&amp;" "&amp;TEXT([1]IFE!E78,"H:MM"))</f>
        <v>TK  3 12:00</v>
      </c>
      <c r="F9" s="538" t="str">
        <f>CONCATENATE(TEXT([1]IFE!F77," ")&amp;" "&amp;TEXT([1]IFE!F78,"H:MM"))</f>
        <v>TK  3 0:00</v>
      </c>
      <c r="G9" s="539"/>
      <c r="H9" s="540"/>
      <c r="I9" s="541"/>
      <c r="J9" s="542"/>
    </row>
    <row r="10" spans="1:10" ht="9.9" customHeight="1" x14ac:dyDescent="0.25">
      <c r="A10" s="588">
        <f>[1]IFE!H2801</f>
        <v>0</v>
      </c>
      <c r="B10" s="589">
        <f>[1]IFE!I2801</f>
        <v>0</v>
      </c>
      <c r="C10" s="6">
        <f>[1]IFE!B2801</f>
        <v>0</v>
      </c>
      <c r="D10" s="6">
        <f>[1]IFE!C2801</f>
        <v>0</v>
      </c>
      <c r="E10" s="6">
        <f>[1]IFE!D2801</f>
        <v>0</v>
      </c>
      <c r="F10" s="6">
        <f>[1]IFE!E2801</f>
        <v>0</v>
      </c>
      <c r="G10" s="543"/>
      <c r="H10" s="544"/>
      <c r="I10" s="545"/>
      <c r="J10" s="546"/>
    </row>
    <row r="11" spans="1:10" ht="9.9" customHeight="1" x14ac:dyDescent="0.25">
      <c r="A11" s="588">
        <f>[1]IFE!H2802</f>
        <v>0</v>
      </c>
      <c r="B11" s="589">
        <f>[1]IFE!I2802</f>
        <v>0</v>
      </c>
      <c r="C11" s="6">
        <f>[1]IFE!B2802</f>
        <v>0</v>
      </c>
      <c r="D11" s="6">
        <f>[1]IFE!C2802</f>
        <v>0</v>
      </c>
      <c r="E11" s="6">
        <f>[1]IFE!D2802</f>
        <v>0</v>
      </c>
      <c r="F11" s="6">
        <f>[1]IFE!E2802</f>
        <v>0</v>
      </c>
      <c r="G11" s="539"/>
      <c r="H11" s="544"/>
      <c r="I11" s="545"/>
      <c r="J11" s="546"/>
    </row>
    <row r="12" spans="1:10" ht="9.9" customHeight="1" x14ac:dyDescent="0.25">
      <c r="A12" s="588">
        <f>[1]IFE!H2803</f>
        <v>0</v>
      </c>
      <c r="B12" s="589">
        <f>[1]IFE!I2803</f>
        <v>0</v>
      </c>
      <c r="C12" s="6">
        <f>[1]IFE!B2803</f>
        <v>0</v>
      </c>
      <c r="D12" s="6">
        <f>[1]IFE!C2803</f>
        <v>0</v>
      </c>
      <c r="E12" s="6">
        <f>[1]IFE!D2803</f>
        <v>0</v>
      </c>
      <c r="F12" s="6">
        <f>[1]IFE!E2803</f>
        <v>0</v>
      </c>
      <c r="G12" s="547"/>
      <c r="H12" s="548"/>
      <c r="I12" s="164"/>
      <c r="J12" s="549"/>
    </row>
    <row r="13" spans="1:10" ht="9.9" customHeight="1" x14ac:dyDescent="0.25">
      <c r="A13" s="588">
        <f>[1]IFE!H2804</f>
        <v>0</v>
      </c>
      <c r="B13" s="589">
        <f>[1]IFE!I2804</f>
        <v>0</v>
      </c>
      <c r="C13" s="6">
        <f>[1]IFE!B2804</f>
        <v>0</v>
      </c>
      <c r="D13" s="6">
        <f>[1]IFE!C2804</f>
        <v>0</v>
      </c>
      <c r="E13" s="6">
        <f>[1]IFE!D2804</f>
        <v>0</v>
      </c>
      <c r="F13" s="6">
        <f>[1]IFE!E2804</f>
        <v>0</v>
      </c>
      <c r="G13" s="543"/>
      <c r="H13" s="544"/>
      <c r="I13" s="550"/>
      <c r="J13" s="551"/>
    </row>
    <row r="14" spans="1:10" ht="9.9" customHeight="1" x14ac:dyDescent="0.25">
      <c r="A14" s="588">
        <f>[1]IFE!H2805</f>
        <v>0</v>
      </c>
      <c r="B14" s="589">
        <f>[1]IFE!I2805</f>
        <v>0</v>
      </c>
      <c r="C14" s="6">
        <f>[1]IFE!B2805</f>
        <v>0</v>
      </c>
      <c r="D14" s="6">
        <f>[1]IFE!C2805</f>
        <v>0</v>
      </c>
      <c r="E14" s="6">
        <f>[1]IFE!D2805</f>
        <v>0</v>
      </c>
      <c r="F14" s="6">
        <f>[1]IFE!E2805</f>
        <v>0</v>
      </c>
      <c r="G14" s="552"/>
      <c r="H14" s="544"/>
      <c r="I14" s="41"/>
      <c r="J14" s="551"/>
    </row>
    <row r="15" spans="1:10" ht="9.9" customHeight="1" x14ac:dyDescent="0.25">
      <c r="A15" s="588">
        <f>[1]IFE!H2806</f>
        <v>0</v>
      </c>
      <c r="B15" s="589">
        <f>[1]IFE!I2806</f>
        <v>0</v>
      </c>
      <c r="C15" s="6">
        <f>[1]IFE!B2806</f>
        <v>0</v>
      </c>
      <c r="D15" s="6">
        <f>[1]IFE!C2806</f>
        <v>0</v>
      </c>
      <c r="E15" s="6">
        <f>[1]IFE!D2806</f>
        <v>0</v>
      </c>
      <c r="F15" s="6">
        <f>[1]IFE!E2806</f>
        <v>0</v>
      </c>
      <c r="G15" s="543"/>
      <c r="H15" s="544"/>
      <c r="I15" s="553"/>
      <c r="J15" s="40"/>
    </row>
    <row r="16" spans="1:10" ht="9.9" customHeight="1" x14ac:dyDescent="0.25">
      <c r="A16" s="588">
        <f>[1]IFE!H2807</f>
        <v>0</v>
      </c>
      <c r="B16" s="589">
        <f>[1]IFE!I2807</f>
        <v>0</v>
      </c>
      <c r="C16" s="6">
        <f>[1]IFE!B2807</f>
        <v>0</v>
      </c>
      <c r="D16" s="6">
        <f>[1]IFE!C2807</f>
        <v>0</v>
      </c>
      <c r="E16" s="6">
        <f>[1]IFE!D2807</f>
        <v>0</v>
      </c>
      <c r="F16" s="6">
        <f>[1]IFE!E2807</f>
        <v>0</v>
      </c>
      <c r="G16" s="552"/>
      <c r="H16" s="544"/>
      <c r="I16" s="553"/>
      <c r="J16" s="40"/>
    </row>
    <row r="17" spans="1:10" ht="9.9" customHeight="1" x14ac:dyDescent="0.25">
      <c r="A17" s="588">
        <f>[1]IFE!H2808</f>
        <v>0</v>
      </c>
      <c r="B17" s="589">
        <f>[1]IFE!I2808</f>
        <v>0</v>
      </c>
      <c r="C17" s="6">
        <f>[1]IFE!B2808</f>
        <v>0</v>
      </c>
      <c r="D17" s="6">
        <f>[1]IFE!C2808</f>
        <v>0</v>
      </c>
      <c r="E17" s="6">
        <f>[1]IFE!D2808</f>
        <v>0</v>
      </c>
      <c r="F17" s="6">
        <f>[1]IFE!E2808</f>
        <v>0</v>
      </c>
      <c r="G17" s="554"/>
      <c r="H17" s="555"/>
      <c r="I17" s="555"/>
      <c r="J17" s="556"/>
    </row>
    <row r="18" spans="1:10" ht="9.9" customHeight="1" x14ac:dyDescent="0.25">
      <c r="A18" s="588">
        <f>[1]IFE!H2809</f>
        <v>0</v>
      </c>
      <c r="B18" s="589">
        <f>[1]IFE!I2809</f>
        <v>0</v>
      </c>
      <c r="C18" s="6">
        <f>[1]IFE!B2809</f>
        <v>0</v>
      </c>
      <c r="D18" s="6">
        <f>[1]IFE!C2809</f>
        <v>0</v>
      </c>
      <c r="E18" s="6">
        <f>[1]IFE!D2809</f>
        <v>0</v>
      </c>
      <c r="F18" s="6">
        <f>[1]IFE!E2809</f>
        <v>0</v>
      </c>
      <c r="G18" s="557"/>
      <c r="H18" s="558"/>
      <c r="I18" s="559"/>
      <c r="J18" s="560"/>
    </row>
    <row r="19" spans="1:10" ht="9.9" customHeight="1" x14ac:dyDescent="0.25">
      <c r="A19" s="588">
        <f>[1]IFE!H2810</f>
        <v>0</v>
      </c>
      <c r="B19" s="589">
        <f>[1]IFE!I2810</f>
        <v>0</v>
      </c>
      <c r="C19" s="6">
        <f>[1]IFE!B2810</f>
        <v>0</v>
      </c>
      <c r="D19" s="6">
        <f>[1]IFE!C2810</f>
        <v>0</v>
      </c>
      <c r="E19" s="6">
        <f>[1]IFE!D2810</f>
        <v>0</v>
      </c>
      <c r="F19" s="6">
        <f>[1]IFE!E2810</f>
        <v>0</v>
      </c>
      <c r="G19" s="561"/>
      <c r="H19" s="562"/>
      <c r="I19" s="41"/>
      <c r="J19" s="563"/>
    </row>
    <row r="20" spans="1:10" ht="9.9" customHeight="1" x14ac:dyDescent="0.25">
      <c r="A20" s="588">
        <f>[1]IFE!H2811</f>
        <v>0</v>
      </c>
      <c r="B20" s="589">
        <f>[1]IFE!I2811</f>
        <v>0</v>
      </c>
      <c r="C20" s="6">
        <f>[1]IFE!B2811</f>
        <v>0</v>
      </c>
      <c r="D20" s="6">
        <f>[1]IFE!C2811</f>
        <v>0</v>
      </c>
      <c r="E20" s="6">
        <f>[1]IFE!D2811</f>
        <v>0</v>
      </c>
      <c r="F20" s="6">
        <f>[1]IFE!E2811</f>
        <v>0</v>
      </c>
      <c r="G20" s="561"/>
      <c r="H20" s="562"/>
      <c r="I20" s="41"/>
      <c r="J20" s="563"/>
    </row>
    <row r="21" spans="1:10" ht="9.9" customHeight="1" x14ac:dyDescent="0.25">
      <c r="A21" s="588">
        <f>[1]IFE!H2812</f>
        <v>0</v>
      </c>
      <c r="B21" s="589">
        <f>[1]IFE!I2812</f>
        <v>0</v>
      </c>
      <c r="C21" s="6">
        <f>[1]IFE!B2812</f>
        <v>0</v>
      </c>
      <c r="D21" s="6">
        <f>[1]IFE!C2812</f>
        <v>0</v>
      </c>
      <c r="E21" s="6">
        <f>[1]IFE!D2812</f>
        <v>0</v>
      </c>
      <c r="F21" s="6">
        <f>[1]IFE!E2812</f>
        <v>0</v>
      </c>
      <c r="G21" s="561"/>
      <c r="H21" s="562"/>
      <c r="I21" s="41"/>
      <c r="J21" s="563"/>
    </row>
    <row r="22" spans="1:10" ht="9.9" customHeight="1" x14ac:dyDescent="0.25">
      <c r="A22" s="588">
        <f>[1]IFE!H2813</f>
        <v>0</v>
      </c>
      <c r="B22" s="589">
        <f>[1]IFE!I2813</f>
        <v>0</v>
      </c>
      <c r="C22" s="6">
        <f>[1]IFE!B2813</f>
        <v>0</v>
      </c>
      <c r="D22" s="6">
        <f>[1]IFE!C2813</f>
        <v>0</v>
      </c>
      <c r="E22" s="6">
        <f>[1]IFE!D2813</f>
        <v>0</v>
      </c>
      <c r="F22" s="6">
        <f>[1]IFE!E2813</f>
        <v>0</v>
      </c>
      <c r="G22" s="561"/>
      <c r="H22" s="562"/>
      <c r="I22" s="41"/>
      <c r="J22" s="563"/>
    </row>
    <row r="23" spans="1:10" ht="9.9" customHeight="1" x14ac:dyDescent="0.25">
      <c r="A23" s="588">
        <f>[1]IFE!H2814</f>
        <v>0</v>
      </c>
      <c r="B23" s="589">
        <f>[1]IFE!I2814</f>
        <v>0</v>
      </c>
      <c r="C23" s="6">
        <f>[1]IFE!B2814</f>
        <v>0</v>
      </c>
      <c r="D23" s="6">
        <f>[1]IFE!C2814</f>
        <v>0</v>
      </c>
      <c r="E23" s="6">
        <f>[1]IFE!D2814</f>
        <v>0</v>
      </c>
      <c r="F23" s="6">
        <f>[1]IFE!E2814</f>
        <v>0</v>
      </c>
      <c r="G23" s="561"/>
      <c r="H23" s="562"/>
      <c r="I23" s="41"/>
      <c r="J23" s="563"/>
    </row>
    <row r="24" spans="1:10" ht="9.9" customHeight="1" x14ac:dyDescent="0.25">
      <c r="A24" s="588">
        <f>[1]IFE!H2815</f>
        <v>0</v>
      </c>
      <c r="B24" s="589">
        <f>[1]IFE!I2815</f>
        <v>0</v>
      </c>
      <c r="C24" s="6">
        <f>[1]IFE!B2815</f>
        <v>0</v>
      </c>
      <c r="D24" s="6">
        <f>[1]IFE!C2815</f>
        <v>0</v>
      </c>
      <c r="E24" s="6">
        <f>[1]IFE!D2815</f>
        <v>0</v>
      </c>
      <c r="F24" s="6">
        <f>[1]IFE!E2815</f>
        <v>0</v>
      </c>
      <c r="G24" s="561"/>
      <c r="H24" s="562"/>
      <c r="I24" s="41"/>
      <c r="J24" s="563"/>
    </row>
    <row r="25" spans="1:10" ht="9.9" customHeight="1" x14ac:dyDescent="0.25">
      <c r="A25" s="588">
        <f>[1]IFE!H2816</f>
        <v>0</v>
      </c>
      <c r="B25" s="589">
        <f>[1]IFE!I2816</f>
        <v>0</v>
      </c>
      <c r="C25" s="6">
        <f>[1]IFE!B2816</f>
        <v>0</v>
      </c>
      <c r="D25" s="6">
        <f>[1]IFE!C2816</f>
        <v>0</v>
      </c>
      <c r="E25" s="6">
        <f>[1]IFE!D2816</f>
        <v>0</v>
      </c>
      <c r="F25" s="6">
        <f>[1]IFE!E2816</f>
        <v>0</v>
      </c>
      <c r="G25" s="561"/>
      <c r="H25" s="562"/>
      <c r="I25" s="41"/>
      <c r="J25" s="563"/>
    </row>
    <row r="26" spans="1:10" ht="9.9" customHeight="1" x14ac:dyDescent="0.25">
      <c r="A26" s="588">
        <f>[1]IFE!H2817</f>
        <v>0</v>
      </c>
      <c r="B26" s="589">
        <f>[1]IFE!I2817</f>
        <v>0</v>
      </c>
      <c r="C26" s="6">
        <f>[1]IFE!B2817</f>
        <v>0</v>
      </c>
      <c r="D26" s="6">
        <f>[1]IFE!C2817</f>
        <v>0</v>
      </c>
      <c r="E26" s="6">
        <f>[1]IFE!D2817</f>
        <v>0</v>
      </c>
      <c r="F26" s="6">
        <f>[1]IFE!E2817</f>
        <v>0</v>
      </c>
      <c r="G26" s="561"/>
      <c r="H26" s="562"/>
      <c r="I26" s="41"/>
      <c r="J26" s="563"/>
    </row>
    <row r="27" spans="1:10" ht="9.9" customHeight="1" x14ac:dyDescent="0.25">
      <c r="A27" s="588">
        <f>[1]IFE!H2818</f>
        <v>0</v>
      </c>
      <c r="B27" s="589">
        <f>[1]IFE!I2818</f>
        <v>0</v>
      </c>
      <c r="C27" s="6">
        <f>[1]IFE!B2818</f>
        <v>0</v>
      </c>
      <c r="D27" s="6">
        <f>[1]IFE!C2818</f>
        <v>0</v>
      </c>
      <c r="E27" s="6">
        <f>[1]IFE!D2818</f>
        <v>0</v>
      </c>
      <c r="F27" s="6">
        <f>[1]IFE!E2818</f>
        <v>0</v>
      </c>
      <c r="G27" s="561"/>
      <c r="H27" s="562"/>
      <c r="I27" s="41"/>
      <c r="J27" s="563"/>
    </row>
    <row r="28" spans="1:10" ht="9.9" customHeight="1" x14ac:dyDescent="0.25">
      <c r="A28" s="588">
        <f>[1]IFE!H2819</f>
        <v>0</v>
      </c>
      <c r="B28" s="589">
        <f>[1]IFE!I2819</f>
        <v>0</v>
      </c>
      <c r="C28" s="6">
        <f>[1]IFE!B2819</f>
        <v>0</v>
      </c>
      <c r="D28" s="6">
        <f>[1]IFE!C2819</f>
        <v>0</v>
      </c>
      <c r="E28" s="6">
        <f>[1]IFE!D2819</f>
        <v>0</v>
      </c>
      <c r="F28" s="6">
        <f>[1]IFE!E2819</f>
        <v>0</v>
      </c>
      <c r="G28" s="561"/>
      <c r="H28" s="562"/>
      <c r="I28" s="41"/>
      <c r="J28" s="563"/>
    </row>
    <row r="29" spans="1:10" ht="9.9" customHeight="1" x14ac:dyDescent="0.25">
      <c r="A29" s="588">
        <f>[1]IFE!H2820</f>
        <v>0</v>
      </c>
      <c r="B29" s="589">
        <f>[1]IFE!I2820</f>
        <v>0</v>
      </c>
      <c r="C29" s="6">
        <f>[1]IFE!B2820</f>
        <v>0</v>
      </c>
      <c r="D29" s="6">
        <f>[1]IFE!C2820</f>
        <v>0</v>
      </c>
      <c r="E29" s="6">
        <f>[1]IFE!D2820</f>
        <v>0</v>
      </c>
      <c r="F29" s="6">
        <f>[1]IFE!E2820</f>
        <v>0</v>
      </c>
      <c r="G29" s="561"/>
      <c r="H29" s="562"/>
      <c r="I29" s="41"/>
      <c r="J29" s="563"/>
    </row>
    <row r="30" spans="1:10" ht="9.9" customHeight="1" x14ac:dyDescent="0.25">
      <c r="A30" s="588">
        <f>[1]IFE!H2821</f>
        <v>0</v>
      </c>
      <c r="B30" s="589">
        <f>[1]IFE!I2821</f>
        <v>0</v>
      </c>
      <c r="C30" s="6">
        <f>[1]IFE!B2821</f>
        <v>0</v>
      </c>
      <c r="D30" s="6">
        <f>[1]IFE!C2821</f>
        <v>0</v>
      </c>
      <c r="E30" s="6">
        <f>[1]IFE!D2821</f>
        <v>0</v>
      </c>
      <c r="F30" s="6">
        <f>[1]IFE!E2821</f>
        <v>0</v>
      </c>
      <c r="G30" s="561"/>
      <c r="H30" s="562"/>
      <c r="I30" s="41"/>
      <c r="J30" s="563"/>
    </row>
    <row r="31" spans="1:10" ht="9.9" customHeight="1" x14ac:dyDescent="0.25">
      <c r="A31" s="588">
        <f>[1]IFE!H2822</f>
        <v>0</v>
      </c>
      <c r="B31" s="589">
        <f>[1]IFE!I2822</f>
        <v>0</v>
      </c>
      <c r="C31" s="6">
        <f>[1]IFE!B2822</f>
        <v>0</v>
      </c>
      <c r="D31" s="6">
        <f>[1]IFE!C2822</f>
        <v>0</v>
      </c>
      <c r="E31" s="6">
        <f>[1]IFE!D2822</f>
        <v>0</v>
      </c>
      <c r="F31" s="6">
        <f>[1]IFE!E2822</f>
        <v>0</v>
      </c>
      <c r="G31" s="561"/>
      <c r="H31" s="562"/>
      <c r="I31" s="41"/>
      <c r="J31" s="563"/>
    </row>
    <row r="32" spans="1:10" ht="9" customHeight="1" x14ac:dyDescent="0.25">
      <c r="A32" s="588">
        <f>[1]IFE!H2823</f>
        <v>0</v>
      </c>
      <c r="B32" s="589">
        <f>[1]IFE!I2823</f>
        <v>0</v>
      </c>
      <c r="C32" s="6">
        <f>[1]IFE!B2823</f>
        <v>0</v>
      </c>
      <c r="D32" s="6">
        <f>[1]IFE!C2823</f>
        <v>0</v>
      </c>
      <c r="E32" s="6">
        <f>[1]IFE!D2823</f>
        <v>0</v>
      </c>
      <c r="F32" s="6">
        <f>[1]IFE!E2823</f>
        <v>0</v>
      </c>
      <c r="G32" s="561"/>
      <c r="H32" s="562"/>
      <c r="I32" s="41"/>
      <c r="J32" s="563"/>
    </row>
    <row r="33" spans="1:10" ht="9.9" customHeight="1" x14ac:dyDescent="0.25">
      <c r="A33" s="588">
        <f>[1]IFE!H2824</f>
        <v>0</v>
      </c>
      <c r="B33" s="589">
        <f>[1]IFE!I2824</f>
        <v>0</v>
      </c>
      <c r="C33" s="6">
        <f>[1]IFE!B2824</f>
        <v>0</v>
      </c>
      <c r="D33" s="6">
        <f>[1]IFE!C2824</f>
        <v>0</v>
      </c>
      <c r="E33" s="6">
        <f>[1]IFE!D2824</f>
        <v>0</v>
      </c>
      <c r="F33" s="6">
        <f>[1]IFE!E2824</f>
        <v>0</v>
      </c>
      <c r="G33" s="561"/>
      <c r="H33" s="562"/>
      <c r="I33" s="41"/>
      <c r="J33" s="563"/>
    </row>
    <row r="34" spans="1:10" ht="9.9" customHeight="1" x14ac:dyDescent="0.25">
      <c r="A34" s="588">
        <f>[1]IFE!H2825</f>
        <v>0</v>
      </c>
      <c r="B34" s="589">
        <f>[1]IFE!I2825</f>
        <v>0</v>
      </c>
      <c r="C34" s="6">
        <f>[1]IFE!B2825</f>
        <v>0</v>
      </c>
      <c r="D34" s="6">
        <f>[1]IFE!C2825</f>
        <v>0</v>
      </c>
      <c r="E34" s="6">
        <f>[1]IFE!D2825</f>
        <v>0</v>
      </c>
      <c r="F34" s="6">
        <f>[1]IFE!E2825</f>
        <v>0</v>
      </c>
      <c r="G34" s="564"/>
      <c r="H34" s="553"/>
      <c r="I34" s="553"/>
      <c r="J34" s="40"/>
    </row>
    <row r="35" spans="1:10" ht="9.9" customHeight="1" x14ac:dyDescent="0.25">
      <c r="A35" s="588">
        <f>[1]IFE!H2826</f>
        <v>0</v>
      </c>
      <c r="B35" s="589">
        <f>[1]IFE!I2826</f>
        <v>0</v>
      </c>
      <c r="C35" s="6">
        <f>[1]IFE!B2826</f>
        <v>0</v>
      </c>
      <c r="D35" s="6">
        <f>[1]IFE!C2826</f>
        <v>0</v>
      </c>
      <c r="E35" s="6">
        <f>[1]IFE!D2826</f>
        <v>0</v>
      </c>
      <c r="F35" s="6">
        <f>[1]IFE!E2826</f>
        <v>0</v>
      </c>
      <c r="G35" s="118"/>
      <c r="H35" s="565"/>
      <c r="I35" s="566"/>
      <c r="J35" s="567"/>
    </row>
    <row r="36" spans="1:10" ht="9.9" customHeight="1" x14ac:dyDescent="0.25">
      <c r="A36" s="588">
        <f>[1]IFE!H2827</f>
        <v>0</v>
      </c>
      <c r="B36" s="589">
        <f>[1]IFE!I2827</f>
        <v>0</v>
      </c>
      <c r="C36" s="6">
        <f>[1]IFE!B2827</f>
        <v>0</v>
      </c>
      <c r="D36" s="6">
        <f>[1]IFE!C2827</f>
        <v>0</v>
      </c>
      <c r="E36" s="6">
        <f>[1]IFE!D2827</f>
        <v>0</v>
      </c>
      <c r="F36" s="6">
        <f>[1]IFE!E2827</f>
        <v>0</v>
      </c>
      <c r="G36" s="568"/>
      <c r="H36" s="569"/>
      <c r="I36" s="545"/>
      <c r="J36" s="570"/>
    </row>
    <row r="37" spans="1:10" ht="9.9" customHeight="1" x14ac:dyDescent="0.25">
      <c r="A37" s="588">
        <f>[1]IFE!H2828</f>
        <v>0</v>
      </c>
      <c r="B37" s="589">
        <f>[1]IFE!I2828</f>
        <v>0</v>
      </c>
      <c r="C37" s="6">
        <f>[1]IFE!B2828</f>
        <v>0</v>
      </c>
      <c r="D37" s="6">
        <f>[1]IFE!C2828</f>
        <v>0</v>
      </c>
      <c r="E37" s="6">
        <f>[1]IFE!D2828</f>
        <v>0</v>
      </c>
      <c r="F37" s="6">
        <f>[1]IFE!E2828</f>
        <v>0</v>
      </c>
      <c r="G37" s="568"/>
      <c r="H37" s="569"/>
      <c r="I37" s="545"/>
      <c r="J37" s="570"/>
    </row>
    <row r="38" spans="1:10" ht="9.9" customHeight="1" x14ac:dyDescent="0.25">
      <c r="A38" s="588">
        <f>[1]IFE!H2829</f>
        <v>0</v>
      </c>
      <c r="B38" s="589">
        <f>[1]IFE!I2829</f>
        <v>0</v>
      </c>
      <c r="C38" s="6">
        <f>[1]IFE!B2829</f>
        <v>0</v>
      </c>
      <c r="D38" s="6">
        <f>[1]IFE!C2829</f>
        <v>0</v>
      </c>
      <c r="E38" s="6">
        <f>[1]IFE!D2829</f>
        <v>0</v>
      </c>
      <c r="F38" s="6">
        <f>[1]IFE!E2829</f>
        <v>0</v>
      </c>
      <c r="G38" s="568"/>
      <c r="H38" s="569"/>
      <c r="I38" s="545"/>
      <c r="J38" s="570"/>
    </row>
    <row r="39" spans="1:10" ht="9.9" customHeight="1" x14ac:dyDescent="0.25">
      <c r="A39" s="588">
        <f>[1]IFE!H2830</f>
        <v>0</v>
      </c>
      <c r="B39" s="589">
        <f>[1]IFE!I2830</f>
        <v>0</v>
      </c>
      <c r="C39" s="6">
        <f>[1]IFE!B2830</f>
        <v>0</v>
      </c>
      <c r="D39" s="6">
        <f>[1]IFE!C2830</f>
        <v>0</v>
      </c>
      <c r="E39" s="6">
        <f>[1]IFE!D2830</f>
        <v>0</v>
      </c>
      <c r="F39" s="6">
        <f>[1]IFE!E2830</f>
        <v>0</v>
      </c>
      <c r="G39" s="568"/>
      <c r="H39" s="569"/>
      <c r="I39" s="545"/>
      <c r="J39" s="570"/>
    </row>
    <row r="40" spans="1:10" ht="9.9" customHeight="1" x14ac:dyDescent="0.25">
      <c r="A40" s="588">
        <f>[1]IFE!H2831</f>
        <v>0</v>
      </c>
      <c r="B40" s="589">
        <f>[1]IFE!I2831</f>
        <v>0</v>
      </c>
      <c r="C40" s="6">
        <f>[1]IFE!B2831</f>
        <v>0</v>
      </c>
      <c r="D40" s="6">
        <f>[1]IFE!C2831</f>
        <v>0</v>
      </c>
      <c r="E40" s="6">
        <f>[1]IFE!D2831</f>
        <v>0</v>
      </c>
      <c r="F40" s="6">
        <f>[1]IFE!E2831</f>
        <v>0</v>
      </c>
      <c r="G40" s="568"/>
      <c r="H40" s="569"/>
      <c r="I40" s="545"/>
      <c r="J40" s="570"/>
    </row>
    <row r="41" spans="1:10" ht="9.9" customHeight="1" x14ac:dyDescent="0.25">
      <c r="A41" s="588">
        <f>[1]IFE!H2832</f>
        <v>0</v>
      </c>
      <c r="B41" s="589">
        <f>[1]IFE!I2832</f>
        <v>0</v>
      </c>
      <c r="C41" s="6">
        <f>[1]IFE!B2832</f>
        <v>0</v>
      </c>
      <c r="D41" s="6">
        <f>[1]IFE!C2832</f>
        <v>0</v>
      </c>
      <c r="E41" s="6">
        <f>[1]IFE!D2832</f>
        <v>0</v>
      </c>
      <c r="F41" s="6">
        <f>[1]IFE!E2832</f>
        <v>0</v>
      </c>
      <c r="G41" s="568"/>
      <c r="H41" s="569"/>
      <c r="I41" s="545"/>
      <c r="J41" s="570"/>
    </row>
    <row r="42" spans="1:10" ht="9.9" customHeight="1" x14ac:dyDescent="0.25">
      <c r="A42" s="588">
        <f>[1]IFE!H2833</f>
        <v>0</v>
      </c>
      <c r="B42" s="589">
        <f>[1]IFE!I2833</f>
        <v>0</v>
      </c>
      <c r="C42" s="6">
        <f>[1]IFE!B2833</f>
        <v>0</v>
      </c>
      <c r="D42" s="6">
        <f>[1]IFE!C2833</f>
        <v>0</v>
      </c>
      <c r="E42" s="6">
        <f>[1]IFE!D2833</f>
        <v>0</v>
      </c>
      <c r="F42" s="6">
        <f>[1]IFE!E2833</f>
        <v>0</v>
      </c>
      <c r="G42" s="568"/>
      <c r="H42" s="569"/>
      <c r="I42" s="545"/>
      <c r="J42" s="570"/>
    </row>
    <row r="43" spans="1:10" ht="9.9" customHeight="1" x14ac:dyDescent="0.25">
      <c r="A43" s="588">
        <f>[1]IFE!H2834</f>
        <v>0</v>
      </c>
      <c r="B43" s="589">
        <f>[1]IFE!I2834</f>
        <v>0</v>
      </c>
      <c r="C43" s="6">
        <f>[1]IFE!B2834</f>
        <v>0</v>
      </c>
      <c r="D43" s="6">
        <f>[1]IFE!C2834</f>
        <v>0</v>
      </c>
      <c r="E43" s="6">
        <f>[1]IFE!D2834</f>
        <v>0</v>
      </c>
      <c r="F43" s="6">
        <f>[1]IFE!E2834</f>
        <v>0</v>
      </c>
      <c r="G43" s="568"/>
      <c r="H43" s="569"/>
      <c r="I43" s="545"/>
      <c r="J43" s="570"/>
    </row>
    <row r="44" spans="1:10" ht="11.1" customHeight="1" x14ac:dyDescent="0.25">
      <c r="A44" s="588">
        <f>[1]IFE!H2835</f>
        <v>0</v>
      </c>
      <c r="B44" s="589">
        <f>[1]IFE!I2835</f>
        <v>0</v>
      </c>
      <c r="C44" s="6">
        <f>[1]IFE!B2835</f>
        <v>0</v>
      </c>
      <c r="D44" s="6">
        <f>[1]IFE!C2835</f>
        <v>0</v>
      </c>
      <c r="E44" s="6">
        <f>[1]IFE!D2835</f>
        <v>0</v>
      </c>
      <c r="F44" s="6">
        <f>[1]IFE!E2835</f>
        <v>0</v>
      </c>
      <c r="G44" s="568"/>
      <c r="H44" s="569"/>
      <c r="I44" s="545"/>
      <c r="J44" s="570"/>
    </row>
    <row r="45" spans="1:10" ht="11.1" customHeight="1" x14ac:dyDescent="0.25">
      <c r="A45" s="588">
        <f>[1]IFE!H2836</f>
        <v>0</v>
      </c>
      <c r="B45" s="589">
        <f>[1]IFE!I2836</f>
        <v>0</v>
      </c>
      <c r="C45" s="6">
        <f>[1]IFE!B2836</f>
        <v>0</v>
      </c>
      <c r="D45" s="6">
        <f>[1]IFE!C2836</f>
        <v>0</v>
      </c>
      <c r="E45" s="6">
        <f>[1]IFE!D2836</f>
        <v>0</v>
      </c>
      <c r="F45" s="6">
        <f>[1]IFE!E2836</f>
        <v>0</v>
      </c>
      <c r="G45" s="568"/>
      <c r="H45" s="569"/>
      <c r="I45" s="545"/>
      <c r="J45" s="570"/>
    </row>
    <row r="46" spans="1:10" ht="11.1" customHeight="1" x14ac:dyDescent="0.25">
      <c r="A46" s="588">
        <f>[1]IFE!H2837</f>
        <v>0</v>
      </c>
      <c r="B46" s="589">
        <f>[1]IFE!I2837</f>
        <v>0</v>
      </c>
      <c r="C46" s="6">
        <f>[1]IFE!B2837</f>
        <v>0</v>
      </c>
      <c r="D46" s="6">
        <f>[1]IFE!C2837</f>
        <v>0</v>
      </c>
      <c r="E46" s="6">
        <f>[1]IFE!D2837</f>
        <v>0</v>
      </c>
      <c r="F46" s="6">
        <f>[1]IFE!E2837</f>
        <v>0</v>
      </c>
      <c r="G46" s="568"/>
      <c r="H46" s="571"/>
      <c r="I46" s="545"/>
      <c r="J46" s="570"/>
    </row>
    <row r="47" spans="1:10" ht="11.1" customHeight="1" x14ac:dyDescent="0.25">
      <c r="A47" s="588">
        <f>[1]IFE!H2838</f>
        <v>0</v>
      </c>
      <c r="B47" s="589">
        <f>[1]IFE!I2838</f>
        <v>0</v>
      </c>
      <c r="C47" s="6">
        <f>[1]IFE!B2838</f>
        <v>0</v>
      </c>
      <c r="D47" s="6">
        <f>[1]IFE!C2838</f>
        <v>0</v>
      </c>
      <c r="E47" s="6">
        <f>[1]IFE!D2838</f>
        <v>0</v>
      </c>
      <c r="F47" s="6">
        <f>[1]IFE!E2838</f>
        <v>0</v>
      </c>
      <c r="G47" s="564"/>
      <c r="H47" s="572"/>
      <c r="I47" s="572"/>
      <c r="J47" s="573"/>
    </row>
    <row r="48" spans="1:10" ht="11.1" customHeight="1" x14ac:dyDescent="0.25">
      <c r="A48" s="588">
        <f>[1]IFE!H2839</f>
        <v>0</v>
      </c>
      <c r="B48" s="589">
        <f>[1]IFE!I2839</f>
        <v>0</v>
      </c>
      <c r="C48" s="6">
        <f>[1]IFE!B2839</f>
        <v>0</v>
      </c>
      <c r="D48" s="6">
        <f>[1]IFE!C2839</f>
        <v>0</v>
      </c>
      <c r="E48" s="6">
        <f>[1]IFE!D2839</f>
        <v>0</v>
      </c>
      <c r="F48" s="6">
        <f>[1]IFE!E2839</f>
        <v>0</v>
      </c>
      <c r="G48" s="543"/>
      <c r="H48" s="553"/>
      <c r="I48" s="553"/>
      <c r="J48" s="574"/>
    </row>
    <row r="49" spans="1:10" ht="11.1" customHeight="1" x14ac:dyDescent="0.25">
      <c r="A49" s="588">
        <f>[1]IFE!H2840</f>
        <v>0</v>
      </c>
      <c r="B49" s="589">
        <f>[1]IFE!I2840</f>
        <v>0</v>
      </c>
      <c r="C49" s="6">
        <f>[1]IFE!B2840</f>
        <v>0</v>
      </c>
      <c r="D49" s="6">
        <f>[1]IFE!C2840</f>
        <v>0</v>
      </c>
      <c r="E49" s="6">
        <f>[1]IFE!D2840</f>
        <v>0</v>
      </c>
      <c r="F49" s="6">
        <f>[1]IFE!E2840</f>
        <v>0</v>
      </c>
      <c r="G49" s="543"/>
      <c r="H49" s="553"/>
      <c r="I49" s="553"/>
      <c r="J49" s="575"/>
    </row>
    <row r="50" spans="1:10" ht="11.1" customHeight="1" x14ac:dyDescent="0.25">
      <c r="A50" s="588">
        <f>[1]IFE!H2841</f>
        <v>0</v>
      </c>
      <c r="B50" s="589">
        <f>[1]IFE!I2841</f>
        <v>0</v>
      </c>
      <c r="C50" s="6">
        <f>[1]IFE!B2841</f>
        <v>0</v>
      </c>
      <c r="D50" s="6">
        <f>[1]IFE!C2841</f>
        <v>0</v>
      </c>
      <c r="E50" s="6">
        <f>[1]IFE!D2841</f>
        <v>0</v>
      </c>
      <c r="F50" s="6">
        <f>[1]IFE!E2841</f>
        <v>0</v>
      </c>
      <c r="G50" s="543"/>
      <c r="H50" s="553"/>
      <c r="I50" s="553"/>
      <c r="J50" s="575"/>
    </row>
    <row r="51" spans="1:10" ht="11.1" customHeight="1" x14ac:dyDescent="0.25">
      <c r="A51" s="588">
        <f>[1]IFE!H2842</f>
        <v>0</v>
      </c>
      <c r="B51" s="589">
        <f>[1]IFE!I2842</f>
        <v>0</v>
      </c>
      <c r="C51" s="6">
        <f>[1]IFE!B2842</f>
        <v>0</v>
      </c>
      <c r="D51" s="6">
        <f>[1]IFE!C2842</f>
        <v>0</v>
      </c>
      <c r="E51" s="6">
        <f>[1]IFE!D2842</f>
        <v>0</v>
      </c>
      <c r="F51" s="6">
        <f>[1]IFE!E2842</f>
        <v>0</v>
      </c>
      <c r="G51" s="539"/>
      <c r="H51" s="553"/>
      <c r="I51" s="553"/>
      <c r="J51" s="575"/>
    </row>
    <row r="52" spans="1:10" ht="11.1" customHeight="1" x14ac:dyDescent="0.25">
      <c r="A52" s="588">
        <f>[1]IFE!H2843</f>
        <v>0</v>
      </c>
      <c r="B52" s="589">
        <f>[1]IFE!I2843</f>
        <v>0</v>
      </c>
      <c r="C52" s="6">
        <f>[1]IFE!B2843</f>
        <v>0</v>
      </c>
      <c r="D52" s="6">
        <f>[1]IFE!C2843</f>
        <v>0</v>
      </c>
      <c r="E52" s="6">
        <f>[1]IFE!D2843</f>
        <v>0</v>
      </c>
      <c r="F52" s="6">
        <f>[1]IFE!E2843</f>
        <v>0</v>
      </c>
      <c r="G52" s="554"/>
      <c r="H52" s="555"/>
      <c r="I52" s="555"/>
      <c r="J52" s="556"/>
    </row>
    <row r="53" spans="1:10" ht="11.1" customHeight="1" x14ac:dyDescent="0.25">
      <c r="A53" s="588">
        <f>[1]IFE!H2844</f>
        <v>0</v>
      </c>
      <c r="B53" s="589">
        <f>[1]IFE!I2844</f>
        <v>0</v>
      </c>
      <c r="C53" s="6">
        <f>[1]IFE!B2844</f>
        <v>0</v>
      </c>
      <c r="D53" s="6">
        <f>[1]IFE!C2844</f>
        <v>0</v>
      </c>
      <c r="E53" s="6">
        <f>[1]IFE!D2844</f>
        <v>0</v>
      </c>
      <c r="F53" s="6">
        <f>[1]IFE!E2844</f>
        <v>0</v>
      </c>
      <c r="G53" s="554"/>
      <c r="H53" s="555"/>
      <c r="I53" s="555"/>
      <c r="J53" s="556"/>
    </row>
    <row r="54" spans="1:10" ht="11.1" customHeight="1" x14ac:dyDescent="0.25">
      <c r="A54" s="588">
        <f>[1]IFE!H2845</f>
        <v>0</v>
      </c>
      <c r="B54" s="589">
        <f>[1]IFE!I2845</f>
        <v>0</v>
      </c>
      <c r="C54" s="6">
        <f>[1]IFE!B2845</f>
        <v>0</v>
      </c>
      <c r="D54" s="6">
        <f>[1]IFE!C2845</f>
        <v>0</v>
      </c>
      <c r="E54" s="6">
        <f>[1]IFE!D2845</f>
        <v>0</v>
      </c>
      <c r="F54" s="6">
        <f>[1]IFE!E2845</f>
        <v>0</v>
      </c>
      <c r="G54" s="576"/>
      <c r="H54" s="577"/>
      <c r="I54" s="577"/>
      <c r="J54" s="578"/>
    </row>
    <row r="55" spans="1:10" ht="11.1" customHeight="1" x14ac:dyDescent="0.25">
      <c r="A55" s="588">
        <f>[1]IFE!H2846</f>
        <v>0</v>
      </c>
      <c r="B55" s="589">
        <f>[1]IFE!I2846</f>
        <v>0</v>
      </c>
      <c r="C55" s="6">
        <f>[1]IFE!B2846</f>
        <v>0</v>
      </c>
      <c r="D55" s="6">
        <f>[1]IFE!C2846</f>
        <v>0</v>
      </c>
      <c r="E55" s="6">
        <f>[1]IFE!D2846</f>
        <v>0</v>
      </c>
      <c r="F55" s="6">
        <f>[1]IFE!E2846</f>
        <v>0</v>
      </c>
      <c r="G55" s="579"/>
      <c r="H55" s="555"/>
      <c r="I55" s="555"/>
      <c r="J55" s="556"/>
    </row>
    <row r="56" spans="1:10" ht="11.1" customHeight="1" x14ac:dyDescent="0.25">
      <c r="A56" s="588">
        <f>[1]IFE!H2847</f>
        <v>0</v>
      </c>
      <c r="B56" s="589">
        <f>[1]IFE!I2847</f>
        <v>0</v>
      </c>
      <c r="C56" s="6">
        <f>[1]IFE!B2847</f>
        <v>0</v>
      </c>
      <c r="D56" s="6">
        <f>[1]IFE!C2847</f>
        <v>0</v>
      </c>
      <c r="E56" s="6">
        <f>[1]IFE!D2847</f>
        <v>0</v>
      </c>
      <c r="F56" s="6">
        <f>[1]IFE!E2847</f>
        <v>0</v>
      </c>
      <c r="G56" s="533"/>
      <c r="H56" s="580"/>
      <c r="I56" s="581"/>
      <c r="J56" s="546"/>
    </row>
    <row r="57" spans="1:10" ht="11.1" customHeight="1" x14ac:dyDescent="0.25">
      <c r="A57" s="588">
        <f>[1]IFE!H2848</f>
        <v>0</v>
      </c>
      <c r="B57" s="589">
        <f>[1]IFE!I2848</f>
        <v>0</v>
      </c>
      <c r="C57" s="6">
        <f>[1]IFE!B2848</f>
        <v>0</v>
      </c>
      <c r="D57" s="6">
        <f>[1]IFE!C2848</f>
        <v>0</v>
      </c>
      <c r="E57" s="6">
        <f>[1]IFE!D2848</f>
        <v>0</v>
      </c>
      <c r="F57" s="6">
        <f>[1]IFE!E2848</f>
        <v>0</v>
      </c>
      <c r="G57" s="533"/>
      <c r="H57" s="580"/>
      <c r="I57" s="582"/>
      <c r="J57" s="546"/>
    </row>
    <row r="58" spans="1:10" ht="11.1" customHeight="1" x14ac:dyDescent="0.25">
      <c r="A58" s="588">
        <f>[1]IFE!H2849</f>
        <v>0</v>
      </c>
      <c r="B58" s="589">
        <f>[1]IFE!I2849</f>
        <v>0</v>
      </c>
      <c r="C58" s="6">
        <f>[1]IFE!B2849</f>
        <v>0</v>
      </c>
      <c r="D58" s="6">
        <f>[1]IFE!C2849</f>
        <v>0</v>
      </c>
      <c r="E58" s="6">
        <f>[1]IFE!D2849</f>
        <v>0</v>
      </c>
      <c r="F58" s="6">
        <f>[1]IFE!E2849</f>
        <v>0</v>
      </c>
      <c r="G58" s="533"/>
      <c r="H58" s="580"/>
      <c r="I58" s="582"/>
      <c r="J58" s="546"/>
    </row>
    <row r="59" spans="1:10" ht="11.1" customHeight="1" x14ac:dyDescent="0.25">
      <c r="A59" s="588">
        <f>[1]IFE!H2850</f>
        <v>0</v>
      </c>
      <c r="B59" s="589">
        <f>[1]IFE!I2850</f>
        <v>0</v>
      </c>
      <c r="C59" s="6">
        <f>[1]IFE!B2850</f>
        <v>0</v>
      </c>
      <c r="D59" s="6">
        <f>[1]IFE!C2850</f>
        <v>0</v>
      </c>
      <c r="E59" s="6">
        <f>[1]IFE!D2850</f>
        <v>0</v>
      </c>
      <c r="F59" s="6">
        <f>[1]IFE!E2850</f>
        <v>0</v>
      </c>
      <c r="G59" s="533"/>
      <c r="H59" s="580"/>
      <c r="I59" s="582"/>
      <c r="J59" s="546"/>
    </row>
    <row r="60" spans="1:10" ht="11.1" customHeight="1" x14ac:dyDescent="0.25">
      <c r="A60" s="588">
        <f>[1]IFE!H2851</f>
        <v>0</v>
      </c>
      <c r="B60" s="589">
        <f>[1]IFE!I2851</f>
        <v>0</v>
      </c>
      <c r="C60" s="6">
        <f>[1]IFE!B2851</f>
        <v>0</v>
      </c>
      <c r="D60" s="6">
        <f>[1]IFE!C2851</f>
        <v>0</v>
      </c>
      <c r="E60" s="6">
        <f>[1]IFE!D2851</f>
        <v>0</v>
      </c>
      <c r="F60" s="6">
        <f>[1]IFE!E2851</f>
        <v>0</v>
      </c>
      <c r="G60" s="533"/>
      <c r="H60" s="580"/>
      <c r="I60" s="582"/>
      <c r="J60" s="546"/>
    </row>
    <row r="61" spans="1:10" ht="11.1" customHeight="1" thickBot="1" x14ac:dyDescent="0.3">
      <c r="A61" s="590">
        <f>[1]IFE!H2852</f>
        <v>0</v>
      </c>
      <c r="B61" s="591">
        <f>[1]IFE!I2852</f>
        <v>0</v>
      </c>
      <c r="C61" s="136">
        <f>[1]IFE!B2852</f>
        <v>0</v>
      </c>
      <c r="D61" s="136">
        <f>[1]IFE!C2852</f>
        <v>0</v>
      </c>
      <c r="E61" s="136">
        <f>[1]IFE!D2852</f>
        <v>0</v>
      </c>
      <c r="F61" s="136">
        <f>[1]IFE!E2852</f>
        <v>0</v>
      </c>
      <c r="G61" s="532"/>
      <c r="H61" s="583"/>
      <c r="I61" s="584"/>
      <c r="J61" s="585"/>
    </row>
    <row r="62" spans="1:10" ht="12" customHeight="1" x14ac:dyDescent="0.25">
      <c r="A62" s="472" t="s">
        <v>90</v>
      </c>
      <c r="B62" s="473"/>
      <c r="C62" s="474" t="s">
        <v>129</v>
      </c>
      <c r="D62" s="475"/>
      <c r="E62" s="474" t="s">
        <v>91</v>
      </c>
      <c r="F62" s="476"/>
      <c r="G62" s="474" t="s">
        <v>6</v>
      </c>
      <c r="H62" s="476"/>
      <c r="I62" s="477" t="s">
        <v>92</v>
      </c>
      <c r="J62" s="478"/>
    </row>
    <row r="63" spans="1:10" ht="9.6" customHeight="1" x14ac:dyDescent="0.25">
      <c r="A63" s="738" t="str">
        <f>[1]IFE!$B$127&amp;"  "&amp;[1]IFE!$B$129</f>
        <v>Jesus Villarroel  0</v>
      </c>
      <c r="B63" s="739"/>
      <c r="C63" s="691"/>
      <c r="D63" s="739"/>
      <c r="E63" s="148"/>
      <c r="F63" s="147"/>
      <c r="G63" s="146"/>
      <c r="H63" s="147"/>
      <c r="I63" s="148"/>
      <c r="J63" s="149"/>
    </row>
    <row r="64" spans="1:10" ht="9.6" customHeight="1" thickBot="1" x14ac:dyDescent="0.3">
      <c r="A64" s="741" t="str">
        <f>[1]IFE!$B$128</f>
        <v>Nelson Marcano</v>
      </c>
      <c r="B64" s="740"/>
      <c r="C64" s="693">
        <f>[1]IFE!$D$131</f>
        <v>0</v>
      </c>
      <c r="D64" s="740"/>
      <c r="E64" s="216">
        <f>[1]IFE!B133</f>
        <v>0</v>
      </c>
      <c r="F64" s="140"/>
      <c r="G64" s="281">
        <f xml:space="preserve"> [1]IFE!B134</f>
        <v>5749.32</v>
      </c>
      <c r="H64" s="140"/>
      <c r="I64" s="282">
        <f>[1]IFE!B135</f>
        <v>89939.53</v>
      </c>
      <c r="J64" s="100"/>
    </row>
    <row r="65" spans="1:10" ht="11.1" customHeight="1" x14ac:dyDescent="0.25">
      <c r="A65" s="150"/>
      <c r="B65" s="150"/>
      <c r="C65" s="150"/>
      <c r="D65" s="150"/>
      <c r="E65" s="150"/>
      <c r="F65" s="150"/>
      <c r="G65" s="150"/>
      <c r="H65" s="150"/>
      <c r="I65" s="150"/>
      <c r="J65" s="150"/>
    </row>
    <row r="66" spans="1:10" ht="11.1" customHeight="1" x14ac:dyDescent="0.25">
      <c r="A66" s="150"/>
      <c r="B66" s="150"/>
      <c r="C66" s="150"/>
      <c r="D66" s="150"/>
      <c r="E66" s="150"/>
      <c r="F66" s="150"/>
      <c r="G66" s="150"/>
      <c r="H66" s="150"/>
      <c r="I66" s="150"/>
      <c r="J66" s="150"/>
    </row>
    <row r="67" spans="1:10" x14ac:dyDescent="0.25">
      <c r="A67" s="150"/>
      <c r="B67" s="150"/>
      <c r="C67" s="150"/>
      <c r="D67" s="150"/>
      <c r="E67" s="150"/>
      <c r="F67" s="150"/>
      <c r="G67" s="150"/>
      <c r="H67" s="150"/>
      <c r="I67" s="150"/>
      <c r="J67" s="150"/>
    </row>
    <row r="68" spans="1:10" x14ac:dyDescent="0.25">
      <c r="A68" s="150"/>
      <c r="B68" s="150"/>
      <c r="C68" s="150"/>
      <c r="D68" s="150"/>
      <c r="E68" s="150"/>
      <c r="F68" s="150"/>
      <c r="G68" s="150"/>
      <c r="H68" s="150"/>
      <c r="I68" s="150"/>
      <c r="J68" s="150"/>
    </row>
    <row r="69" spans="1:10" x14ac:dyDescent="0.25">
      <c r="A69" s="150"/>
      <c r="B69" s="150"/>
      <c r="C69" s="150"/>
      <c r="D69" s="150"/>
      <c r="E69" s="150"/>
      <c r="F69" s="150"/>
      <c r="G69" s="150"/>
      <c r="H69" s="150"/>
      <c r="I69" s="150"/>
      <c r="J69" s="150"/>
    </row>
    <row r="70" spans="1:10" x14ac:dyDescent="0.25">
      <c r="A70" s="150"/>
      <c r="B70" s="150"/>
      <c r="C70" s="150"/>
      <c r="D70" s="150"/>
      <c r="E70" s="150"/>
      <c r="F70" s="150"/>
      <c r="G70" s="150"/>
      <c r="H70" s="150"/>
      <c r="I70" s="150"/>
      <c r="J70" s="150"/>
    </row>
    <row r="71" spans="1:10" x14ac:dyDescent="0.25">
      <c r="A71" s="150"/>
      <c r="B71" s="150"/>
      <c r="C71" s="150"/>
      <c r="D71" s="150"/>
      <c r="E71" s="150"/>
      <c r="F71" s="150"/>
      <c r="G71" s="150"/>
      <c r="H71" s="150"/>
      <c r="I71" s="150"/>
      <c r="J71" s="150"/>
    </row>
    <row r="72" spans="1:10" x14ac:dyDescent="0.25">
      <c r="A72" s="150"/>
      <c r="B72" s="150"/>
      <c r="C72" s="150"/>
      <c r="D72" s="150"/>
      <c r="E72" s="150"/>
      <c r="F72" s="150"/>
      <c r="G72" s="150"/>
      <c r="H72" s="150"/>
      <c r="I72" s="150"/>
      <c r="J72" s="150"/>
    </row>
    <row r="73" spans="1:10" x14ac:dyDescent="0.25">
      <c r="A73" s="150"/>
      <c r="B73" s="150"/>
      <c r="C73" s="150"/>
      <c r="D73" s="150"/>
      <c r="E73" s="150"/>
      <c r="F73" s="150"/>
      <c r="G73" s="150"/>
      <c r="H73" s="150"/>
      <c r="I73" s="150"/>
      <c r="J73" s="150"/>
    </row>
    <row r="74" spans="1:10" x14ac:dyDescent="0.25">
      <c r="A74" s="150"/>
      <c r="B74" s="150"/>
      <c r="C74" s="150"/>
      <c r="D74" s="150"/>
      <c r="E74" s="150"/>
      <c r="F74" s="150"/>
      <c r="G74" s="150"/>
      <c r="H74" s="150"/>
      <c r="I74" s="150"/>
      <c r="J74" s="150"/>
    </row>
    <row r="75" spans="1:10" x14ac:dyDescent="0.25">
      <c r="A75" s="150"/>
      <c r="B75" s="150"/>
      <c r="C75" s="150"/>
      <c r="D75" s="150"/>
      <c r="E75" s="150"/>
      <c r="F75" s="150"/>
      <c r="G75" s="150"/>
      <c r="H75" s="150"/>
      <c r="I75" s="150"/>
      <c r="J75" s="150"/>
    </row>
    <row r="76" spans="1:10" x14ac:dyDescent="0.25">
      <c r="A76" s="150"/>
      <c r="B76" s="150"/>
      <c r="C76" s="150"/>
      <c r="D76" s="150"/>
      <c r="E76" s="150"/>
      <c r="F76" s="150"/>
      <c r="G76" s="150"/>
      <c r="H76" s="150"/>
      <c r="I76" s="150"/>
      <c r="J76" s="150"/>
    </row>
    <row r="77" spans="1:10" x14ac:dyDescent="0.25">
      <c r="A77" s="150"/>
      <c r="B77" s="150"/>
      <c r="C77" s="150"/>
      <c r="D77" s="150"/>
      <c r="E77" s="150"/>
      <c r="F77" s="150"/>
      <c r="G77" s="150"/>
      <c r="H77" s="150"/>
      <c r="I77" s="150"/>
      <c r="J77" s="150"/>
    </row>
    <row r="78" spans="1:10" x14ac:dyDescent="0.25">
      <c r="A78" s="150"/>
      <c r="B78" s="150"/>
      <c r="C78" s="150"/>
      <c r="D78" s="150"/>
      <c r="E78" s="150"/>
      <c r="F78" s="150"/>
      <c r="G78" s="150"/>
      <c r="H78" s="150"/>
      <c r="I78" s="150"/>
      <c r="J78" s="150"/>
    </row>
    <row r="79" spans="1:10" x14ac:dyDescent="0.25">
      <c r="A79" s="150"/>
      <c r="B79" s="150"/>
      <c r="C79" s="150"/>
      <c r="D79" s="150"/>
      <c r="E79" s="150"/>
      <c r="F79" s="150"/>
      <c r="G79" s="150"/>
      <c r="H79" s="150"/>
      <c r="I79" s="150"/>
      <c r="J79" s="150"/>
    </row>
    <row r="80" spans="1:10" x14ac:dyDescent="0.25">
      <c r="A80" s="150"/>
      <c r="B80" s="150"/>
      <c r="C80" s="150"/>
      <c r="D80" s="150"/>
      <c r="E80" s="150"/>
      <c r="F80" s="150"/>
      <c r="G80" s="150"/>
      <c r="H80" s="150"/>
      <c r="I80" s="150"/>
      <c r="J80" s="150"/>
    </row>
    <row r="81" spans="1:10" x14ac:dyDescent="0.25">
      <c r="A81" s="150"/>
      <c r="B81" s="150"/>
      <c r="C81" s="150"/>
      <c r="D81" s="150"/>
      <c r="E81" s="150"/>
      <c r="F81" s="150"/>
      <c r="G81" s="150"/>
      <c r="H81" s="150"/>
      <c r="I81" s="150"/>
      <c r="J81" s="150"/>
    </row>
    <row r="82" spans="1:10" x14ac:dyDescent="0.25">
      <c r="A82" s="150"/>
      <c r="B82" s="150"/>
      <c r="C82" s="150"/>
      <c r="D82" s="150"/>
      <c r="E82" s="150"/>
      <c r="F82" s="150"/>
      <c r="G82" s="150"/>
      <c r="H82" s="150"/>
      <c r="I82" s="150"/>
      <c r="J82" s="150"/>
    </row>
    <row r="83" spans="1:10" x14ac:dyDescent="0.25">
      <c r="A83" s="150"/>
      <c r="B83" s="150"/>
      <c r="C83" s="150"/>
      <c r="D83" s="150"/>
      <c r="E83" s="150"/>
      <c r="F83" s="150"/>
      <c r="G83" s="150"/>
      <c r="H83" s="150"/>
      <c r="I83" s="150"/>
      <c r="J83" s="150"/>
    </row>
    <row r="84" spans="1:10" x14ac:dyDescent="0.25">
      <c r="A84" s="150"/>
      <c r="B84" s="150"/>
      <c r="C84" s="150"/>
      <c r="D84" s="150"/>
      <c r="E84" s="150"/>
      <c r="F84" s="150"/>
      <c r="G84" s="150"/>
      <c r="H84" s="150"/>
      <c r="I84" s="150"/>
      <c r="J84" s="150"/>
    </row>
    <row r="85" spans="1:10" x14ac:dyDescent="0.25">
      <c r="A85" s="150"/>
      <c r="B85" s="150"/>
      <c r="C85" s="150"/>
      <c r="D85" s="150"/>
      <c r="E85" s="150"/>
      <c r="F85" s="150"/>
      <c r="G85" s="150"/>
      <c r="H85" s="150"/>
      <c r="I85" s="150"/>
      <c r="J85" s="150"/>
    </row>
    <row r="86" spans="1:10" x14ac:dyDescent="0.25">
      <c r="A86" s="150"/>
      <c r="B86" s="150"/>
      <c r="C86" s="150"/>
      <c r="D86" s="150"/>
      <c r="E86" s="150"/>
      <c r="F86" s="150"/>
      <c r="G86" s="150"/>
      <c r="H86" s="150"/>
      <c r="I86" s="150"/>
      <c r="J86" s="150"/>
    </row>
    <row r="87" spans="1:10" x14ac:dyDescent="0.25">
      <c r="A87" s="150"/>
      <c r="B87" s="150"/>
      <c r="C87" s="150"/>
      <c r="D87" s="150"/>
      <c r="E87" s="150"/>
      <c r="F87" s="150"/>
      <c r="G87" s="150"/>
      <c r="H87" s="150"/>
      <c r="I87" s="150"/>
      <c r="J87" s="150"/>
    </row>
    <row r="88" spans="1:10" x14ac:dyDescent="0.25">
      <c r="A88" s="150"/>
      <c r="B88" s="150"/>
      <c r="C88" s="150"/>
      <c r="D88" s="150"/>
      <c r="E88" s="150"/>
      <c r="F88" s="150"/>
      <c r="G88" s="150"/>
      <c r="H88" s="150"/>
      <c r="I88" s="150"/>
      <c r="J88" s="150"/>
    </row>
    <row r="89" spans="1:10" x14ac:dyDescent="0.25">
      <c r="A89" s="150"/>
      <c r="B89" s="150"/>
      <c r="C89" s="150"/>
      <c r="D89" s="150"/>
      <c r="E89" s="150"/>
      <c r="F89" s="150"/>
      <c r="G89" s="150"/>
      <c r="H89" s="150"/>
      <c r="I89" s="150"/>
      <c r="J89" s="150"/>
    </row>
    <row r="90" spans="1:10" x14ac:dyDescent="0.25">
      <c r="A90" s="150"/>
      <c r="B90" s="150"/>
      <c r="C90" s="150"/>
      <c r="D90" s="150"/>
      <c r="E90" s="150"/>
      <c r="F90" s="150"/>
      <c r="G90" s="150"/>
      <c r="H90" s="150"/>
      <c r="I90" s="150"/>
      <c r="J90" s="150"/>
    </row>
    <row r="91" spans="1:10" x14ac:dyDescent="0.25">
      <c r="A91" s="3"/>
      <c r="B91" s="150"/>
      <c r="C91" s="150"/>
      <c r="D91" s="150"/>
      <c r="E91" s="150"/>
      <c r="F91" s="150"/>
      <c r="G91" s="150"/>
      <c r="H91" s="150"/>
      <c r="I91" s="150"/>
      <c r="J91" s="150"/>
    </row>
    <row r="92" spans="1:10" x14ac:dyDescent="0.25">
      <c r="A92" s="3"/>
      <c r="B92" s="150"/>
      <c r="C92" s="150"/>
      <c r="D92" s="150"/>
      <c r="E92" s="150"/>
      <c r="F92" s="150"/>
      <c r="G92" s="150"/>
      <c r="H92" s="150"/>
      <c r="I92" s="150"/>
      <c r="J92" s="150"/>
    </row>
    <row r="93" spans="1:10" x14ac:dyDescent="0.25">
      <c r="A93" s="3"/>
      <c r="B93" s="150"/>
      <c r="C93" s="150"/>
      <c r="D93" s="150"/>
      <c r="E93" s="150"/>
      <c r="F93" s="150"/>
      <c r="G93" s="150"/>
      <c r="H93" s="150"/>
      <c r="I93" s="150"/>
      <c r="J93" s="150"/>
    </row>
    <row r="94" spans="1:10" x14ac:dyDescent="0.25">
      <c r="A94" s="3"/>
      <c r="B94" s="150"/>
      <c r="C94" s="150"/>
      <c r="D94" s="150"/>
      <c r="E94" s="150"/>
      <c r="F94" s="150"/>
      <c r="G94" s="150"/>
      <c r="H94" s="150"/>
      <c r="I94" s="150"/>
      <c r="J94" s="150"/>
    </row>
    <row r="95" spans="1:10" x14ac:dyDescent="0.25">
      <c r="A95" s="3"/>
      <c r="B95" s="150"/>
      <c r="C95" s="150"/>
      <c r="D95" s="150"/>
      <c r="E95" s="150"/>
      <c r="F95" s="150"/>
      <c r="G95" s="150"/>
      <c r="H95" s="150"/>
      <c r="I95" s="150"/>
      <c r="J95" s="150"/>
    </row>
    <row r="96" spans="1:10" x14ac:dyDescent="0.25">
      <c r="A96" s="3"/>
      <c r="B96" s="3"/>
      <c r="C96" s="3"/>
      <c r="D96" s="3"/>
      <c r="E96" s="3"/>
      <c r="F96" s="3"/>
      <c r="G96" s="3"/>
      <c r="H96" s="3"/>
      <c r="I96" s="3"/>
    </row>
    <row r="97" spans="1:9" x14ac:dyDescent="0.25">
      <c r="A97" s="3"/>
      <c r="B97" s="3"/>
      <c r="C97" s="3"/>
      <c r="D97" s="3"/>
      <c r="E97" s="3"/>
      <c r="F97" s="3"/>
      <c r="G97" s="3"/>
      <c r="H97" s="3"/>
      <c r="I97" s="3"/>
    </row>
    <row r="98" spans="1:9" x14ac:dyDescent="0.25">
      <c r="A98" s="3"/>
      <c r="B98" s="3"/>
      <c r="C98" s="3"/>
      <c r="D98" s="3"/>
      <c r="E98" s="3"/>
      <c r="F98" s="3"/>
      <c r="G98" s="3"/>
      <c r="H98" s="3"/>
      <c r="I98" s="3"/>
    </row>
    <row r="99" spans="1:9" x14ac:dyDescent="0.25">
      <c r="A99" s="3"/>
      <c r="B99" s="3"/>
      <c r="C99" s="3"/>
      <c r="D99" s="3"/>
      <c r="E99" s="3"/>
      <c r="F99" s="3"/>
      <c r="G99" s="3"/>
      <c r="H99" s="3"/>
      <c r="I99" s="3"/>
    </row>
    <row r="100" spans="1:9" x14ac:dyDescent="0.25">
      <c r="A100" s="3"/>
      <c r="B100" s="3"/>
      <c r="C100" s="3"/>
      <c r="D100" s="3"/>
      <c r="E100" s="3"/>
      <c r="F100" s="3"/>
      <c r="G100" s="3"/>
      <c r="H100" s="3"/>
      <c r="I100" s="3"/>
    </row>
    <row r="101" spans="1:9" x14ac:dyDescent="0.25">
      <c r="A101" s="3"/>
      <c r="B101" s="3"/>
      <c r="C101" s="3"/>
      <c r="D101" s="3"/>
      <c r="E101" s="3"/>
      <c r="F101" s="3"/>
      <c r="G101" s="3"/>
      <c r="H101" s="3"/>
      <c r="I101" s="3"/>
    </row>
    <row r="102" spans="1:9" x14ac:dyDescent="0.25">
      <c r="A102" s="3"/>
      <c r="B102" s="3"/>
      <c r="C102" s="3"/>
      <c r="D102" s="3"/>
      <c r="E102" s="3"/>
      <c r="F102" s="3"/>
      <c r="G102" s="3"/>
      <c r="H102" s="3"/>
      <c r="I102" s="3"/>
    </row>
    <row r="103" spans="1:9" x14ac:dyDescent="0.25">
      <c r="A103" s="3"/>
      <c r="B103" s="3"/>
      <c r="C103" s="3"/>
      <c r="D103" s="3"/>
      <c r="E103" s="3"/>
      <c r="F103" s="3"/>
      <c r="G103" s="3"/>
      <c r="H103" s="3"/>
      <c r="I103" s="3"/>
    </row>
    <row r="104" spans="1:9" x14ac:dyDescent="0.25">
      <c r="A104" s="3"/>
      <c r="B104" s="3"/>
      <c r="C104" s="3"/>
      <c r="D104" s="3"/>
      <c r="E104" s="3"/>
      <c r="F104" s="3"/>
      <c r="G104" s="3"/>
      <c r="H104" s="3"/>
      <c r="I104" s="3"/>
    </row>
    <row r="105" spans="1:9" x14ac:dyDescent="0.25">
      <c r="A105" s="3"/>
      <c r="B105" s="3"/>
      <c r="C105" s="3"/>
      <c r="D105" s="3"/>
      <c r="E105" s="3"/>
      <c r="F105" s="3"/>
      <c r="G105" s="3"/>
      <c r="H105" s="3"/>
      <c r="I105" s="3"/>
    </row>
    <row r="106" spans="1:9" x14ac:dyDescent="0.25">
      <c r="A106" s="3"/>
      <c r="B106" s="3"/>
      <c r="C106" s="3"/>
      <c r="D106" s="3"/>
      <c r="E106" s="3"/>
      <c r="F106" s="3"/>
      <c r="G106" s="3"/>
      <c r="H106" s="3"/>
      <c r="I106" s="3"/>
    </row>
    <row r="107" spans="1:9" x14ac:dyDescent="0.25">
      <c r="A107" s="3"/>
      <c r="B107" s="3"/>
      <c r="C107" s="3"/>
      <c r="D107" s="3"/>
      <c r="E107" s="3"/>
      <c r="F107" s="3"/>
      <c r="G107" s="3"/>
      <c r="H107" s="3"/>
      <c r="I107" s="3"/>
    </row>
    <row r="108" spans="1:9" x14ac:dyDescent="0.25">
      <c r="A108" s="3"/>
      <c r="B108" s="3"/>
      <c r="C108" s="3"/>
      <c r="D108" s="3"/>
      <c r="E108" s="3"/>
      <c r="F108" s="3"/>
      <c r="G108" s="3"/>
      <c r="H108" s="3"/>
      <c r="I108" s="3"/>
    </row>
    <row r="109" spans="1:9" x14ac:dyDescent="0.25">
      <c r="A109" s="3"/>
      <c r="B109" s="3"/>
      <c r="C109" s="3"/>
      <c r="D109" s="3"/>
      <c r="E109" s="3"/>
      <c r="F109" s="3"/>
      <c r="G109" s="3"/>
      <c r="H109" s="3"/>
      <c r="I109" s="3"/>
    </row>
    <row r="110" spans="1:9" x14ac:dyDescent="0.25">
      <c r="A110" s="3"/>
      <c r="B110" s="3"/>
      <c r="C110" s="3"/>
      <c r="D110" s="3"/>
      <c r="E110" s="3"/>
      <c r="F110" s="3"/>
      <c r="G110" s="3"/>
      <c r="H110" s="3"/>
      <c r="I110" s="3"/>
    </row>
    <row r="111" spans="1:9" x14ac:dyDescent="0.25">
      <c r="A111" s="3"/>
      <c r="B111" s="3"/>
      <c r="C111" s="3"/>
      <c r="D111" s="3"/>
      <c r="E111" s="3"/>
      <c r="F111" s="3"/>
      <c r="G111" s="3"/>
      <c r="H111" s="3"/>
      <c r="I111" s="3"/>
    </row>
    <row r="112" spans="1:9" x14ac:dyDescent="0.25">
      <c r="A112" s="3"/>
      <c r="B112" s="3"/>
      <c r="C112" s="3"/>
      <c r="D112" s="3"/>
      <c r="E112" s="3"/>
      <c r="F112" s="3"/>
      <c r="G112" s="3"/>
      <c r="H112" s="3"/>
      <c r="I112" s="3"/>
    </row>
    <row r="113" spans="1:9" x14ac:dyDescent="0.25">
      <c r="A113" s="3"/>
      <c r="B113" s="3"/>
      <c r="C113" s="3"/>
      <c r="D113" s="3"/>
      <c r="E113" s="3"/>
      <c r="F113" s="3"/>
      <c r="G113" s="3"/>
      <c r="H113" s="3"/>
      <c r="I113" s="3"/>
    </row>
    <row r="114" spans="1:9" x14ac:dyDescent="0.25">
      <c r="A114" s="3"/>
      <c r="B114" s="3"/>
      <c r="C114" s="3"/>
      <c r="D114" s="3"/>
      <c r="E114" s="3"/>
      <c r="F114" s="3"/>
      <c r="G114" s="3"/>
      <c r="H114" s="3"/>
      <c r="I114" s="3"/>
    </row>
    <row r="115" spans="1:9" x14ac:dyDescent="0.25">
      <c r="A115" s="3"/>
      <c r="B115" s="3"/>
      <c r="C115" s="3"/>
      <c r="D115" s="3"/>
      <c r="E115" s="3"/>
      <c r="F115" s="3"/>
      <c r="G115" s="3"/>
      <c r="H115" s="3"/>
      <c r="I115" s="3"/>
    </row>
    <row r="116" spans="1:9" x14ac:dyDescent="0.25">
      <c r="A116" s="3"/>
      <c r="B116" s="3"/>
      <c r="C116" s="3"/>
      <c r="D116" s="3"/>
      <c r="E116" s="3"/>
      <c r="F116" s="3"/>
      <c r="G116" s="3"/>
      <c r="H116" s="3"/>
      <c r="I116" s="3"/>
    </row>
    <row r="117" spans="1:9" x14ac:dyDescent="0.25">
      <c r="A117" s="3"/>
      <c r="B117" s="3"/>
      <c r="C117" s="3"/>
      <c r="D117" s="3"/>
      <c r="E117" s="3"/>
      <c r="F117" s="3"/>
      <c r="G117" s="3"/>
      <c r="H117" s="3"/>
      <c r="I117" s="3"/>
    </row>
    <row r="118" spans="1:9" x14ac:dyDescent="0.25">
      <c r="A118" s="3"/>
      <c r="B118" s="3"/>
      <c r="C118" s="3"/>
      <c r="D118" s="3"/>
      <c r="E118" s="3"/>
      <c r="F118" s="3"/>
      <c r="G118" s="3"/>
      <c r="H118" s="3"/>
      <c r="I118" s="3"/>
    </row>
    <row r="119" spans="1:9" x14ac:dyDescent="0.25">
      <c r="A119" s="3"/>
      <c r="B119" s="3"/>
      <c r="C119" s="3"/>
      <c r="D119" s="3"/>
      <c r="E119" s="3"/>
      <c r="F119" s="3"/>
      <c r="G119" s="3"/>
      <c r="H119" s="3"/>
      <c r="I119" s="3"/>
    </row>
    <row r="120" spans="1:9" x14ac:dyDescent="0.25">
      <c r="A120" s="3"/>
      <c r="B120" s="3"/>
      <c r="C120" s="3"/>
      <c r="D120" s="3"/>
      <c r="E120" s="3"/>
      <c r="F120" s="3"/>
      <c r="G120" s="3"/>
      <c r="H120" s="3"/>
      <c r="I120" s="3"/>
    </row>
    <row r="121" spans="1:9" x14ac:dyDescent="0.25">
      <c r="A121" s="3"/>
      <c r="B121" s="3"/>
      <c r="C121" s="3"/>
      <c r="D121" s="3"/>
      <c r="E121" s="3"/>
      <c r="F121" s="3"/>
      <c r="G121" s="3"/>
      <c r="H121" s="3"/>
      <c r="I121" s="3"/>
    </row>
    <row r="122" spans="1:9" x14ac:dyDescent="0.25">
      <c r="A122" s="3"/>
      <c r="B122" s="3"/>
      <c r="C122" s="3"/>
      <c r="D122" s="3"/>
      <c r="E122" s="3"/>
      <c r="F122" s="3"/>
      <c r="G122" s="3"/>
      <c r="H122" s="3"/>
      <c r="I122" s="3"/>
    </row>
    <row r="123" spans="1:9" x14ac:dyDescent="0.25">
      <c r="A123" s="3"/>
      <c r="B123" s="3"/>
      <c r="C123" s="3"/>
      <c r="D123" s="3"/>
      <c r="E123" s="3"/>
      <c r="F123" s="3"/>
      <c r="G123" s="3"/>
      <c r="H123" s="3"/>
      <c r="I123" s="3"/>
    </row>
    <row r="124" spans="1:9" x14ac:dyDescent="0.25">
      <c r="A124" s="3"/>
      <c r="B124" s="3"/>
      <c r="C124" s="3"/>
      <c r="D124" s="3"/>
      <c r="E124" s="3"/>
      <c r="F124" s="3"/>
      <c r="G124" s="3"/>
      <c r="H124" s="3"/>
      <c r="I124" s="3"/>
    </row>
    <row r="125" spans="1:9" x14ac:dyDescent="0.25">
      <c r="A125" s="3"/>
      <c r="B125" s="3"/>
      <c r="C125" s="3"/>
      <c r="D125" s="3"/>
      <c r="E125" s="3"/>
      <c r="F125" s="3"/>
      <c r="G125" s="3"/>
      <c r="H125" s="3"/>
      <c r="I125" s="3"/>
    </row>
    <row r="126" spans="1:9" x14ac:dyDescent="0.25">
      <c r="A126" s="3"/>
      <c r="B126" s="3"/>
      <c r="C126" s="3"/>
      <c r="D126" s="3"/>
      <c r="E126" s="3"/>
      <c r="F126" s="3"/>
      <c r="G126" s="3"/>
      <c r="H126" s="3"/>
      <c r="I126" s="3"/>
    </row>
    <row r="127" spans="1:9" x14ac:dyDescent="0.25">
      <c r="A127" s="3"/>
      <c r="B127" s="3"/>
      <c r="C127" s="3"/>
      <c r="D127" s="3"/>
      <c r="E127" s="3"/>
      <c r="F127" s="3"/>
      <c r="G127" s="3"/>
      <c r="H127" s="3"/>
      <c r="I127" s="3"/>
    </row>
    <row r="128" spans="1:9" x14ac:dyDescent="0.25">
      <c r="A128" s="3"/>
      <c r="B128" s="3"/>
      <c r="C128" s="3"/>
      <c r="D128" s="3"/>
      <c r="E128" s="3"/>
      <c r="F128" s="3"/>
      <c r="G128" s="3"/>
      <c r="H128" s="3"/>
      <c r="I128" s="3"/>
    </row>
    <row r="129" spans="1:9" x14ac:dyDescent="0.25">
      <c r="A129" s="3"/>
      <c r="B129" s="3"/>
      <c r="C129" s="3"/>
      <c r="D129" s="3"/>
      <c r="E129" s="3"/>
      <c r="F129" s="3"/>
      <c r="G129" s="3"/>
      <c r="H129" s="3"/>
      <c r="I129" s="3"/>
    </row>
    <row r="130" spans="1:9" x14ac:dyDescent="0.25">
      <c r="A130" s="3"/>
      <c r="B130" s="3"/>
      <c r="C130" s="3"/>
      <c r="D130" s="3"/>
      <c r="E130" s="3"/>
      <c r="F130" s="3"/>
      <c r="G130" s="3"/>
      <c r="H130" s="3"/>
      <c r="I130" s="3"/>
    </row>
    <row r="131" spans="1:9" x14ac:dyDescent="0.25">
      <c r="A131" s="3"/>
      <c r="B131" s="3"/>
      <c r="C131" s="3"/>
      <c r="D131" s="3"/>
      <c r="E131" s="3"/>
      <c r="F131" s="3"/>
      <c r="G131" s="3"/>
      <c r="H131" s="3"/>
      <c r="I131" s="3"/>
    </row>
    <row r="132" spans="1:9" x14ac:dyDescent="0.25">
      <c r="A132" s="3"/>
      <c r="B132" s="3"/>
      <c r="C132" s="3"/>
      <c r="D132" s="3"/>
      <c r="E132" s="3"/>
      <c r="F132" s="3"/>
      <c r="G132" s="3"/>
      <c r="H132" s="3"/>
      <c r="I132" s="3"/>
    </row>
    <row r="133" spans="1:9" x14ac:dyDescent="0.25">
      <c r="A133" s="3"/>
      <c r="B133" s="3"/>
      <c r="C133" s="3"/>
      <c r="D133" s="3"/>
      <c r="E133" s="3"/>
      <c r="F133" s="3"/>
      <c r="G133" s="3"/>
      <c r="H133" s="3"/>
      <c r="I133" s="3"/>
    </row>
    <row r="134" spans="1:9" x14ac:dyDescent="0.25">
      <c r="A134" s="3"/>
      <c r="B134" s="3"/>
      <c r="C134" s="3"/>
      <c r="D134" s="3"/>
      <c r="E134" s="3"/>
      <c r="F134" s="3"/>
      <c r="G134" s="3"/>
      <c r="H134" s="3"/>
      <c r="I134" s="3"/>
    </row>
    <row r="135" spans="1:9" x14ac:dyDescent="0.25">
      <c r="A135" s="3"/>
      <c r="B135" s="3"/>
      <c r="C135" s="3"/>
      <c r="D135" s="3"/>
      <c r="E135" s="3"/>
      <c r="F135" s="3"/>
      <c r="G135" s="3"/>
      <c r="H135" s="3"/>
      <c r="I135" s="3"/>
    </row>
    <row r="136" spans="1:9" x14ac:dyDescent="0.25">
      <c r="A136" s="3"/>
      <c r="B136" s="3"/>
      <c r="C136" s="3"/>
      <c r="D136" s="3"/>
      <c r="E136" s="3"/>
      <c r="F136" s="3"/>
      <c r="G136" s="3"/>
      <c r="H136" s="3"/>
      <c r="I136" s="3"/>
    </row>
    <row r="137" spans="1:9" x14ac:dyDescent="0.25">
      <c r="A137" s="3"/>
      <c r="B137" s="3"/>
      <c r="C137" s="3"/>
      <c r="D137" s="3"/>
      <c r="E137" s="3"/>
      <c r="F137" s="3"/>
      <c r="G137" s="3"/>
      <c r="H137" s="3"/>
      <c r="I137" s="3"/>
    </row>
    <row r="138" spans="1:9" x14ac:dyDescent="0.25">
      <c r="A138" s="3"/>
      <c r="B138" s="3"/>
      <c r="C138" s="3"/>
      <c r="D138" s="3"/>
      <c r="E138" s="3"/>
      <c r="F138" s="3"/>
      <c r="G138" s="3"/>
      <c r="H138" s="3"/>
      <c r="I138" s="3"/>
    </row>
    <row r="139" spans="1:9" x14ac:dyDescent="0.25">
      <c r="A139" s="3"/>
      <c r="B139" s="3"/>
      <c r="C139" s="3"/>
      <c r="D139" s="3"/>
      <c r="E139" s="3"/>
      <c r="F139" s="3"/>
      <c r="G139" s="3"/>
      <c r="H139" s="3"/>
      <c r="I139" s="3"/>
    </row>
    <row r="140" spans="1:9" x14ac:dyDescent="0.25">
      <c r="A140" s="3"/>
      <c r="B140" s="3"/>
      <c r="C140" s="3"/>
      <c r="D140" s="3"/>
      <c r="E140" s="3"/>
      <c r="F140" s="3"/>
      <c r="G140" s="3"/>
      <c r="H140" s="3"/>
      <c r="I140" s="3"/>
    </row>
    <row r="141" spans="1:9" x14ac:dyDescent="0.25">
      <c r="A141" s="3"/>
      <c r="B141" s="3"/>
      <c r="C141" s="3"/>
      <c r="D141" s="3"/>
      <c r="E141" s="3"/>
      <c r="F141" s="3"/>
      <c r="G141" s="3"/>
      <c r="H141" s="3"/>
      <c r="I141" s="3"/>
    </row>
    <row r="142" spans="1:9" x14ac:dyDescent="0.25">
      <c r="A142" s="3"/>
      <c r="B142" s="3"/>
      <c r="C142" s="3"/>
      <c r="D142" s="3"/>
      <c r="E142" s="3"/>
      <c r="F142" s="3"/>
      <c r="G142" s="3"/>
      <c r="H142" s="3"/>
      <c r="I142" s="3"/>
    </row>
    <row r="143" spans="1:9" x14ac:dyDescent="0.25">
      <c r="A143" s="3"/>
      <c r="B143" s="3"/>
      <c r="C143" s="3"/>
      <c r="D143" s="3"/>
      <c r="E143" s="3"/>
      <c r="F143" s="3"/>
      <c r="G143" s="3"/>
      <c r="H143" s="3"/>
      <c r="I143" s="3"/>
    </row>
    <row r="144" spans="1:9" x14ac:dyDescent="0.25">
      <c r="A144" s="3"/>
      <c r="B144" s="3"/>
      <c r="C144" s="3"/>
      <c r="D144" s="3"/>
      <c r="E144" s="3"/>
      <c r="F144" s="3"/>
      <c r="G144" s="3"/>
      <c r="H144" s="3"/>
      <c r="I144" s="3"/>
    </row>
    <row r="145" spans="1:9" x14ac:dyDescent="0.25">
      <c r="A145" s="3"/>
      <c r="B145" s="3"/>
      <c r="C145" s="3"/>
      <c r="D145" s="3"/>
      <c r="E145" s="3"/>
      <c r="F145" s="3"/>
      <c r="G145" s="3"/>
      <c r="H145" s="3"/>
      <c r="I145" s="3"/>
    </row>
    <row r="146" spans="1:9" x14ac:dyDescent="0.25">
      <c r="A146" s="3"/>
      <c r="B146" s="3"/>
      <c r="C146" s="3"/>
      <c r="D146" s="3"/>
      <c r="E146" s="3"/>
      <c r="F146" s="3"/>
      <c r="G146" s="3"/>
      <c r="H146" s="3"/>
      <c r="I146" s="3"/>
    </row>
    <row r="147" spans="1:9" x14ac:dyDescent="0.25">
      <c r="A147" s="3"/>
      <c r="B147" s="3"/>
      <c r="C147" s="3"/>
      <c r="D147" s="3"/>
      <c r="E147" s="3"/>
      <c r="F147" s="3"/>
      <c r="G147" s="3"/>
      <c r="H147" s="3"/>
      <c r="I147" s="3"/>
    </row>
    <row r="148" spans="1:9" x14ac:dyDescent="0.25">
      <c r="A148" s="3"/>
      <c r="B148" s="3"/>
      <c r="C148" s="3"/>
      <c r="D148" s="3"/>
      <c r="E148" s="3"/>
      <c r="F148" s="3"/>
      <c r="G148" s="3"/>
      <c r="H148" s="3"/>
      <c r="I148" s="3"/>
    </row>
    <row r="149" spans="1:9" x14ac:dyDescent="0.25">
      <c r="A149" s="3"/>
      <c r="B149" s="3"/>
      <c r="C149" s="3"/>
      <c r="D149" s="3"/>
      <c r="E149" s="3"/>
      <c r="F149" s="3"/>
      <c r="G149" s="3"/>
      <c r="H149" s="3"/>
      <c r="I149" s="3"/>
    </row>
    <row r="150" spans="1:9" x14ac:dyDescent="0.25">
      <c r="A150" s="3"/>
      <c r="B150" s="3"/>
      <c r="C150" s="3"/>
      <c r="D150" s="3"/>
      <c r="E150" s="3"/>
      <c r="F150" s="3"/>
      <c r="G150" s="3"/>
      <c r="H150" s="3"/>
      <c r="I150" s="3"/>
    </row>
    <row r="151" spans="1:9" x14ac:dyDescent="0.25">
      <c r="A151" s="3"/>
      <c r="B151" s="3"/>
      <c r="C151" s="3"/>
      <c r="D151" s="3"/>
      <c r="E151" s="3"/>
      <c r="F151" s="3"/>
      <c r="G151" s="3"/>
      <c r="H151" s="3"/>
      <c r="I151" s="3"/>
    </row>
    <row r="152" spans="1:9" x14ac:dyDescent="0.25">
      <c r="A152" s="3"/>
      <c r="B152" s="3"/>
      <c r="C152" s="3"/>
      <c r="D152" s="3"/>
      <c r="E152" s="3"/>
      <c r="F152" s="3"/>
      <c r="G152" s="3"/>
      <c r="H152" s="3"/>
      <c r="I152" s="3"/>
    </row>
    <row r="153" spans="1:9" x14ac:dyDescent="0.25">
      <c r="A153" s="3"/>
      <c r="B153" s="3"/>
      <c r="C153" s="3"/>
      <c r="D153" s="3"/>
      <c r="E153" s="3"/>
      <c r="F153" s="3"/>
      <c r="G153" s="3"/>
      <c r="H153" s="3"/>
      <c r="I153" s="3"/>
    </row>
    <row r="154" spans="1:9" x14ac:dyDescent="0.25">
      <c r="A154" s="3"/>
      <c r="B154" s="3"/>
      <c r="C154" s="3"/>
      <c r="D154" s="3"/>
      <c r="E154" s="3"/>
      <c r="F154" s="3"/>
      <c r="G154" s="3"/>
      <c r="H154" s="3"/>
      <c r="I154" s="3"/>
    </row>
    <row r="155" spans="1:9" x14ac:dyDescent="0.25">
      <c r="A155" s="3"/>
      <c r="B155" s="3"/>
      <c r="C155" s="3"/>
      <c r="D155" s="3"/>
      <c r="E155" s="3"/>
      <c r="F155" s="3"/>
      <c r="G155" s="3"/>
      <c r="H155" s="3"/>
      <c r="I155" s="3"/>
    </row>
    <row r="156" spans="1:9" x14ac:dyDescent="0.25">
      <c r="A156" s="3"/>
      <c r="B156" s="3"/>
      <c r="C156" s="3"/>
      <c r="D156" s="3"/>
      <c r="E156" s="3"/>
      <c r="F156" s="3"/>
      <c r="G156" s="3"/>
      <c r="H156" s="3"/>
      <c r="I156" s="3"/>
    </row>
    <row r="157" spans="1:9" x14ac:dyDescent="0.25">
      <c r="A157" s="3"/>
      <c r="B157" s="3"/>
      <c r="C157" s="3"/>
      <c r="D157" s="3"/>
      <c r="E157" s="3"/>
      <c r="F157" s="3"/>
      <c r="G157" s="3"/>
      <c r="H157" s="3"/>
      <c r="I157" s="3"/>
    </row>
    <row r="158" spans="1:9" x14ac:dyDescent="0.25">
      <c r="A158" s="3"/>
      <c r="B158" s="3"/>
      <c r="C158" s="3"/>
      <c r="D158" s="3"/>
      <c r="E158" s="3"/>
      <c r="F158" s="3"/>
      <c r="G158" s="3"/>
      <c r="H158" s="3"/>
      <c r="I158" s="3"/>
    </row>
    <row r="159" spans="1:9" x14ac:dyDescent="0.25">
      <c r="A159" s="3"/>
      <c r="B159" s="3"/>
      <c r="C159" s="3"/>
      <c r="D159" s="3"/>
      <c r="E159" s="3"/>
      <c r="F159" s="3"/>
      <c r="G159" s="3"/>
      <c r="H159" s="3"/>
      <c r="I159" s="3"/>
    </row>
    <row r="160" spans="1:9" x14ac:dyDescent="0.25">
      <c r="A160" s="3"/>
      <c r="B160" s="3"/>
      <c r="C160" s="3"/>
      <c r="D160" s="3"/>
      <c r="E160" s="3"/>
      <c r="F160" s="3"/>
      <c r="G160" s="3"/>
      <c r="H160" s="3"/>
      <c r="I160" s="3"/>
    </row>
    <row r="161" spans="1:9" x14ac:dyDescent="0.25">
      <c r="A161" s="3"/>
      <c r="B161" s="3"/>
      <c r="C161" s="3"/>
      <c r="D161" s="3"/>
      <c r="E161" s="3"/>
      <c r="F161" s="3"/>
      <c r="G161" s="3"/>
      <c r="H161" s="3"/>
      <c r="I161" s="3"/>
    </row>
    <row r="162" spans="1:9" x14ac:dyDescent="0.25">
      <c r="A162" s="3"/>
      <c r="B162" s="3"/>
      <c r="C162" s="3"/>
      <c r="D162" s="3"/>
      <c r="E162" s="3"/>
      <c r="F162" s="3"/>
      <c r="G162" s="3"/>
      <c r="H162" s="3"/>
      <c r="I162" s="3"/>
    </row>
    <row r="163" spans="1:9" x14ac:dyDescent="0.25">
      <c r="A163" s="3"/>
      <c r="B163" s="3"/>
      <c r="C163" s="3"/>
      <c r="D163" s="3"/>
      <c r="E163" s="3"/>
      <c r="F163" s="3"/>
      <c r="G163" s="3"/>
      <c r="H163" s="3"/>
      <c r="I163" s="3"/>
    </row>
    <row r="164" spans="1:9" x14ac:dyDescent="0.25">
      <c r="A164" s="3"/>
      <c r="B164" s="3"/>
      <c r="C164" s="3"/>
      <c r="D164" s="3"/>
      <c r="E164" s="3"/>
      <c r="F164" s="3"/>
      <c r="G164" s="3"/>
      <c r="H164" s="3"/>
      <c r="I164" s="3"/>
    </row>
    <row r="165" spans="1:9" x14ac:dyDescent="0.25">
      <c r="A165" s="3"/>
      <c r="B165" s="3"/>
      <c r="C165" s="3"/>
      <c r="D165" s="3"/>
      <c r="E165" s="3"/>
      <c r="F165" s="3"/>
      <c r="G165" s="3"/>
      <c r="H165" s="3"/>
      <c r="I165" s="3"/>
    </row>
    <row r="166" spans="1:9" x14ac:dyDescent="0.25">
      <c r="A166" s="3"/>
      <c r="B166" s="3"/>
      <c r="C166" s="3"/>
      <c r="D166" s="3"/>
      <c r="E166" s="3"/>
      <c r="F166" s="3"/>
      <c r="G166" s="3"/>
      <c r="H166" s="3"/>
      <c r="I166" s="3"/>
    </row>
    <row r="167" spans="1:9" x14ac:dyDescent="0.25">
      <c r="A167" s="3"/>
      <c r="B167" s="3"/>
      <c r="C167" s="3"/>
      <c r="D167" s="3"/>
      <c r="E167" s="3"/>
      <c r="F167" s="3"/>
      <c r="G167" s="3"/>
      <c r="H167" s="3"/>
      <c r="I167" s="3"/>
    </row>
    <row r="168" spans="1:9" x14ac:dyDescent="0.25">
      <c r="A168" s="3"/>
      <c r="B168" s="3"/>
      <c r="C168" s="3"/>
      <c r="D168" s="3"/>
      <c r="E168" s="3"/>
      <c r="F168" s="3"/>
      <c r="G168" s="3"/>
      <c r="H168" s="3"/>
      <c r="I168" s="3"/>
    </row>
    <row r="169" spans="1:9" x14ac:dyDescent="0.25">
      <c r="A169" s="3"/>
      <c r="B169" s="3"/>
      <c r="C169" s="3"/>
      <c r="D169" s="3"/>
      <c r="E169" s="3"/>
      <c r="F169" s="3"/>
      <c r="G169" s="3"/>
      <c r="H169" s="3"/>
      <c r="I169" s="3"/>
    </row>
    <row r="170" spans="1:9" x14ac:dyDescent="0.25">
      <c r="A170" s="3"/>
      <c r="B170" s="3"/>
      <c r="C170" s="3"/>
      <c r="D170" s="3"/>
      <c r="E170" s="3"/>
      <c r="F170" s="3"/>
      <c r="G170" s="3"/>
      <c r="H170" s="3"/>
      <c r="I170" s="3"/>
    </row>
    <row r="171" spans="1:9" x14ac:dyDescent="0.25">
      <c r="A171" s="3"/>
      <c r="B171" s="3"/>
      <c r="C171" s="3"/>
      <c r="D171" s="3"/>
      <c r="E171" s="3"/>
      <c r="F171" s="3"/>
      <c r="G171" s="3"/>
      <c r="H171" s="3"/>
      <c r="I171" s="3"/>
    </row>
    <row r="172" spans="1:9" x14ac:dyDescent="0.25">
      <c r="A172" s="3"/>
      <c r="B172" s="3"/>
      <c r="C172" s="3"/>
      <c r="D172" s="3"/>
      <c r="E172" s="3"/>
      <c r="F172" s="3"/>
      <c r="G172" s="3"/>
      <c r="H172" s="3"/>
      <c r="I172" s="3"/>
    </row>
    <row r="173" spans="1:9" x14ac:dyDescent="0.25">
      <c r="A173" s="3"/>
      <c r="B173" s="3"/>
      <c r="C173" s="3"/>
      <c r="D173" s="3"/>
      <c r="E173" s="3"/>
      <c r="F173" s="3"/>
      <c r="G173" s="3"/>
      <c r="H173" s="3"/>
      <c r="I173" s="3"/>
    </row>
    <row r="174" spans="1:9" x14ac:dyDescent="0.25">
      <c r="A174" s="3"/>
      <c r="B174" s="3"/>
      <c r="C174" s="3"/>
      <c r="D174" s="3"/>
      <c r="E174" s="3"/>
      <c r="F174" s="3"/>
      <c r="G174" s="3"/>
      <c r="H174" s="3"/>
      <c r="I174" s="3"/>
    </row>
    <row r="175" spans="1:9" x14ac:dyDescent="0.25">
      <c r="A175" s="3"/>
      <c r="B175" s="3"/>
      <c r="C175" s="3"/>
      <c r="D175" s="3"/>
      <c r="E175" s="3"/>
      <c r="F175" s="3"/>
      <c r="G175" s="3"/>
      <c r="H175" s="3"/>
      <c r="I175" s="3"/>
    </row>
    <row r="176" spans="1:9" x14ac:dyDescent="0.25">
      <c r="A176" s="3"/>
      <c r="B176" s="3"/>
      <c r="C176" s="3"/>
      <c r="D176" s="3"/>
      <c r="E176" s="3"/>
      <c r="F176" s="3"/>
      <c r="G176" s="3"/>
      <c r="H176" s="3"/>
      <c r="I176" s="3"/>
    </row>
    <row r="177" spans="1:9" x14ac:dyDescent="0.25">
      <c r="A177" s="3"/>
      <c r="B177" s="3"/>
      <c r="C177" s="3"/>
      <c r="D177" s="3"/>
      <c r="E177" s="3"/>
      <c r="F177" s="3"/>
      <c r="G177" s="3"/>
      <c r="H177" s="3"/>
      <c r="I177" s="3"/>
    </row>
    <row r="178" spans="1:9" x14ac:dyDescent="0.25">
      <c r="A178" s="3"/>
      <c r="B178" s="3"/>
      <c r="C178" s="3"/>
      <c r="D178" s="3"/>
      <c r="E178" s="3"/>
      <c r="F178" s="3"/>
      <c r="G178" s="3"/>
      <c r="H178" s="3"/>
      <c r="I178" s="3"/>
    </row>
    <row r="179" spans="1:9" x14ac:dyDescent="0.25">
      <c r="A179" s="3"/>
      <c r="B179" s="3"/>
      <c r="C179" s="3"/>
      <c r="D179" s="3"/>
      <c r="E179" s="3"/>
      <c r="F179" s="3"/>
      <c r="G179" s="3"/>
      <c r="H179" s="3"/>
      <c r="I179" s="3"/>
    </row>
    <row r="180" spans="1:9" x14ac:dyDescent="0.25">
      <c r="A180" s="3"/>
      <c r="B180" s="3"/>
      <c r="C180" s="3"/>
      <c r="D180" s="3"/>
      <c r="E180" s="3"/>
      <c r="F180" s="3"/>
      <c r="G180" s="3"/>
      <c r="H180" s="3"/>
      <c r="I180" s="3"/>
    </row>
    <row r="181" spans="1:9" x14ac:dyDescent="0.25">
      <c r="A181" s="3"/>
      <c r="B181" s="3"/>
      <c r="C181" s="3"/>
      <c r="D181" s="3"/>
      <c r="E181" s="3"/>
      <c r="F181" s="3"/>
      <c r="G181" s="3"/>
      <c r="H181" s="3"/>
      <c r="I181" s="3"/>
    </row>
    <row r="182" spans="1:9" x14ac:dyDescent="0.25">
      <c r="A182" s="3"/>
      <c r="B182" s="3"/>
      <c r="C182" s="3"/>
      <c r="D182" s="3"/>
      <c r="E182" s="3"/>
      <c r="F182" s="3"/>
      <c r="G182" s="3"/>
      <c r="H182" s="3"/>
      <c r="I182" s="3"/>
    </row>
    <row r="183" spans="1:9" x14ac:dyDescent="0.25">
      <c r="A183" s="3"/>
      <c r="B183" s="3"/>
      <c r="C183" s="3"/>
      <c r="D183" s="3"/>
      <c r="E183" s="3"/>
      <c r="F183" s="3"/>
      <c r="G183" s="3"/>
      <c r="H183" s="3"/>
      <c r="I183" s="3"/>
    </row>
    <row r="184" spans="1:9" x14ac:dyDescent="0.25">
      <c r="A184" s="3"/>
      <c r="B184" s="3"/>
      <c r="C184" s="3"/>
      <c r="D184" s="3"/>
      <c r="E184" s="3"/>
      <c r="F184" s="3"/>
      <c r="G184" s="3"/>
      <c r="H184" s="3"/>
      <c r="I184" s="3"/>
    </row>
    <row r="185" spans="1:9" x14ac:dyDescent="0.25">
      <c r="A185" s="3"/>
      <c r="B185" s="3"/>
      <c r="C185" s="3"/>
      <c r="D185" s="3"/>
      <c r="E185" s="3"/>
      <c r="F185" s="3"/>
      <c r="G185" s="3"/>
      <c r="H185" s="3"/>
      <c r="I185" s="3"/>
    </row>
    <row r="186" spans="1:9" x14ac:dyDescent="0.25">
      <c r="A186" s="3"/>
      <c r="B186" s="3"/>
      <c r="C186" s="3"/>
      <c r="D186" s="3"/>
      <c r="E186" s="3"/>
      <c r="F186" s="3"/>
      <c r="G186" s="3"/>
      <c r="H186" s="3"/>
      <c r="I186" s="3"/>
    </row>
    <row r="187" spans="1:9" x14ac:dyDescent="0.25">
      <c r="A187" s="3"/>
      <c r="B187" s="3"/>
      <c r="C187" s="3"/>
      <c r="D187" s="3"/>
      <c r="E187" s="3"/>
      <c r="F187" s="3"/>
      <c r="G187" s="3"/>
      <c r="H187" s="3"/>
      <c r="I187" s="3"/>
    </row>
    <row r="188" spans="1:9" x14ac:dyDescent="0.25">
      <c r="A188" s="3"/>
      <c r="B188" s="3"/>
      <c r="C188" s="3"/>
      <c r="D188" s="3"/>
      <c r="E188" s="3"/>
      <c r="F188" s="3"/>
      <c r="G188" s="3"/>
      <c r="H188" s="3"/>
      <c r="I188" s="3"/>
    </row>
    <row r="189" spans="1:9" x14ac:dyDescent="0.25">
      <c r="A189" s="3"/>
      <c r="B189" s="3"/>
      <c r="C189" s="3"/>
      <c r="D189" s="3"/>
      <c r="E189" s="3"/>
      <c r="F189" s="3"/>
      <c r="G189" s="3"/>
      <c r="H189" s="3"/>
      <c r="I189" s="3"/>
    </row>
    <row r="190" spans="1:9" x14ac:dyDescent="0.25">
      <c r="A190" s="3"/>
      <c r="B190" s="3"/>
      <c r="C190" s="3"/>
      <c r="D190" s="3"/>
      <c r="E190" s="3"/>
      <c r="F190" s="3"/>
      <c r="G190" s="3"/>
      <c r="H190" s="3"/>
      <c r="I190" s="3"/>
    </row>
    <row r="191" spans="1:9" x14ac:dyDescent="0.25">
      <c r="A191" s="3"/>
      <c r="B191" s="3"/>
      <c r="C191" s="3"/>
      <c r="D191" s="3"/>
      <c r="E191" s="3"/>
      <c r="F191" s="3"/>
      <c r="G191" s="3"/>
      <c r="H191" s="3"/>
      <c r="I191" s="3"/>
    </row>
    <row r="192" spans="1:9" x14ac:dyDescent="0.25">
      <c r="A192" s="3"/>
      <c r="B192" s="3"/>
      <c r="C192" s="3"/>
      <c r="D192" s="3"/>
      <c r="E192" s="3"/>
      <c r="F192" s="3"/>
      <c r="G192" s="3"/>
      <c r="H192" s="3"/>
      <c r="I192" s="3"/>
    </row>
    <row r="193" spans="1:9" x14ac:dyDescent="0.25">
      <c r="A193" s="3"/>
      <c r="B193" s="3"/>
      <c r="C193" s="3"/>
      <c r="D193" s="3"/>
      <c r="E193" s="3"/>
      <c r="F193" s="3"/>
      <c r="G193" s="3"/>
      <c r="H193" s="3"/>
      <c r="I193" s="3"/>
    </row>
    <row r="194" spans="1:9" x14ac:dyDescent="0.25">
      <c r="A194" s="3"/>
      <c r="B194" s="3"/>
      <c r="C194" s="3"/>
      <c r="D194" s="3"/>
      <c r="E194" s="3"/>
      <c r="F194" s="3"/>
      <c r="G194" s="3"/>
      <c r="H194" s="3"/>
      <c r="I194" s="3"/>
    </row>
    <row r="195" spans="1:9" x14ac:dyDescent="0.25">
      <c r="A195" s="3"/>
      <c r="B195" s="3"/>
      <c r="C195" s="3"/>
      <c r="D195" s="3"/>
      <c r="E195" s="3"/>
      <c r="F195" s="3"/>
      <c r="G195" s="3"/>
      <c r="H195" s="3"/>
      <c r="I195" s="3"/>
    </row>
    <row r="196" spans="1:9" x14ac:dyDescent="0.25">
      <c r="A196" s="3"/>
      <c r="B196" s="3"/>
      <c r="C196" s="3"/>
      <c r="D196" s="3"/>
      <c r="E196" s="3"/>
      <c r="F196" s="3"/>
      <c r="G196" s="3"/>
      <c r="H196" s="3"/>
      <c r="I196" s="3"/>
    </row>
    <row r="197" spans="1:9" x14ac:dyDescent="0.25">
      <c r="A197" s="3"/>
      <c r="B197" s="3"/>
      <c r="C197" s="3"/>
      <c r="D197" s="3"/>
      <c r="E197" s="3"/>
      <c r="F197" s="3"/>
      <c r="G197" s="3"/>
      <c r="H197" s="3"/>
      <c r="I197" s="3"/>
    </row>
    <row r="198" spans="1:9" x14ac:dyDescent="0.25">
      <c r="A198" s="3"/>
      <c r="B198" s="3"/>
      <c r="C198" s="3"/>
      <c r="D198" s="3"/>
      <c r="E198" s="3"/>
      <c r="F198" s="3"/>
      <c r="G198" s="3"/>
      <c r="H198" s="3"/>
      <c r="I198" s="3"/>
    </row>
    <row r="199" spans="1:9" x14ac:dyDescent="0.25">
      <c r="A199" s="3"/>
      <c r="B199" s="3"/>
      <c r="C199" s="3"/>
      <c r="D199" s="3"/>
      <c r="E199" s="3"/>
      <c r="F199" s="3"/>
      <c r="G199" s="3"/>
      <c r="H199" s="3"/>
      <c r="I199" s="3"/>
    </row>
    <row r="200" spans="1:9" x14ac:dyDescent="0.25">
      <c r="A200" s="3"/>
      <c r="B200" s="3"/>
      <c r="C200" s="3"/>
      <c r="D200" s="3"/>
      <c r="E200" s="3"/>
      <c r="F200" s="3"/>
      <c r="G200" s="3"/>
      <c r="H200" s="3"/>
      <c r="I200" s="3"/>
    </row>
    <row r="201" spans="1:9" x14ac:dyDescent="0.25">
      <c r="A201" s="3"/>
      <c r="B201" s="3"/>
      <c r="C201" s="3"/>
      <c r="D201" s="3"/>
      <c r="E201" s="3"/>
      <c r="F201" s="3"/>
      <c r="G201" s="3"/>
      <c r="H201" s="3"/>
      <c r="I201" s="3"/>
    </row>
    <row r="202" spans="1:9" x14ac:dyDescent="0.25">
      <c r="A202" s="3"/>
      <c r="B202" s="3"/>
      <c r="C202" s="3"/>
      <c r="D202" s="3"/>
      <c r="E202" s="3"/>
      <c r="F202" s="3"/>
      <c r="G202" s="3"/>
      <c r="H202" s="3"/>
      <c r="I202" s="3"/>
    </row>
    <row r="203" spans="1:9" x14ac:dyDescent="0.25">
      <c r="A203" s="3"/>
      <c r="B203" s="3"/>
      <c r="C203" s="3"/>
      <c r="D203" s="3"/>
      <c r="E203" s="3"/>
      <c r="F203" s="3"/>
      <c r="G203" s="3"/>
      <c r="H203" s="3"/>
      <c r="I203" s="3"/>
    </row>
    <row r="204" spans="1:9" x14ac:dyDescent="0.25">
      <c r="A204" s="3"/>
      <c r="B204" s="3"/>
      <c r="C204" s="3"/>
      <c r="D204" s="3"/>
      <c r="E204" s="3"/>
      <c r="F204" s="3"/>
      <c r="G204" s="3"/>
      <c r="H204" s="3"/>
      <c r="I204" s="3"/>
    </row>
    <row r="205" spans="1:9" x14ac:dyDescent="0.25">
      <c r="A205" s="3"/>
      <c r="B205" s="3"/>
      <c r="C205" s="3"/>
      <c r="D205" s="3"/>
      <c r="E205" s="3"/>
      <c r="F205" s="3"/>
      <c r="G205" s="3"/>
      <c r="H205" s="3"/>
      <c r="I205" s="3"/>
    </row>
    <row r="206" spans="1:9" x14ac:dyDescent="0.25">
      <c r="A206" s="3"/>
      <c r="B206" s="3"/>
      <c r="C206" s="3"/>
      <c r="D206" s="3"/>
      <c r="E206" s="3"/>
      <c r="F206" s="3"/>
      <c r="G206" s="3"/>
      <c r="H206" s="3"/>
      <c r="I206" s="3"/>
    </row>
    <row r="207" spans="1:9" x14ac:dyDescent="0.25">
      <c r="A207" s="3"/>
      <c r="B207" s="3"/>
      <c r="C207" s="3"/>
      <c r="D207" s="3"/>
      <c r="E207" s="3"/>
      <c r="F207" s="3"/>
      <c r="G207" s="3"/>
      <c r="H207" s="3"/>
      <c r="I207" s="3"/>
    </row>
    <row r="208" spans="1:9" x14ac:dyDescent="0.25">
      <c r="A208" s="3"/>
      <c r="B208" s="3"/>
      <c r="C208" s="3"/>
      <c r="D208" s="3"/>
      <c r="E208" s="3"/>
      <c r="F208" s="3"/>
      <c r="G208" s="3"/>
      <c r="H208" s="3"/>
      <c r="I208" s="3"/>
    </row>
    <row r="209" spans="1:9" x14ac:dyDescent="0.25">
      <c r="A209" s="3"/>
      <c r="B209" s="3"/>
      <c r="C209" s="3"/>
      <c r="D209" s="3"/>
      <c r="E209" s="3"/>
      <c r="F209" s="3"/>
      <c r="G209" s="3"/>
      <c r="H209" s="3"/>
      <c r="I209" s="3"/>
    </row>
    <row r="210" spans="1:9" x14ac:dyDescent="0.25">
      <c r="A210" s="3"/>
      <c r="B210" s="3"/>
      <c r="C210" s="3"/>
      <c r="D210" s="3"/>
      <c r="E210" s="3"/>
      <c r="F210" s="3"/>
      <c r="G210" s="3"/>
      <c r="H210" s="3"/>
      <c r="I210" s="3"/>
    </row>
    <row r="211" spans="1:9" x14ac:dyDescent="0.25">
      <c r="A211" s="3"/>
      <c r="B211" s="3"/>
      <c r="C211" s="3"/>
      <c r="D211" s="3"/>
      <c r="E211" s="3"/>
      <c r="F211" s="3"/>
      <c r="G211" s="3"/>
      <c r="H211" s="3"/>
      <c r="I211" s="3"/>
    </row>
    <row r="212" spans="1:9" x14ac:dyDescent="0.25">
      <c r="A212" s="3"/>
      <c r="B212" s="3"/>
      <c r="C212" s="3"/>
      <c r="D212" s="3"/>
      <c r="E212" s="3"/>
      <c r="F212" s="3"/>
      <c r="G212" s="3"/>
      <c r="H212" s="3"/>
      <c r="I212" s="3"/>
    </row>
    <row r="213" spans="1:9" x14ac:dyDescent="0.25">
      <c r="A213" s="3"/>
      <c r="B213" s="3"/>
      <c r="C213" s="3"/>
      <c r="D213" s="3"/>
      <c r="E213" s="3"/>
      <c r="F213" s="3"/>
      <c r="G213" s="3"/>
      <c r="H213" s="3"/>
      <c r="I213" s="3"/>
    </row>
    <row r="214" spans="1:9" x14ac:dyDescent="0.25">
      <c r="A214" s="3"/>
      <c r="B214" s="3"/>
      <c r="C214" s="3"/>
      <c r="D214" s="3"/>
      <c r="E214" s="3"/>
      <c r="F214" s="3"/>
      <c r="G214" s="3"/>
      <c r="H214" s="3"/>
      <c r="I214" s="3"/>
    </row>
    <row r="215" spans="1:9" x14ac:dyDescent="0.25">
      <c r="A215" s="3"/>
      <c r="B215" s="3"/>
      <c r="C215" s="3"/>
      <c r="D215" s="3"/>
      <c r="E215" s="3"/>
      <c r="F215" s="3"/>
      <c r="G215" s="3"/>
      <c r="H215" s="3"/>
      <c r="I215" s="3"/>
    </row>
    <row r="216" spans="1:9" x14ac:dyDescent="0.25">
      <c r="A216" s="3"/>
      <c r="B216" s="3"/>
      <c r="C216" s="3"/>
      <c r="D216" s="3"/>
      <c r="E216" s="3"/>
      <c r="F216" s="3"/>
      <c r="G216" s="3"/>
      <c r="H216" s="3"/>
      <c r="I216" s="3"/>
    </row>
    <row r="217" spans="1:9" x14ac:dyDescent="0.25">
      <c r="A217" s="3"/>
      <c r="B217" s="3"/>
      <c r="C217" s="3"/>
      <c r="D217" s="3"/>
      <c r="E217" s="3"/>
      <c r="F217" s="3"/>
      <c r="G217" s="3"/>
      <c r="H217" s="3"/>
      <c r="I217" s="3"/>
    </row>
    <row r="218" spans="1:9" x14ac:dyDescent="0.25">
      <c r="A218" s="3"/>
      <c r="B218" s="3"/>
      <c r="C218" s="3"/>
      <c r="D218" s="3"/>
      <c r="E218" s="3"/>
      <c r="F218" s="3"/>
      <c r="G218" s="3"/>
      <c r="H218" s="3"/>
      <c r="I218" s="3"/>
    </row>
    <row r="219" spans="1:9" x14ac:dyDescent="0.25">
      <c r="A219" s="3"/>
      <c r="B219" s="3"/>
      <c r="C219" s="3"/>
      <c r="D219" s="3"/>
      <c r="E219" s="3"/>
      <c r="F219" s="3"/>
      <c r="G219" s="3"/>
      <c r="H219" s="3"/>
      <c r="I219" s="3"/>
    </row>
    <row r="220" spans="1:9" x14ac:dyDescent="0.25">
      <c r="A220" s="3"/>
      <c r="B220" s="3"/>
      <c r="C220" s="3"/>
      <c r="D220" s="3"/>
      <c r="E220" s="3"/>
      <c r="F220" s="3"/>
      <c r="G220" s="3"/>
      <c r="H220" s="3"/>
      <c r="I220" s="3"/>
    </row>
    <row r="221" spans="1:9" x14ac:dyDescent="0.25">
      <c r="A221" s="3"/>
      <c r="B221" s="3"/>
      <c r="C221" s="3"/>
      <c r="D221" s="3"/>
      <c r="E221" s="3"/>
      <c r="F221" s="3"/>
      <c r="G221" s="3"/>
      <c r="H221" s="3"/>
      <c r="I221" s="3"/>
    </row>
    <row r="222" spans="1:9" x14ac:dyDescent="0.25">
      <c r="A222" s="3"/>
      <c r="B222" s="3"/>
      <c r="C222" s="3"/>
      <c r="D222" s="3"/>
      <c r="E222" s="3"/>
      <c r="F222" s="3"/>
      <c r="G222" s="3"/>
      <c r="H222" s="3"/>
      <c r="I222" s="3"/>
    </row>
    <row r="223" spans="1:9" x14ac:dyDescent="0.25">
      <c r="A223" s="3"/>
      <c r="B223" s="3"/>
      <c r="C223" s="3"/>
      <c r="D223" s="3"/>
      <c r="E223" s="3"/>
      <c r="F223" s="3"/>
      <c r="G223" s="3"/>
      <c r="H223" s="3"/>
      <c r="I223" s="3"/>
    </row>
    <row r="224" spans="1:9" x14ac:dyDescent="0.25">
      <c r="A224" s="3"/>
      <c r="B224" s="3"/>
      <c r="C224" s="3"/>
      <c r="D224" s="3"/>
      <c r="E224" s="3"/>
      <c r="F224" s="3"/>
      <c r="G224" s="3"/>
      <c r="H224" s="3"/>
      <c r="I224" s="3"/>
    </row>
    <row r="225" spans="1:9" x14ac:dyDescent="0.25">
      <c r="A225" s="3"/>
      <c r="B225" s="3"/>
      <c r="C225" s="3"/>
      <c r="D225" s="3"/>
      <c r="E225" s="3"/>
      <c r="F225" s="3"/>
      <c r="G225" s="3"/>
      <c r="H225" s="3"/>
      <c r="I225" s="3"/>
    </row>
    <row r="226" spans="1:9" x14ac:dyDescent="0.25">
      <c r="A226" s="3"/>
      <c r="B226" s="3"/>
      <c r="C226" s="3"/>
      <c r="D226" s="3"/>
      <c r="E226" s="3"/>
      <c r="F226" s="3"/>
      <c r="G226" s="3"/>
      <c r="H226" s="3"/>
      <c r="I226" s="3"/>
    </row>
    <row r="227" spans="1:9" x14ac:dyDescent="0.25">
      <c r="A227" s="3"/>
      <c r="B227" s="3"/>
      <c r="C227" s="3"/>
      <c r="D227" s="3"/>
      <c r="E227" s="3"/>
      <c r="F227" s="3"/>
      <c r="G227" s="3"/>
      <c r="H227" s="3"/>
      <c r="I227" s="3"/>
    </row>
    <row r="228" spans="1:9" x14ac:dyDescent="0.25">
      <c r="A228" s="3"/>
      <c r="B228" s="3"/>
      <c r="C228" s="3"/>
      <c r="D228" s="3"/>
      <c r="E228" s="3"/>
      <c r="F228" s="3"/>
      <c r="G228" s="3"/>
      <c r="H228" s="3"/>
      <c r="I228" s="3"/>
    </row>
    <row r="229" spans="1:9" x14ac:dyDescent="0.25">
      <c r="A229" s="3"/>
      <c r="B229" s="3"/>
      <c r="C229" s="3"/>
      <c r="D229" s="3"/>
      <c r="E229" s="3"/>
      <c r="F229" s="3"/>
      <c r="G229" s="3"/>
      <c r="H229" s="3"/>
      <c r="I229" s="3"/>
    </row>
    <row r="230" spans="1:9" x14ac:dyDescent="0.25">
      <c r="A230" s="3"/>
      <c r="B230" s="3"/>
      <c r="C230" s="3"/>
      <c r="D230" s="3"/>
      <c r="E230" s="3"/>
      <c r="F230" s="3"/>
      <c r="G230" s="3"/>
      <c r="H230" s="3"/>
      <c r="I230" s="3"/>
    </row>
    <row r="231" spans="1:9" x14ac:dyDescent="0.25">
      <c r="A231" s="3"/>
      <c r="B231" s="3"/>
      <c r="C231" s="3"/>
      <c r="D231" s="3"/>
      <c r="E231" s="3"/>
      <c r="F231" s="3"/>
      <c r="G231" s="3"/>
      <c r="H231" s="3"/>
      <c r="I231" s="3"/>
    </row>
    <row r="232" spans="1:9" x14ac:dyDescent="0.25">
      <c r="A232" s="3"/>
      <c r="B232" s="3"/>
      <c r="C232" s="3"/>
      <c r="D232" s="3"/>
      <c r="E232" s="3"/>
      <c r="F232" s="3"/>
      <c r="G232" s="3"/>
      <c r="H232" s="3"/>
      <c r="I232" s="3"/>
    </row>
    <row r="233" spans="1:9" x14ac:dyDescent="0.25">
      <c r="A233" s="3"/>
      <c r="B233" s="3"/>
      <c r="C233" s="3"/>
      <c r="D233" s="3"/>
      <c r="E233" s="3"/>
      <c r="F233" s="3"/>
      <c r="G233" s="3"/>
      <c r="H233" s="3"/>
      <c r="I233" s="3"/>
    </row>
    <row r="234" spans="1:9" x14ac:dyDescent="0.25">
      <c r="A234" s="3"/>
      <c r="B234" s="3"/>
      <c r="C234" s="3"/>
      <c r="D234" s="3"/>
      <c r="E234" s="3"/>
      <c r="F234" s="3"/>
      <c r="G234" s="3"/>
      <c r="H234" s="3"/>
      <c r="I234" s="3"/>
    </row>
    <row r="235" spans="1:9" x14ac:dyDescent="0.25">
      <c r="A235" s="3"/>
      <c r="B235" s="3"/>
      <c r="C235" s="3"/>
      <c r="D235" s="3"/>
      <c r="E235" s="3"/>
      <c r="F235" s="3"/>
      <c r="G235" s="3"/>
      <c r="H235" s="3"/>
      <c r="I235" s="3"/>
    </row>
    <row r="236" spans="1:9" x14ac:dyDescent="0.25">
      <c r="A236" s="3"/>
      <c r="B236" s="3"/>
      <c r="C236" s="3"/>
      <c r="D236" s="3"/>
      <c r="E236" s="3"/>
      <c r="F236" s="3"/>
      <c r="G236" s="3"/>
      <c r="H236" s="3"/>
      <c r="I236" s="3"/>
    </row>
    <row r="237" spans="1:9" x14ac:dyDescent="0.25">
      <c r="A237" s="3"/>
      <c r="B237" s="3"/>
      <c r="C237" s="3"/>
      <c r="D237" s="3"/>
      <c r="E237" s="3"/>
      <c r="F237" s="3"/>
      <c r="G237" s="3"/>
      <c r="H237" s="3"/>
      <c r="I237" s="3"/>
    </row>
    <row r="238" spans="1:9" x14ac:dyDescent="0.25">
      <c r="A238" s="3"/>
      <c r="B238" s="3"/>
      <c r="C238" s="3"/>
      <c r="D238" s="3"/>
      <c r="E238" s="3"/>
      <c r="F238" s="3"/>
      <c r="G238" s="3"/>
      <c r="H238" s="3"/>
      <c r="I238" s="3"/>
    </row>
    <row r="239" spans="1:9" x14ac:dyDescent="0.25">
      <c r="A239" s="3"/>
      <c r="B239" s="3"/>
      <c r="C239" s="3"/>
      <c r="D239" s="3"/>
      <c r="E239" s="3"/>
      <c r="F239" s="3"/>
      <c r="G239" s="3"/>
      <c r="H239" s="3"/>
      <c r="I239" s="3"/>
    </row>
    <row r="240" spans="1:9" x14ac:dyDescent="0.25">
      <c r="A240" s="3"/>
      <c r="B240" s="3"/>
      <c r="C240" s="3"/>
      <c r="D240" s="3"/>
      <c r="E240" s="3"/>
      <c r="F240" s="3"/>
      <c r="G240" s="3"/>
      <c r="H240" s="3"/>
      <c r="I240" s="3"/>
    </row>
    <row r="241" spans="1:9" x14ac:dyDescent="0.25">
      <c r="A241" s="3"/>
      <c r="B241" s="3"/>
      <c r="C241" s="3"/>
      <c r="D241" s="3"/>
      <c r="E241" s="3"/>
      <c r="F241" s="3"/>
      <c r="G241" s="3"/>
      <c r="H241" s="3"/>
      <c r="I241" s="3"/>
    </row>
    <row r="242" spans="1:9" x14ac:dyDescent="0.25">
      <c r="A242" s="3"/>
      <c r="B242" s="3"/>
      <c r="C242" s="3"/>
      <c r="D242" s="3"/>
      <c r="E242" s="3"/>
      <c r="F242" s="3"/>
      <c r="G242" s="3"/>
      <c r="H242" s="3"/>
      <c r="I242" s="3"/>
    </row>
    <row r="243" spans="1:9" x14ac:dyDescent="0.25">
      <c r="A243" s="3"/>
      <c r="B243" s="3"/>
      <c r="C243" s="3"/>
      <c r="D243" s="3"/>
      <c r="E243" s="3"/>
      <c r="F243" s="3"/>
      <c r="G243" s="3"/>
      <c r="H243" s="3"/>
      <c r="I243" s="3"/>
    </row>
    <row r="244" spans="1:9" x14ac:dyDescent="0.25">
      <c r="A244" s="3"/>
      <c r="B244" s="3"/>
      <c r="C244" s="3"/>
      <c r="D244" s="3"/>
      <c r="E244" s="3"/>
      <c r="F244" s="3"/>
      <c r="G244" s="3"/>
      <c r="H244" s="3"/>
      <c r="I244" s="3"/>
    </row>
    <row r="245" spans="1:9" x14ac:dyDescent="0.25">
      <c r="A245" s="3"/>
      <c r="B245" s="3"/>
      <c r="C245" s="3"/>
      <c r="D245" s="3"/>
      <c r="E245" s="3"/>
      <c r="F245" s="3"/>
      <c r="G245" s="3"/>
      <c r="H245" s="3"/>
      <c r="I245" s="3"/>
    </row>
    <row r="246" spans="1:9" x14ac:dyDescent="0.25">
      <c r="A246" s="3"/>
      <c r="B246" s="3"/>
      <c r="C246" s="3"/>
      <c r="D246" s="3"/>
      <c r="E246" s="3"/>
      <c r="F246" s="3"/>
      <c r="G246" s="3"/>
      <c r="H246" s="3"/>
      <c r="I246" s="3"/>
    </row>
    <row r="247" spans="1:9" x14ac:dyDescent="0.25">
      <c r="A247" s="3"/>
      <c r="B247" s="3"/>
      <c r="C247" s="3"/>
      <c r="D247" s="3"/>
      <c r="E247" s="3"/>
      <c r="F247" s="3"/>
      <c r="G247" s="3"/>
      <c r="H247" s="3"/>
      <c r="I247" s="3"/>
    </row>
    <row r="248" spans="1:9" x14ac:dyDescent="0.25">
      <c r="A248" s="3"/>
      <c r="B248" s="3"/>
      <c r="C248" s="3"/>
      <c r="D248" s="3"/>
      <c r="E248" s="3"/>
      <c r="F248" s="3"/>
      <c r="G248" s="3"/>
      <c r="H248" s="3"/>
      <c r="I248" s="3"/>
    </row>
    <row r="249" spans="1:9" x14ac:dyDescent="0.25">
      <c r="A249" s="3"/>
      <c r="B249" s="3"/>
      <c r="C249" s="3"/>
      <c r="D249" s="3"/>
      <c r="E249" s="3"/>
      <c r="F249" s="3"/>
      <c r="G249" s="3"/>
      <c r="H249" s="3"/>
      <c r="I249" s="3"/>
    </row>
    <row r="250" spans="1:9" x14ac:dyDescent="0.25">
      <c r="A250" s="3"/>
      <c r="B250" s="3"/>
      <c r="C250" s="3"/>
      <c r="D250" s="3"/>
      <c r="E250" s="3"/>
      <c r="F250" s="3"/>
      <c r="G250" s="3"/>
      <c r="H250" s="3"/>
      <c r="I250" s="3"/>
    </row>
    <row r="251" spans="1:9" x14ac:dyDescent="0.25">
      <c r="A251" s="3"/>
      <c r="B251" s="3"/>
      <c r="C251" s="3"/>
      <c r="D251" s="3"/>
      <c r="E251" s="3"/>
      <c r="F251" s="3"/>
      <c r="G251" s="3"/>
      <c r="H251" s="3"/>
      <c r="I251" s="3"/>
    </row>
    <row r="252" spans="1:9" x14ac:dyDescent="0.25">
      <c r="A252" s="3"/>
      <c r="B252" s="3"/>
      <c r="C252" s="3"/>
      <c r="D252" s="3"/>
      <c r="E252" s="3"/>
      <c r="F252" s="3"/>
      <c r="G252" s="3"/>
      <c r="H252" s="3"/>
      <c r="I252" s="3"/>
    </row>
    <row r="253" spans="1:9" x14ac:dyDescent="0.25">
      <c r="A253" s="3"/>
      <c r="B253" s="3"/>
      <c r="C253" s="3"/>
      <c r="D253" s="3"/>
      <c r="E253" s="3"/>
      <c r="F253" s="3"/>
      <c r="G253" s="3"/>
      <c r="H253" s="3"/>
      <c r="I253" s="3"/>
    </row>
    <row r="254" spans="1:9" x14ac:dyDescent="0.25">
      <c r="A254" s="3"/>
      <c r="B254" s="3"/>
      <c r="C254" s="3"/>
      <c r="D254" s="3"/>
      <c r="E254" s="3"/>
      <c r="F254" s="3"/>
      <c r="G254" s="3"/>
      <c r="H254" s="3"/>
      <c r="I254" s="3"/>
    </row>
    <row r="255" spans="1:9" x14ac:dyDescent="0.25">
      <c r="A255" s="3"/>
      <c r="B255" s="3"/>
      <c r="C255" s="3"/>
      <c r="D255" s="3"/>
      <c r="E255" s="3"/>
      <c r="F255" s="3"/>
      <c r="G255" s="3"/>
      <c r="H255" s="3"/>
      <c r="I255" s="3"/>
    </row>
    <row r="256" spans="1:9" x14ac:dyDescent="0.25">
      <c r="A256" s="3"/>
      <c r="B256" s="3"/>
      <c r="C256" s="3"/>
      <c r="D256" s="3"/>
      <c r="E256" s="3"/>
      <c r="F256" s="3"/>
      <c r="G256" s="3"/>
      <c r="H256" s="3"/>
      <c r="I256" s="3"/>
    </row>
    <row r="257" spans="1:9" x14ac:dyDescent="0.25">
      <c r="A257" s="3"/>
      <c r="B257" s="3"/>
      <c r="C257" s="3"/>
      <c r="D257" s="3"/>
      <c r="E257" s="3"/>
      <c r="F257" s="3"/>
      <c r="G257" s="3"/>
      <c r="H257" s="3"/>
      <c r="I257" s="3"/>
    </row>
    <row r="258" spans="1:9" x14ac:dyDescent="0.25">
      <c r="A258" s="3"/>
      <c r="B258" s="3"/>
      <c r="C258" s="3"/>
      <c r="D258" s="3"/>
      <c r="E258" s="3"/>
      <c r="F258" s="3"/>
      <c r="G258" s="3"/>
      <c r="H258" s="3"/>
      <c r="I258" s="3"/>
    </row>
    <row r="259" spans="1:9" x14ac:dyDescent="0.25">
      <c r="A259" s="3"/>
      <c r="B259" s="3"/>
      <c r="C259" s="3"/>
      <c r="D259" s="3"/>
      <c r="E259" s="3"/>
      <c r="F259" s="3"/>
      <c r="G259" s="3"/>
      <c r="H259" s="3"/>
      <c r="I259" s="3"/>
    </row>
    <row r="260" spans="1:9" x14ac:dyDescent="0.25">
      <c r="A260" s="3"/>
      <c r="B260" s="3"/>
      <c r="C260" s="3"/>
      <c r="D260" s="3"/>
      <c r="E260" s="3"/>
      <c r="F260" s="3"/>
      <c r="G260" s="3"/>
      <c r="H260" s="3"/>
      <c r="I260" s="3"/>
    </row>
    <row r="261" spans="1:9" x14ac:dyDescent="0.25">
      <c r="A261" s="3"/>
      <c r="B261" s="3"/>
      <c r="C261" s="3"/>
      <c r="D261" s="3"/>
      <c r="E261" s="3"/>
      <c r="F261" s="3"/>
      <c r="G261" s="3"/>
      <c r="H261" s="3"/>
      <c r="I261" s="3"/>
    </row>
    <row r="262" spans="1:9" x14ac:dyDescent="0.25">
      <c r="A262" s="3"/>
      <c r="B262" s="3"/>
      <c r="C262" s="3"/>
      <c r="D262" s="3"/>
      <c r="E262" s="3"/>
      <c r="F262" s="3"/>
      <c r="G262" s="3"/>
      <c r="H262" s="3"/>
      <c r="I262" s="3"/>
    </row>
    <row r="263" spans="1:9" x14ac:dyDescent="0.25">
      <c r="A263" s="3"/>
      <c r="B263" s="3"/>
      <c r="C263" s="3"/>
      <c r="D263" s="3"/>
      <c r="E263" s="3"/>
      <c r="F263" s="3"/>
      <c r="G263" s="3"/>
      <c r="H263" s="3"/>
      <c r="I263" s="3"/>
    </row>
    <row r="264" spans="1:9" x14ac:dyDescent="0.25">
      <c r="A264" s="3"/>
      <c r="B264" s="3"/>
      <c r="C264" s="3"/>
      <c r="D264" s="3"/>
      <c r="E264" s="3"/>
      <c r="F264" s="3"/>
      <c r="G264" s="3"/>
      <c r="H264" s="3"/>
      <c r="I264" s="3"/>
    </row>
    <row r="265" spans="1:9" x14ac:dyDescent="0.25">
      <c r="A265" s="3"/>
      <c r="B265" s="3"/>
      <c r="C265" s="3"/>
      <c r="D265" s="3"/>
      <c r="E265" s="3"/>
      <c r="F265" s="3"/>
      <c r="G265" s="3"/>
      <c r="H265" s="3"/>
      <c r="I265" s="3"/>
    </row>
    <row r="266" spans="1:9" x14ac:dyDescent="0.25">
      <c r="A266" s="3"/>
      <c r="B266" s="3"/>
      <c r="C266" s="3"/>
      <c r="D266" s="3"/>
      <c r="E266" s="3"/>
      <c r="F266" s="3"/>
      <c r="G266" s="3"/>
      <c r="H266" s="3"/>
      <c r="I266" s="3"/>
    </row>
    <row r="267" spans="1:9" x14ac:dyDescent="0.25">
      <c r="A267" s="3"/>
      <c r="B267" s="3"/>
      <c r="C267" s="3"/>
      <c r="D267" s="3"/>
      <c r="E267" s="3"/>
      <c r="F267" s="3"/>
      <c r="G267" s="3"/>
      <c r="H267" s="3"/>
      <c r="I267" s="3"/>
    </row>
    <row r="268" spans="1:9" x14ac:dyDescent="0.25">
      <c r="A268" s="3"/>
      <c r="B268" s="3"/>
      <c r="C268" s="3"/>
      <c r="D268" s="3"/>
      <c r="E268" s="3"/>
      <c r="F268" s="3"/>
      <c r="G268" s="3"/>
      <c r="H268" s="3"/>
      <c r="I268" s="3"/>
    </row>
    <row r="269" spans="1:9" x14ac:dyDescent="0.25">
      <c r="A269" s="3"/>
      <c r="B269" s="3"/>
      <c r="C269" s="3"/>
      <c r="D269" s="3"/>
      <c r="E269" s="3"/>
      <c r="F269" s="3"/>
      <c r="G269" s="3"/>
      <c r="H269" s="3"/>
      <c r="I269" s="3"/>
    </row>
    <row r="270" spans="1:9" x14ac:dyDescent="0.25">
      <c r="A270" s="3"/>
      <c r="B270" s="3"/>
      <c r="C270" s="3"/>
      <c r="D270" s="3"/>
      <c r="E270" s="3"/>
      <c r="F270" s="3"/>
      <c r="G270" s="3"/>
      <c r="H270" s="3"/>
      <c r="I270" s="3"/>
    </row>
    <row r="271" spans="1:9" x14ac:dyDescent="0.25">
      <c r="A271" s="3"/>
      <c r="B271" s="3"/>
      <c r="C271" s="3"/>
      <c r="D271" s="3"/>
      <c r="E271" s="3"/>
      <c r="F271" s="3"/>
      <c r="G271" s="3"/>
      <c r="H271" s="3"/>
      <c r="I271" s="3"/>
    </row>
    <row r="272" spans="1:9" x14ac:dyDescent="0.25">
      <c r="A272" s="3"/>
      <c r="B272" s="3"/>
      <c r="C272" s="3"/>
      <c r="D272" s="3"/>
      <c r="E272" s="3"/>
      <c r="F272" s="3"/>
      <c r="G272" s="3"/>
      <c r="H272" s="3"/>
      <c r="I272" s="3"/>
    </row>
    <row r="273" spans="1:9" x14ac:dyDescent="0.25">
      <c r="A273" s="3"/>
      <c r="B273" s="3"/>
      <c r="C273" s="3"/>
      <c r="D273" s="3"/>
      <c r="E273" s="3"/>
      <c r="F273" s="3"/>
      <c r="G273" s="3"/>
      <c r="H273" s="3"/>
      <c r="I273" s="3"/>
    </row>
    <row r="274" spans="1:9" x14ac:dyDescent="0.25">
      <c r="A274" s="3"/>
      <c r="B274" s="3"/>
      <c r="C274" s="3"/>
      <c r="D274" s="3"/>
      <c r="E274" s="3"/>
      <c r="F274" s="3"/>
      <c r="G274" s="3"/>
      <c r="H274" s="3"/>
      <c r="I274" s="3"/>
    </row>
    <row r="275" spans="1:9" x14ac:dyDescent="0.25">
      <c r="A275" s="3"/>
      <c r="B275" s="3"/>
      <c r="C275" s="3"/>
      <c r="D275" s="3"/>
      <c r="E275" s="3"/>
      <c r="F275" s="3"/>
      <c r="G275" s="3"/>
      <c r="H275" s="3"/>
      <c r="I275" s="3"/>
    </row>
    <row r="276" spans="1:9" x14ac:dyDescent="0.25">
      <c r="A276" s="3"/>
      <c r="B276" s="3"/>
      <c r="C276" s="3"/>
      <c r="D276" s="3"/>
      <c r="E276" s="3"/>
      <c r="F276" s="3"/>
      <c r="G276" s="3"/>
      <c r="H276" s="3"/>
      <c r="I276" s="3"/>
    </row>
    <row r="277" spans="1:9" x14ac:dyDescent="0.25">
      <c r="A277" s="3"/>
      <c r="B277" s="3"/>
      <c r="C277" s="3"/>
      <c r="D277" s="3"/>
      <c r="E277" s="3"/>
      <c r="F277" s="3"/>
      <c r="G277" s="3"/>
      <c r="H277" s="3"/>
      <c r="I277" s="3"/>
    </row>
    <row r="278" spans="1:9" x14ac:dyDescent="0.25">
      <c r="A278" s="3"/>
      <c r="B278" s="3"/>
      <c r="C278" s="3"/>
      <c r="D278" s="3"/>
      <c r="E278" s="3"/>
      <c r="F278" s="3"/>
      <c r="G278" s="3"/>
      <c r="H278" s="3"/>
      <c r="I278" s="3"/>
    </row>
    <row r="279" spans="1:9" x14ac:dyDescent="0.25">
      <c r="A279" s="3"/>
      <c r="B279" s="3"/>
      <c r="C279" s="3"/>
      <c r="D279" s="3"/>
      <c r="E279" s="3"/>
      <c r="F279" s="3"/>
      <c r="G279" s="3"/>
      <c r="H279" s="3"/>
      <c r="I279" s="3"/>
    </row>
    <row r="280" spans="1:9" x14ac:dyDescent="0.25">
      <c r="A280" s="3"/>
      <c r="B280" s="3"/>
      <c r="C280" s="3"/>
      <c r="D280" s="3"/>
      <c r="E280" s="3"/>
      <c r="F280" s="3"/>
      <c r="G280" s="3"/>
      <c r="H280" s="3"/>
      <c r="I280" s="3"/>
    </row>
    <row r="281" spans="1:9" x14ac:dyDescent="0.25">
      <c r="A281" s="3"/>
      <c r="B281" s="3"/>
      <c r="C281" s="3"/>
      <c r="D281" s="3"/>
      <c r="E281" s="3"/>
      <c r="F281" s="3"/>
      <c r="G281" s="3"/>
      <c r="H281" s="3"/>
      <c r="I281" s="3"/>
    </row>
    <row r="282" spans="1:9" x14ac:dyDescent="0.25">
      <c r="A282" s="3"/>
      <c r="B282" s="3"/>
      <c r="C282" s="3"/>
      <c r="D282" s="3"/>
      <c r="E282" s="3"/>
      <c r="F282" s="3"/>
      <c r="G282" s="3"/>
      <c r="H282" s="3"/>
      <c r="I282" s="3"/>
    </row>
    <row r="283" spans="1:9" x14ac:dyDescent="0.25">
      <c r="A283" s="3"/>
      <c r="B283" s="3"/>
      <c r="C283" s="3"/>
      <c r="D283" s="3"/>
      <c r="E283" s="3"/>
      <c r="F283" s="3"/>
      <c r="G283" s="3"/>
      <c r="H283" s="3"/>
      <c r="I283" s="3"/>
    </row>
    <row r="284" spans="1:9" x14ac:dyDescent="0.25">
      <c r="A284" s="3"/>
      <c r="B284" s="3"/>
      <c r="C284" s="3"/>
      <c r="D284" s="3"/>
      <c r="E284" s="3"/>
      <c r="F284" s="3"/>
      <c r="G284" s="3"/>
      <c r="H284" s="3"/>
      <c r="I284" s="3"/>
    </row>
    <row r="285" spans="1:9" x14ac:dyDescent="0.25">
      <c r="A285" s="3"/>
      <c r="B285" s="3"/>
      <c r="C285" s="3"/>
      <c r="D285" s="3"/>
      <c r="E285" s="3"/>
      <c r="F285" s="3"/>
      <c r="G285" s="3"/>
      <c r="H285" s="3"/>
      <c r="I285" s="3"/>
    </row>
    <row r="286" spans="1:9" x14ac:dyDescent="0.25">
      <c r="A286" s="3"/>
      <c r="B286" s="3"/>
      <c r="C286" s="3"/>
      <c r="D286" s="3"/>
      <c r="E286" s="3"/>
      <c r="F286" s="3"/>
      <c r="G286" s="3"/>
      <c r="H286" s="3"/>
      <c r="I286" s="3"/>
    </row>
    <row r="287" spans="1:9" x14ac:dyDescent="0.25">
      <c r="A287" s="3"/>
      <c r="B287" s="3"/>
      <c r="C287" s="3"/>
      <c r="D287" s="3"/>
      <c r="E287" s="3"/>
      <c r="F287" s="3"/>
      <c r="G287" s="3"/>
      <c r="H287" s="3"/>
      <c r="I287" s="3"/>
    </row>
    <row r="288" spans="1:9" x14ac:dyDescent="0.25">
      <c r="A288" s="3"/>
      <c r="B288" s="3"/>
      <c r="C288" s="3"/>
      <c r="D288" s="3"/>
      <c r="E288" s="3"/>
      <c r="F288" s="3"/>
      <c r="G288" s="3"/>
      <c r="H288" s="3"/>
      <c r="I288" s="3"/>
    </row>
    <row r="289" spans="1:9" x14ac:dyDescent="0.25">
      <c r="A289" s="3"/>
      <c r="B289" s="3"/>
      <c r="C289" s="3"/>
      <c r="D289" s="3"/>
      <c r="E289" s="3"/>
      <c r="F289" s="3"/>
      <c r="G289" s="3"/>
      <c r="H289" s="3"/>
      <c r="I289" s="3"/>
    </row>
    <row r="290" spans="1:9" x14ac:dyDescent="0.25">
      <c r="A290" s="3"/>
      <c r="B290" s="3"/>
      <c r="C290" s="3"/>
      <c r="D290" s="3"/>
      <c r="E290" s="3"/>
      <c r="F290" s="3"/>
      <c r="G290" s="3"/>
      <c r="H290" s="3"/>
      <c r="I290" s="3"/>
    </row>
    <row r="291" spans="1:9" x14ac:dyDescent="0.25">
      <c r="A291" s="3"/>
      <c r="B291" s="3"/>
      <c r="C291" s="3"/>
      <c r="D291" s="3"/>
      <c r="E291" s="3"/>
      <c r="F291" s="3"/>
      <c r="G291" s="3"/>
      <c r="H291" s="3"/>
      <c r="I291" s="3"/>
    </row>
    <row r="292" spans="1:9" x14ac:dyDescent="0.25">
      <c r="A292" s="3"/>
      <c r="B292" s="3"/>
      <c r="C292" s="3"/>
      <c r="D292" s="3"/>
      <c r="E292" s="3"/>
      <c r="F292" s="3"/>
      <c r="G292" s="3"/>
      <c r="H292" s="3"/>
      <c r="I292" s="3"/>
    </row>
    <row r="293" spans="1:9" x14ac:dyDescent="0.25">
      <c r="A293" s="3"/>
      <c r="B293" s="3"/>
      <c r="C293" s="3"/>
      <c r="D293" s="3"/>
      <c r="E293" s="3"/>
      <c r="F293" s="3"/>
      <c r="G293" s="3"/>
      <c r="H293" s="3"/>
      <c r="I293" s="3"/>
    </row>
    <row r="294" spans="1:9" x14ac:dyDescent="0.25">
      <c r="A294" s="3"/>
      <c r="B294" s="3"/>
      <c r="C294" s="3"/>
      <c r="D294" s="3"/>
      <c r="E294" s="3"/>
      <c r="F294" s="3"/>
      <c r="G294" s="3"/>
      <c r="H294" s="3"/>
      <c r="I294" s="3"/>
    </row>
    <row r="295" spans="1:9" x14ac:dyDescent="0.25">
      <c r="A295" s="3"/>
      <c r="B295" s="3"/>
      <c r="C295" s="3"/>
      <c r="D295" s="3"/>
      <c r="E295" s="3"/>
      <c r="F295" s="3"/>
      <c r="G295" s="3"/>
      <c r="H295" s="3"/>
      <c r="I295" s="3"/>
    </row>
    <row r="296" spans="1:9" x14ac:dyDescent="0.25">
      <c r="A296" s="3"/>
      <c r="B296" s="3"/>
      <c r="C296" s="3"/>
      <c r="D296" s="3"/>
      <c r="E296" s="3"/>
      <c r="F296" s="3"/>
      <c r="G296" s="3"/>
      <c r="H296" s="3"/>
      <c r="I296" s="3"/>
    </row>
    <row r="297" spans="1:9" x14ac:dyDescent="0.25">
      <c r="A297" s="3"/>
      <c r="B297" s="3"/>
      <c r="C297" s="3"/>
      <c r="D297" s="3"/>
      <c r="E297" s="3"/>
      <c r="F297" s="3"/>
      <c r="G297" s="3"/>
      <c r="H297" s="3"/>
      <c r="I297" s="3"/>
    </row>
    <row r="298" spans="1:9" x14ac:dyDescent="0.25">
      <c r="A298" s="3"/>
      <c r="B298" s="3"/>
      <c r="C298" s="3"/>
      <c r="D298" s="3"/>
      <c r="E298" s="3"/>
      <c r="F298" s="3"/>
      <c r="G298" s="3"/>
      <c r="H298" s="3"/>
      <c r="I298" s="3"/>
    </row>
    <row r="299" spans="1:9" x14ac:dyDescent="0.25">
      <c r="A299" s="3"/>
      <c r="B299" s="3"/>
      <c r="C299" s="3"/>
      <c r="D299" s="3"/>
      <c r="E299" s="3"/>
      <c r="F299" s="3"/>
      <c r="G299" s="3"/>
      <c r="H299" s="3"/>
      <c r="I299" s="3"/>
    </row>
    <row r="300" spans="1:9" x14ac:dyDescent="0.25">
      <c r="A300" s="3"/>
      <c r="B300" s="3"/>
      <c r="C300" s="3"/>
      <c r="D300" s="3"/>
      <c r="E300" s="3"/>
      <c r="F300" s="3"/>
      <c r="G300" s="3"/>
      <c r="H300" s="3"/>
      <c r="I300" s="3"/>
    </row>
    <row r="301" spans="1:9" x14ac:dyDescent="0.25">
      <c r="A301" s="3"/>
      <c r="B301" s="3"/>
      <c r="C301" s="3"/>
      <c r="D301" s="3"/>
      <c r="E301" s="3"/>
      <c r="F301" s="3"/>
      <c r="G301" s="3"/>
      <c r="H301" s="3"/>
      <c r="I301" s="3"/>
    </row>
    <row r="302" spans="1:9" x14ac:dyDescent="0.25">
      <c r="A302" s="3"/>
      <c r="B302" s="3"/>
      <c r="C302" s="3"/>
      <c r="D302" s="3"/>
      <c r="E302" s="3"/>
      <c r="F302" s="3"/>
      <c r="G302" s="3"/>
      <c r="H302" s="3"/>
      <c r="I302" s="3"/>
    </row>
    <row r="303" spans="1:9" x14ac:dyDescent="0.25">
      <c r="A303" s="3"/>
      <c r="B303" s="3"/>
      <c r="C303" s="3"/>
      <c r="D303" s="3"/>
      <c r="E303" s="3"/>
      <c r="F303" s="3"/>
      <c r="G303" s="3"/>
      <c r="H303" s="3"/>
      <c r="I303" s="3"/>
    </row>
    <row r="304" spans="1:9" x14ac:dyDescent="0.25">
      <c r="A304" s="3"/>
      <c r="B304" s="3"/>
      <c r="C304" s="3"/>
      <c r="D304" s="3"/>
      <c r="E304" s="3"/>
      <c r="F304" s="3"/>
      <c r="G304" s="3"/>
      <c r="H304" s="3"/>
      <c r="I304" s="3"/>
    </row>
    <row r="305" spans="1:9" x14ac:dyDescent="0.25">
      <c r="A305" s="3"/>
      <c r="B305" s="3"/>
      <c r="C305" s="3"/>
      <c r="D305" s="3"/>
      <c r="E305" s="3"/>
      <c r="F305" s="3"/>
      <c r="G305" s="3"/>
      <c r="H305" s="3"/>
      <c r="I305" s="3"/>
    </row>
    <row r="306" spans="1:9" x14ac:dyDescent="0.25">
      <c r="A306" s="3"/>
      <c r="B306" s="3"/>
      <c r="C306" s="3"/>
      <c r="D306" s="3"/>
      <c r="E306" s="3"/>
      <c r="F306" s="3"/>
      <c r="G306" s="3"/>
      <c r="H306" s="3"/>
      <c r="I306" s="3"/>
    </row>
    <row r="307" spans="1:9" x14ac:dyDescent="0.25">
      <c r="A307" s="3"/>
      <c r="B307" s="3"/>
      <c r="C307" s="3"/>
      <c r="D307" s="3"/>
      <c r="E307" s="3"/>
      <c r="F307" s="3"/>
      <c r="G307" s="3"/>
      <c r="H307" s="3"/>
      <c r="I307" s="3"/>
    </row>
    <row r="308" spans="1:9" x14ac:dyDescent="0.25">
      <c r="A308" s="3"/>
      <c r="B308" s="3"/>
      <c r="C308" s="3"/>
      <c r="D308" s="3"/>
      <c r="E308" s="3"/>
      <c r="F308" s="3"/>
      <c r="G308" s="3"/>
      <c r="H308" s="3"/>
      <c r="I308" s="3"/>
    </row>
    <row r="309" spans="1:9" x14ac:dyDescent="0.25">
      <c r="A309" s="3"/>
      <c r="B309" s="3"/>
      <c r="C309" s="3"/>
      <c r="D309" s="3"/>
      <c r="E309" s="3"/>
      <c r="F309" s="3"/>
      <c r="G309" s="3"/>
      <c r="H309" s="3"/>
      <c r="I309" s="3"/>
    </row>
    <row r="310" spans="1:9" x14ac:dyDescent="0.25">
      <c r="A310" s="3"/>
      <c r="B310" s="3"/>
      <c r="C310" s="3"/>
      <c r="D310" s="3"/>
      <c r="E310" s="3"/>
      <c r="F310" s="3"/>
      <c r="G310" s="3"/>
      <c r="H310" s="3"/>
      <c r="I310" s="3"/>
    </row>
    <row r="311" spans="1:9" x14ac:dyDescent="0.25">
      <c r="A311" s="3"/>
      <c r="B311" s="3"/>
      <c r="C311" s="3"/>
      <c r="D311" s="3"/>
      <c r="E311" s="3"/>
      <c r="F311" s="3"/>
      <c r="G311" s="3"/>
      <c r="H311" s="3"/>
      <c r="I311" s="3"/>
    </row>
    <row r="312" spans="1:9" x14ac:dyDescent="0.25">
      <c r="A312" s="3"/>
      <c r="B312" s="3"/>
      <c r="C312" s="3"/>
      <c r="D312" s="3"/>
      <c r="E312" s="3"/>
      <c r="F312" s="3"/>
      <c r="G312" s="3"/>
      <c r="H312" s="3"/>
      <c r="I312" s="3"/>
    </row>
    <row r="313" spans="1:9" x14ac:dyDescent="0.25">
      <c r="A313" s="3"/>
      <c r="B313" s="3"/>
      <c r="C313" s="3"/>
      <c r="D313" s="3"/>
      <c r="E313" s="3"/>
      <c r="F313" s="3"/>
      <c r="G313" s="3"/>
      <c r="H313" s="3"/>
      <c r="I313" s="3"/>
    </row>
    <row r="314" spans="1:9" x14ac:dyDescent="0.25">
      <c r="A314" s="3"/>
      <c r="B314" s="3"/>
      <c r="C314" s="3"/>
      <c r="D314" s="3"/>
      <c r="E314" s="3"/>
      <c r="F314" s="3"/>
      <c r="G314" s="3"/>
      <c r="H314" s="3"/>
      <c r="I314" s="3"/>
    </row>
    <row r="315" spans="1:9" x14ac:dyDescent="0.25">
      <c r="A315" s="3"/>
      <c r="B315" s="3"/>
      <c r="C315" s="3"/>
      <c r="D315" s="3"/>
      <c r="E315" s="3"/>
      <c r="F315" s="3"/>
      <c r="G315" s="3"/>
      <c r="H315" s="3"/>
      <c r="I315" s="3"/>
    </row>
    <row r="316" spans="1:9" x14ac:dyDescent="0.25">
      <c r="A316" s="3"/>
      <c r="B316" s="3"/>
      <c r="C316" s="3"/>
      <c r="D316" s="3"/>
      <c r="E316" s="3"/>
      <c r="F316" s="3"/>
      <c r="G316" s="3"/>
      <c r="H316" s="3"/>
      <c r="I316" s="3"/>
    </row>
    <row r="317" spans="1:9" x14ac:dyDescent="0.25">
      <c r="A317" s="3"/>
      <c r="B317" s="3"/>
      <c r="C317" s="3"/>
      <c r="D317" s="3"/>
      <c r="E317" s="3"/>
      <c r="F317" s="3"/>
      <c r="G317" s="3"/>
      <c r="H317" s="3"/>
      <c r="I317" s="3"/>
    </row>
    <row r="318" spans="1:9" x14ac:dyDescent="0.25">
      <c r="A318" s="3"/>
      <c r="B318" s="3"/>
      <c r="C318" s="3"/>
      <c r="D318" s="3"/>
      <c r="E318" s="3"/>
      <c r="F318" s="3"/>
      <c r="G318" s="3"/>
      <c r="H318" s="3"/>
      <c r="I318" s="3"/>
    </row>
    <row r="319" spans="1:9" x14ac:dyDescent="0.25">
      <c r="A319" s="3"/>
      <c r="B319" s="3"/>
      <c r="C319" s="3"/>
      <c r="D319" s="3"/>
      <c r="E319" s="3"/>
      <c r="F319" s="3"/>
      <c r="G319" s="3"/>
      <c r="H319" s="3"/>
      <c r="I319" s="3"/>
    </row>
    <row r="320" spans="1:9" x14ac:dyDescent="0.25">
      <c r="A320" s="3"/>
      <c r="B320" s="3"/>
      <c r="C320" s="3"/>
      <c r="D320" s="3"/>
      <c r="E320" s="3"/>
      <c r="F320" s="3"/>
      <c r="G320" s="3"/>
      <c r="H320" s="3"/>
      <c r="I320" s="3"/>
    </row>
    <row r="321" spans="1:9" x14ac:dyDescent="0.25">
      <c r="A321" s="3"/>
      <c r="B321" s="3"/>
      <c r="C321" s="3"/>
      <c r="D321" s="3"/>
      <c r="E321" s="3"/>
      <c r="F321" s="3"/>
      <c r="G321" s="3"/>
      <c r="H321" s="3"/>
      <c r="I321" s="3"/>
    </row>
    <row r="322" spans="1:9" x14ac:dyDescent="0.25">
      <c r="A322" s="3"/>
      <c r="B322" s="3"/>
      <c r="C322" s="3"/>
      <c r="D322" s="3"/>
      <c r="E322" s="3"/>
      <c r="F322" s="3"/>
      <c r="G322" s="3"/>
      <c r="H322" s="3"/>
      <c r="I322" s="3"/>
    </row>
    <row r="323" spans="1:9" x14ac:dyDescent="0.25">
      <c r="A323" s="3"/>
      <c r="B323" s="3"/>
      <c r="C323" s="3"/>
      <c r="D323" s="3"/>
      <c r="E323" s="3"/>
      <c r="F323" s="3"/>
      <c r="G323" s="3"/>
      <c r="H323" s="3"/>
      <c r="I323" s="3"/>
    </row>
    <row r="324" spans="1:9" x14ac:dyDescent="0.25">
      <c r="A324" s="3"/>
      <c r="B324" s="3"/>
      <c r="C324" s="3"/>
      <c r="D324" s="3"/>
      <c r="E324" s="3"/>
      <c r="F324" s="3"/>
      <c r="G324" s="3"/>
      <c r="H324" s="3"/>
      <c r="I324" s="3"/>
    </row>
    <row r="325" spans="1:9" x14ac:dyDescent="0.25">
      <c r="A325" s="3"/>
      <c r="B325" s="3"/>
      <c r="C325" s="3"/>
      <c r="D325" s="3"/>
      <c r="E325" s="3"/>
      <c r="F325" s="3"/>
      <c r="G325" s="3"/>
      <c r="H325" s="3"/>
      <c r="I325" s="3"/>
    </row>
    <row r="326" spans="1:9" x14ac:dyDescent="0.25">
      <c r="A326" s="3"/>
      <c r="B326" s="3"/>
      <c r="C326" s="3"/>
      <c r="D326" s="3"/>
      <c r="E326" s="3"/>
      <c r="F326" s="3"/>
      <c r="G326" s="3"/>
      <c r="H326" s="3"/>
      <c r="I326" s="3"/>
    </row>
    <row r="327" spans="1:9" x14ac:dyDescent="0.25">
      <c r="A327" s="3"/>
      <c r="B327" s="3"/>
      <c r="C327" s="3"/>
      <c r="D327" s="3"/>
      <c r="E327" s="3"/>
      <c r="F327" s="3"/>
      <c r="G327" s="3"/>
      <c r="H327" s="3"/>
      <c r="I327" s="3"/>
    </row>
    <row r="328" spans="1:9" x14ac:dyDescent="0.25">
      <c r="A328" s="3"/>
      <c r="B328" s="3"/>
      <c r="C328" s="3"/>
      <c r="D328" s="3"/>
      <c r="E328" s="3"/>
      <c r="F328" s="3"/>
      <c r="G328" s="3"/>
      <c r="H328" s="3"/>
      <c r="I328" s="3"/>
    </row>
    <row r="329" spans="1:9" x14ac:dyDescent="0.25">
      <c r="A329" s="3"/>
      <c r="B329" s="3"/>
      <c r="C329" s="3"/>
      <c r="D329" s="3"/>
      <c r="E329" s="3"/>
      <c r="F329" s="3"/>
      <c r="G329" s="3"/>
      <c r="H329" s="3"/>
      <c r="I329" s="3"/>
    </row>
    <row r="330" spans="1:9" x14ac:dyDescent="0.25">
      <c r="A330" s="3"/>
      <c r="B330" s="3"/>
      <c r="C330" s="3"/>
      <c r="D330" s="3"/>
      <c r="E330" s="3"/>
      <c r="F330" s="3"/>
      <c r="G330" s="3"/>
      <c r="H330" s="3"/>
      <c r="I330" s="3"/>
    </row>
    <row r="331" spans="1:9" x14ac:dyDescent="0.25">
      <c r="A331" s="3"/>
      <c r="B331" s="3"/>
      <c r="C331" s="3"/>
      <c r="D331" s="3"/>
      <c r="E331" s="3"/>
      <c r="F331" s="3"/>
      <c r="G331" s="3"/>
      <c r="H331" s="3"/>
      <c r="I331" s="3"/>
    </row>
    <row r="332" spans="1:9" x14ac:dyDescent="0.25">
      <c r="A332" s="3"/>
      <c r="B332" s="3"/>
      <c r="C332" s="3"/>
      <c r="D332" s="3"/>
      <c r="E332" s="3"/>
      <c r="F332" s="3"/>
      <c r="G332" s="3"/>
      <c r="H332" s="3"/>
      <c r="I332" s="3"/>
    </row>
    <row r="333" spans="1:9" x14ac:dyDescent="0.25">
      <c r="A333" s="3"/>
      <c r="B333" s="3"/>
      <c r="C333" s="3"/>
      <c r="D333" s="3"/>
      <c r="E333" s="3"/>
      <c r="F333" s="3"/>
      <c r="G333" s="3"/>
      <c r="H333" s="3"/>
      <c r="I333" s="3"/>
    </row>
    <row r="334" spans="1:9" x14ac:dyDescent="0.25">
      <c r="A334" s="3"/>
      <c r="B334" s="3"/>
      <c r="C334" s="3"/>
      <c r="D334" s="3"/>
      <c r="E334" s="3"/>
      <c r="F334" s="3"/>
      <c r="G334" s="3"/>
      <c r="H334" s="3"/>
      <c r="I334" s="3"/>
    </row>
    <row r="335" spans="1:9" x14ac:dyDescent="0.25">
      <c r="A335" s="3"/>
      <c r="B335" s="3"/>
      <c r="C335" s="3"/>
      <c r="D335" s="3"/>
      <c r="E335" s="3"/>
      <c r="F335" s="3"/>
      <c r="G335" s="3"/>
      <c r="H335" s="3"/>
      <c r="I335" s="3"/>
    </row>
    <row r="336" spans="1:9" x14ac:dyDescent="0.25">
      <c r="A336" s="3"/>
      <c r="B336" s="3"/>
      <c r="C336" s="3"/>
      <c r="D336" s="3"/>
      <c r="E336" s="3"/>
      <c r="F336" s="3"/>
      <c r="G336" s="3"/>
      <c r="H336" s="3"/>
      <c r="I336" s="3"/>
    </row>
    <row r="337" spans="1:9" x14ac:dyDescent="0.25">
      <c r="A337" s="3"/>
      <c r="B337" s="3"/>
      <c r="C337" s="3"/>
      <c r="D337" s="3"/>
      <c r="E337" s="3"/>
      <c r="F337" s="3"/>
      <c r="G337" s="3"/>
      <c r="H337" s="3"/>
      <c r="I337" s="3"/>
    </row>
    <row r="338" spans="1:9" x14ac:dyDescent="0.25">
      <c r="A338" s="3"/>
      <c r="B338" s="3"/>
      <c r="C338" s="3"/>
      <c r="D338" s="3"/>
      <c r="E338" s="3"/>
      <c r="F338" s="3"/>
      <c r="G338" s="3"/>
      <c r="H338" s="3"/>
      <c r="I338" s="3"/>
    </row>
    <row r="339" spans="1:9" x14ac:dyDescent="0.25">
      <c r="A339" s="3"/>
      <c r="B339" s="3"/>
      <c r="C339" s="3"/>
      <c r="D339" s="3"/>
      <c r="E339" s="3"/>
      <c r="F339" s="3"/>
      <c r="G339" s="3"/>
      <c r="H339" s="3"/>
      <c r="I339" s="3"/>
    </row>
    <row r="340" spans="1:9" x14ac:dyDescent="0.25">
      <c r="A340" s="3"/>
      <c r="B340" s="3"/>
      <c r="C340" s="3"/>
      <c r="D340" s="3"/>
      <c r="E340" s="3"/>
      <c r="F340" s="3"/>
      <c r="G340" s="3"/>
      <c r="H340" s="3"/>
      <c r="I340" s="3"/>
    </row>
    <row r="341" spans="1:9" x14ac:dyDescent="0.25">
      <c r="A341" s="3"/>
      <c r="B341" s="3"/>
      <c r="C341" s="3"/>
      <c r="D341" s="3"/>
      <c r="E341" s="3"/>
      <c r="F341" s="3"/>
      <c r="G341" s="3"/>
      <c r="H341" s="3"/>
      <c r="I341" s="3"/>
    </row>
    <row r="342" spans="1:9" x14ac:dyDescent="0.25">
      <c r="A342" s="3"/>
      <c r="B342" s="3"/>
      <c r="C342" s="3"/>
      <c r="D342" s="3"/>
      <c r="E342" s="3"/>
      <c r="F342" s="3"/>
      <c r="G342" s="3"/>
      <c r="H342" s="3"/>
      <c r="I342" s="3"/>
    </row>
    <row r="343" spans="1:9" x14ac:dyDescent="0.25">
      <c r="A343" s="3"/>
      <c r="B343" s="3"/>
      <c r="C343" s="3"/>
      <c r="D343" s="3"/>
      <c r="E343" s="3"/>
      <c r="F343" s="3"/>
      <c r="G343" s="3"/>
      <c r="H343" s="3"/>
      <c r="I343" s="3"/>
    </row>
    <row r="344" spans="1:9" x14ac:dyDescent="0.25">
      <c r="A344" s="3"/>
      <c r="B344" s="3"/>
      <c r="C344" s="3"/>
      <c r="D344" s="3"/>
      <c r="E344" s="3"/>
      <c r="F344" s="3"/>
      <c r="G344" s="3"/>
      <c r="H344" s="3"/>
      <c r="I344" s="3"/>
    </row>
    <row r="345" spans="1:9" x14ac:dyDescent="0.25">
      <c r="A345" s="3"/>
      <c r="B345" s="3"/>
      <c r="C345" s="3"/>
      <c r="D345" s="3"/>
      <c r="E345" s="3"/>
      <c r="F345" s="3"/>
      <c r="G345" s="3"/>
      <c r="H345" s="3"/>
      <c r="I345" s="3"/>
    </row>
    <row r="346" spans="1:9" x14ac:dyDescent="0.25">
      <c r="A346" s="3"/>
      <c r="B346" s="3"/>
      <c r="C346" s="3"/>
      <c r="D346" s="3"/>
      <c r="E346" s="3"/>
      <c r="F346" s="3"/>
      <c r="G346" s="3"/>
      <c r="H346" s="3"/>
      <c r="I346" s="3"/>
    </row>
    <row r="347" spans="1:9" x14ac:dyDescent="0.25">
      <c r="A347" s="3"/>
      <c r="B347" s="3"/>
      <c r="C347" s="3"/>
      <c r="D347" s="3"/>
      <c r="E347" s="3"/>
      <c r="F347" s="3"/>
      <c r="G347" s="3"/>
      <c r="H347" s="3"/>
      <c r="I347" s="3"/>
    </row>
    <row r="348" spans="1:9" x14ac:dyDescent="0.25">
      <c r="A348" s="3"/>
      <c r="B348" s="3"/>
      <c r="C348" s="3"/>
      <c r="D348" s="3"/>
      <c r="E348" s="3"/>
      <c r="F348" s="3"/>
      <c r="G348" s="3"/>
      <c r="H348" s="3"/>
      <c r="I348" s="3"/>
    </row>
    <row r="349" spans="1:9" x14ac:dyDescent="0.25">
      <c r="A349" s="3"/>
      <c r="B349" s="3"/>
      <c r="C349" s="3"/>
      <c r="D349" s="3"/>
      <c r="E349" s="3"/>
      <c r="F349" s="3"/>
      <c r="G349" s="3"/>
      <c r="H349" s="3"/>
      <c r="I349" s="3"/>
    </row>
    <row r="350" spans="1:9" x14ac:dyDescent="0.25">
      <c r="A350" s="3"/>
      <c r="B350" s="3"/>
      <c r="C350" s="3"/>
      <c r="D350" s="3"/>
      <c r="E350" s="3"/>
      <c r="F350" s="3"/>
      <c r="G350" s="3"/>
      <c r="H350" s="3"/>
      <c r="I350" s="3"/>
    </row>
    <row r="351" spans="1:9" x14ac:dyDescent="0.25">
      <c r="A351" s="3"/>
      <c r="B351" s="3"/>
      <c r="C351" s="3"/>
      <c r="D351" s="3"/>
      <c r="E351" s="3"/>
      <c r="F351" s="3"/>
      <c r="G351" s="3"/>
      <c r="H351" s="3"/>
      <c r="I351" s="3"/>
    </row>
    <row r="352" spans="1:9" x14ac:dyDescent="0.25">
      <c r="A352" s="3"/>
      <c r="B352" s="3"/>
      <c r="C352" s="3"/>
      <c r="D352" s="3"/>
      <c r="E352" s="3"/>
      <c r="F352" s="3"/>
      <c r="G352" s="3"/>
      <c r="H352" s="3"/>
      <c r="I352" s="3"/>
    </row>
    <row r="353" spans="1:9" x14ac:dyDescent="0.25">
      <c r="A353" s="3"/>
      <c r="B353" s="3"/>
      <c r="C353" s="3"/>
      <c r="D353" s="3"/>
      <c r="E353" s="3"/>
      <c r="F353" s="3"/>
      <c r="G353" s="3"/>
      <c r="H353" s="3"/>
      <c r="I353" s="3"/>
    </row>
    <row r="354" spans="1:9" x14ac:dyDescent="0.25">
      <c r="A354" s="3"/>
      <c r="B354" s="3"/>
      <c r="C354" s="3"/>
      <c r="D354" s="3"/>
      <c r="E354" s="3"/>
      <c r="F354" s="3"/>
      <c r="G354" s="3"/>
      <c r="H354" s="3"/>
      <c r="I354" s="3"/>
    </row>
    <row r="355" spans="1:9" x14ac:dyDescent="0.25">
      <c r="A355" s="3"/>
      <c r="B355" s="3"/>
      <c r="C355" s="3"/>
      <c r="D355" s="3"/>
      <c r="E355" s="3"/>
      <c r="F355" s="3"/>
      <c r="G355" s="3"/>
      <c r="H355" s="3"/>
      <c r="I355" s="3"/>
    </row>
    <row r="356" spans="1:9" x14ac:dyDescent="0.25">
      <c r="A356" s="3"/>
      <c r="B356" s="3"/>
      <c r="C356" s="3"/>
      <c r="D356" s="3"/>
      <c r="E356" s="3"/>
      <c r="F356" s="3"/>
      <c r="G356" s="3"/>
      <c r="H356" s="3"/>
      <c r="I356" s="3"/>
    </row>
    <row r="357" spans="1:9" x14ac:dyDescent="0.25">
      <c r="A357" s="3"/>
      <c r="B357" s="3"/>
      <c r="C357" s="3"/>
      <c r="D357" s="3"/>
      <c r="E357" s="3"/>
      <c r="F357" s="3"/>
      <c r="G357" s="3"/>
      <c r="H357" s="3"/>
      <c r="I357" s="3"/>
    </row>
    <row r="358" spans="1:9" x14ac:dyDescent="0.25">
      <c r="A358" s="3"/>
      <c r="B358" s="3"/>
      <c r="C358" s="3"/>
      <c r="D358" s="3"/>
      <c r="E358" s="3"/>
      <c r="F358" s="3"/>
      <c r="G358" s="3"/>
      <c r="H358" s="3"/>
      <c r="I358" s="3"/>
    </row>
    <row r="359" spans="1:9" x14ac:dyDescent="0.25">
      <c r="A359" s="3"/>
      <c r="B359" s="3"/>
      <c r="C359" s="3"/>
      <c r="D359" s="3"/>
      <c r="E359" s="3"/>
      <c r="F359" s="3"/>
      <c r="G359" s="3"/>
      <c r="H359" s="3"/>
      <c r="I359" s="3"/>
    </row>
    <row r="360" spans="1:9" x14ac:dyDescent="0.25">
      <c r="A360" s="3"/>
      <c r="B360" s="3"/>
      <c r="C360" s="3"/>
      <c r="D360" s="3"/>
      <c r="E360" s="3"/>
      <c r="F360" s="3"/>
      <c r="G360" s="3"/>
      <c r="H360" s="3"/>
      <c r="I360" s="3"/>
    </row>
    <row r="361" spans="1:9" x14ac:dyDescent="0.25">
      <c r="A361" s="3"/>
      <c r="B361" s="3"/>
      <c r="C361" s="3"/>
      <c r="D361" s="3"/>
      <c r="E361" s="3"/>
      <c r="F361" s="3"/>
      <c r="G361" s="3"/>
      <c r="H361" s="3"/>
      <c r="I361" s="3"/>
    </row>
    <row r="362" spans="1:9" x14ac:dyDescent="0.25">
      <c r="A362" s="3"/>
      <c r="B362" s="3"/>
      <c r="C362" s="3"/>
      <c r="D362" s="3"/>
      <c r="E362" s="3"/>
      <c r="F362" s="3"/>
      <c r="G362" s="3"/>
      <c r="H362" s="3"/>
      <c r="I362" s="3"/>
    </row>
    <row r="363" spans="1:9" x14ac:dyDescent="0.25">
      <c r="A363" s="3"/>
      <c r="B363" s="3"/>
      <c r="C363" s="3"/>
      <c r="D363" s="3"/>
      <c r="E363" s="3"/>
      <c r="F363" s="3"/>
      <c r="G363" s="3"/>
      <c r="H363" s="3"/>
      <c r="I363" s="3"/>
    </row>
    <row r="364" spans="1:9" x14ac:dyDescent="0.25">
      <c r="A364" s="3"/>
      <c r="B364" s="3"/>
      <c r="C364" s="3"/>
      <c r="D364" s="3"/>
      <c r="E364" s="3"/>
      <c r="F364" s="3"/>
      <c r="G364" s="3"/>
      <c r="H364" s="3"/>
      <c r="I364" s="3"/>
    </row>
    <row r="365" spans="1:9" x14ac:dyDescent="0.25">
      <c r="A365" s="3"/>
      <c r="B365" s="3"/>
      <c r="C365" s="3"/>
      <c r="D365" s="3"/>
      <c r="E365" s="3"/>
      <c r="F365" s="3"/>
      <c r="G365" s="3"/>
      <c r="H365" s="3"/>
      <c r="I365" s="3"/>
    </row>
    <row r="366" spans="1:9" x14ac:dyDescent="0.25">
      <c r="A366" s="3"/>
      <c r="B366" s="3"/>
      <c r="C366" s="3"/>
      <c r="D366" s="3"/>
      <c r="E366" s="3"/>
      <c r="F366" s="3"/>
      <c r="G366" s="3"/>
      <c r="H366" s="3"/>
      <c r="I366" s="3"/>
    </row>
    <row r="367" spans="1:9" x14ac:dyDescent="0.25">
      <c r="A367" s="3"/>
      <c r="B367" s="3"/>
      <c r="C367" s="3"/>
      <c r="D367" s="3"/>
      <c r="E367" s="3"/>
      <c r="F367" s="3"/>
      <c r="G367" s="3"/>
      <c r="H367" s="3"/>
      <c r="I367" s="3"/>
    </row>
    <row r="368" spans="1:9" x14ac:dyDescent="0.25">
      <c r="A368" s="3"/>
      <c r="B368" s="3"/>
      <c r="C368" s="3"/>
      <c r="D368" s="3"/>
      <c r="E368" s="3"/>
      <c r="F368" s="3"/>
      <c r="G368" s="3"/>
      <c r="H368" s="3"/>
      <c r="I368" s="3"/>
    </row>
    <row r="369" spans="1:9" x14ac:dyDescent="0.25">
      <c r="A369" s="3"/>
      <c r="B369" s="3"/>
      <c r="C369" s="3"/>
      <c r="D369" s="3"/>
      <c r="E369" s="3"/>
      <c r="F369" s="3"/>
      <c r="G369" s="3"/>
      <c r="H369" s="3"/>
      <c r="I369" s="3"/>
    </row>
    <row r="370" spans="1:9" x14ac:dyDescent="0.25">
      <c r="A370" s="3"/>
      <c r="B370" s="3"/>
      <c r="C370" s="3"/>
      <c r="D370" s="3"/>
      <c r="E370" s="3"/>
      <c r="F370" s="3"/>
      <c r="G370" s="3"/>
      <c r="H370" s="3"/>
      <c r="I370" s="3"/>
    </row>
    <row r="371" spans="1:9" x14ac:dyDescent="0.25">
      <c r="A371" s="3"/>
      <c r="B371" s="3"/>
      <c r="C371" s="3"/>
      <c r="D371" s="3"/>
      <c r="E371" s="3"/>
      <c r="F371" s="3"/>
      <c r="G371" s="3"/>
      <c r="H371" s="3"/>
      <c r="I371" s="3"/>
    </row>
    <row r="372" spans="1:9" x14ac:dyDescent="0.25">
      <c r="A372" s="3"/>
      <c r="B372" s="3"/>
      <c r="C372" s="3"/>
      <c r="D372" s="3"/>
      <c r="E372" s="3"/>
      <c r="F372" s="3"/>
      <c r="G372" s="3"/>
      <c r="H372" s="3"/>
      <c r="I372" s="3"/>
    </row>
    <row r="373" spans="1:9" x14ac:dyDescent="0.25">
      <c r="A373" s="3"/>
      <c r="B373" s="3"/>
      <c r="C373" s="3"/>
      <c r="D373" s="3"/>
      <c r="E373" s="3"/>
      <c r="F373" s="3"/>
      <c r="G373" s="3"/>
      <c r="H373" s="3"/>
      <c r="I373" s="3"/>
    </row>
    <row r="374" spans="1:9" x14ac:dyDescent="0.25">
      <c r="A374" s="3"/>
      <c r="B374" s="3"/>
      <c r="C374" s="3"/>
      <c r="D374" s="3"/>
      <c r="E374" s="3"/>
      <c r="F374" s="3"/>
      <c r="G374" s="3"/>
      <c r="H374" s="3"/>
      <c r="I374" s="3"/>
    </row>
    <row r="375" spans="1:9" x14ac:dyDescent="0.25">
      <c r="A375" s="3"/>
      <c r="B375" s="3"/>
      <c r="C375" s="3"/>
      <c r="D375" s="3"/>
      <c r="E375" s="3"/>
      <c r="F375" s="3"/>
      <c r="G375" s="3"/>
      <c r="H375" s="3"/>
      <c r="I375" s="3"/>
    </row>
    <row r="376" spans="1:9" x14ac:dyDescent="0.25">
      <c r="A376" s="3"/>
      <c r="B376" s="3"/>
      <c r="C376" s="3"/>
      <c r="D376" s="3"/>
      <c r="E376" s="3"/>
      <c r="F376" s="3"/>
      <c r="G376" s="3"/>
      <c r="H376" s="3"/>
      <c r="I376" s="3"/>
    </row>
    <row r="377" spans="1:9" x14ac:dyDescent="0.25">
      <c r="A377" s="3"/>
      <c r="B377" s="3"/>
      <c r="C377" s="3"/>
      <c r="D377" s="3"/>
      <c r="E377" s="3"/>
      <c r="F377" s="3"/>
      <c r="G377" s="3"/>
      <c r="H377" s="3"/>
      <c r="I377" s="3"/>
    </row>
    <row r="378" spans="1:9" x14ac:dyDescent="0.25">
      <c r="A378" s="3"/>
      <c r="B378" s="3"/>
      <c r="C378" s="3"/>
      <c r="D378" s="3"/>
      <c r="E378" s="3"/>
      <c r="F378" s="3"/>
      <c r="G378" s="3"/>
      <c r="H378" s="3"/>
      <c r="I378" s="3"/>
    </row>
    <row r="379" spans="1:9" x14ac:dyDescent="0.25">
      <c r="A379" s="3"/>
      <c r="B379" s="3"/>
      <c r="C379" s="3"/>
      <c r="D379" s="3"/>
      <c r="E379" s="3"/>
      <c r="F379" s="3"/>
      <c r="G379" s="3"/>
      <c r="H379" s="3"/>
      <c r="I379" s="3"/>
    </row>
    <row r="380" spans="1:9" x14ac:dyDescent="0.25">
      <c r="A380" s="3"/>
      <c r="B380" s="3"/>
      <c r="C380" s="3"/>
      <c r="D380" s="3"/>
      <c r="E380" s="3"/>
      <c r="F380" s="3"/>
      <c r="G380" s="3"/>
      <c r="H380" s="3"/>
      <c r="I380" s="3"/>
    </row>
    <row r="381" spans="1:9" x14ac:dyDescent="0.25">
      <c r="A381" s="3"/>
      <c r="B381" s="3"/>
      <c r="C381" s="3"/>
      <c r="D381" s="3"/>
      <c r="E381" s="3"/>
      <c r="F381" s="3"/>
      <c r="G381" s="3"/>
      <c r="H381" s="3"/>
      <c r="I381" s="3"/>
    </row>
    <row r="382" spans="1:9" x14ac:dyDescent="0.25">
      <c r="A382" s="3"/>
      <c r="B382" s="3"/>
      <c r="C382" s="3"/>
      <c r="D382" s="3"/>
      <c r="E382" s="3"/>
      <c r="F382" s="3"/>
      <c r="G382" s="3"/>
      <c r="H382" s="3"/>
      <c r="I382" s="3"/>
    </row>
    <row r="383" spans="1:9" x14ac:dyDescent="0.25">
      <c r="A383" s="3"/>
      <c r="B383" s="3"/>
      <c r="C383" s="3"/>
      <c r="D383" s="3"/>
      <c r="E383" s="3"/>
      <c r="F383" s="3"/>
      <c r="G383" s="3"/>
      <c r="H383" s="3"/>
      <c r="I383" s="3"/>
    </row>
    <row r="384" spans="1:9" x14ac:dyDescent="0.25">
      <c r="A384" s="3"/>
      <c r="B384" s="3"/>
      <c r="C384" s="3"/>
      <c r="D384" s="3"/>
      <c r="E384" s="3"/>
      <c r="F384" s="3"/>
      <c r="G384" s="3"/>
      <c r="H384" s="3"/>
      <c r="I384" s="3"/>
    </row>
    <row r="385" spans="1:9" x14ac:dyDescent="0.25">
      <c r="A385" s="3"/>
      <c r="B385" s="3"/>
      <c r="C385" s="3"/>
      <c r="D385" s="3"/>
      <c r="E385" s="3"/>
      <c r="F385" s="3"/>
      <c r="G385" s="3"/>
      <c r="H385" s="3"/>
      <c r="I385" s="3"/>
    </row>
    <row r="386" spans="1:9" x14ac:dyDescent="0.25">
      <c r="A386" s="3"/>
      <c r="B386" s="3"/>
      <c r="C386" s="3"/>
      <c r="D386" s="3"/>
      <c r="E386" s="3"/>
      <c r="F386" s="3"/>
      <c r="G386" s="3"/>
      <c r="H386" s="3"/>
      <c r="I386" s="3"/>
    </row>
    <row r="387" spans="1:9" x14ac:dyDescent="0.25">
      <c r="A387" s="3"/>
      <c r="B387" s="3"/>
      <c r="C387" s="3"/>
      <c r="D387" s="3"/>
      <c r="E387" s="3"/>
      <c r="F387" s="3"/>
      <c r="G387" s="3"/>
      <c r="H387" s="3"/>
      <c r="I387" s="3"/>
    </row>
    <row r="388" spans="1:9" x14ac:dyDescent="0.25">
      <c r="A388" s="3"/>
      <c r="B388" s="3"/>
      <c r="C388" s="3"/>
      <c r="D388" s="3"/>
      <c r="E388" s="3"/>
      <c r="F388" s="3"/>
      <c r="G388" s="3"/>
      <c r="H388" s="3"/>
      <c r="I388" s="3"/>
    </row>
    <row r="389" spans="1:9" x14ac:dyDescent="0.25">
      <c r="A389" s="3"/>
      <c r="B389" s="3"/>
      <c r="C389" s="3"/>
      <c r="D389" s="3"/>
      <c r="E389" s="3"/>
      <c r="F389" s="3"/>
      <c r="G389" s="3"/>
      <c r="H389" s="3"/>
      <c r="I389" s="3"/>
    </row>
    <row r="390" spans="1:9" x14ac:dyDescent="0.25">
      <c r="A390" s="3"/>
      <c r="B390" s="3"/>
      <c r="C390" s="3"/>
      <c r="D390" s="3"/>
      <c r="E390" s="3"/>
      <c r="F390" s="3"/>
      <c r="G390" s="3"/>
      <c r="H390" s="3"/>
      <c r="I390" s="3"/>
    </row>
    <row r="391" spans="1:9" x14ac:dyDescent="0.25">
      <c r="A391" s="3"/>
      <c r="B391" s="3"/>
      <c r="C391" s="3"/>
      <c r="D391" s="3"/>
      <c r="E391" s="3"/>
      <c r="F391" s="3"/>
      <c r="G391" s="3"/>
      <c r="H391" s="3"/>
      <c r="I391" s="3"/>
    </row>
    <row r="392" spans="1:9" x14ac:dyDescent="0.25">
      <c r="A392" s="3"/>
      <c r="B392" s="3"/>
      <c r="C392" s="3"/>
      <c r="D392" s="3"/>
      <c r="E392" s="3"/>
      <c r="F392" s="3"/>
      <c r="G392" s="3"/>
      <c r="H392" s="3"/>
      <c r="I392" s="3"/>
    </row>
    <row r="393" spans="1:9" x14ac:dyDescent="0.25">
      <c r="A393" s="3"/>
      <c r="B393" s="3"/>
      <c r="C393" s="3"/>
      <c r="D393" s="3"/>
      <c r="E393" s="3"/>
      <c r="F393" s="3"/>
      <c r="G393" s="3"/>
      <c r="H393" s="3"/>
      <c r="I393" s="3"/>
    </row>
    <row r="394" spans="1:9" x14ac:dyDescent="0.25">
      <c r="A394" s="3"/>
      <c r="B394" s="3"/>
      <c r="C394" s="3"/>
      <c r="D394" s="3"/>
      <c r="E394" s="3"/>
      <c r="F394" s="3"/>
      <c r="G394" s="3"/>
      <c r="H394" s="3"/>
      <c r="I394" s="3"/>
    </row>
    <row r="395" spans="1:9" x14ac:dyDescent="0.25">
      <c r="A395" s="3"/>
      <c r="B395" s="3"/>
      <c r="C395" s="3"/>
      <c r="D395" s="3"/>
      <c r="E395" s="3"/>
      <c r="F395" s="3"/>
      <c r="G395" s="3"/>
      <c r="H395" s="3"/>
      <c r="I395" s="3"/>
    </row>
    <row r="396" spans="1:9" x14ac:dyDescent="0.25">
      <c r="A396" s="3"/>
      <c r="B396" s="3"/>
      <c r="C396" s="3"/>
      <c r="D396" s="3"/>
      <c r="E396" s="3"/>
      <c r="F396" s="3"/>
      <c r="G396" s="3"/>
      <c r="H396" s="3"/>
      <c r="I396" s="3"/>
    </row>
    <row r="397" spans="1:9" x14ac:dyDescent="0.25">
      <c r="A397" s="3"/>
      <c r="B397" s="3"/>
      <c r="C397" s="3"/>
      <c r="D397" s="3"/>
      <c r="E397" s="3"/>
      <c r="F397" s="3"/>
      <c r="G397" s="3"/>
      <c r="H397" s="3"/>
      <c r="I397" s="3"/>
    </row>
    <row r="398" spans="1:9" x14ac:dyDescent="0.25">
      <c r="A398" s="3"/>
      <c r="B398" s="3"/>
      <c r="C398" s="3"/>
      <c r="D398" s="3"/>
      <c r="E398" s="3"/>
      <c r="F398" s="3"/>
      <c r="G398" s="3"/>
      <c r="H398" s="3"/>
      <c r="I398" s="3"/>
    </row>
    <row r="399" spans="1:9" x14ac:dyDescent="0.25">
      <c r="A399" s="3"/>
      <c r="B399" s="3"/>
      <c r="C399" s="3"/>
      <c r="D399" s="3"/>
      <c r="E399" s="3"/>
      <c r="F399" s="3"/>
      <c r="G399" s="3"/>
      <c r="H399" s="3"/>
      <c r="I399" s="3"/>
    </row>
    <row r="400" spans="1:9" x14ac:dyDescent="0.25">
      <c r="A400" s="3"/>
      <c r="B400" s="3"/>
      <c r="C400" s="3"/>
      <c r="D400" s="3"/>
      <c r="E400" s="3"/>
      <c r="F400" s="3"/>
      <c r="G400" s="3"/>
      <c r="H400" s="3"/>
      <c r="I400" s="3"/>
    </row>
    <row r="401" spans="1:9" x14ac:dyDescent="0.25">
      <c r="A401" s="3"/>
      <c r="B401" s="3"/>
      <c r="C401" s="3"/>
      <c r="D401" s="3"/>
      <c r="E401" s="3"/>
      <c r="F401" s="3"/>
      <c r="G401" s="3"/>
      <c r="H401" s="3"/>
      <c r="I401" s="3"/>
    </row>
    <row r="402" spans="1:9" x14ac:dyDescent="0.25">
      <c r="A402" s="3"/>
      <c r="B402" s="3"/>
      <c r="C402" s="3"/>
      <c r="D402" s="3"/>
      <c r="E402" s="3"/>
      <c r="F402" s="3"/>
      <c r="G402" s="3"/>
      <c r="H402" s="3"/>
      <c r="I402" s="3"/>
    </row>
    <row r="403" spans="1:9" x14ac:dyDescent="0.25">
      <c r="A403" s="3"/>
      <c r="B403" s="3"/>
      <c r="C403" s="3"/>
      <c r="D403" s="3"/>
      <c r="E403" s="3"/>
      <c r="F403" s="3"/>
      <c r="G403" s="3"/>
      <c r="H403" s="3"/>
      <c r="I403" s="3"/>
    </row>
    <row r="404" spans="1:9" x14ac:dyDescent="0.25">
      <c r="A404" s="3"/>
      <c r="B404" s="3"/>
      <c r="C404" s="3"/>
      <c r="D404" s="3"/>
      <c r="E404" s="3"/>
      <c r="F404" s="3"/>
      <c r="G404" s="3"/>
      <c r="H404" s="3"/>
      <c r="I404" s="3"/>
    </row>
    <row r="405" spans="1:9" x14ac:dyDescent="0.25">
      <c r="A405" s="3"/>
      <c r="B405" s="3"/>
      <c r="C405" s="3"/>
      <c r="D405" s="3"/>
      <c r="E405" s="3"/>
      <c r="F405" s="3"/>
      <c r="G405" s="3"/>
      <c r="H405" s="3"/>
      <c r="I405" s="3"/>
    </row>
    <row r="406" spans="1:9" x14ac:dyDescent="0.25">
      <c r="A406" s="3"/>
      <c r="B406" s="3"/>
      <c r="C406" s="3"/>
      <c r="D406" s="3"/>
      <c r="E406" s="3"/>
      <c r="F406" s="3"/>
      <c r="G406" s="3"/>
      <c r="H406" s="3"/>
      <c r="I406" s="3"/>
    </row>
    <row r="407" spans="1:9" x14ac:dyDescent="0.25">
      <c r="A407" s="3"/>
      <c r="B407" s="3"/>
      <c r="C407" s="3"/>
      <c r="D407" s="3"/>
      <c r="E407" s="3"/>
      <c r="F407" s="3"/>
      <c r="G407" s="3"/>
      <c r="H407" s="3"/>
      <c r="I407" s="3"/>
    </row>
    <row r="408" spans="1:9" x14ac:dyDescent="0.25">
      <c r="A408" s="3"/>
      <c r="B408" s="3"/>
      <c r="C408" s="3"/>
      <c r="D408" s="3"/>
      <c r="E408" s="3"/>
      <c r="F408" s="3"/>
      <c r="G408" s="3"/>
      <c r="H408" s="3"/>
      <c r="I408" s="3"/>
    </row>
    <row r="409" spans="1:9" x14ac:dyDescent="0.25">
      <c r="A409" s="3"/>
      <c r="B409" s="3"/>
      <c r="C409" s="3"/>
      <c r="D409" s="3"/>
      <c r="E409" s="3"/>
      <c r="F409" s="3"/>
      <c r="G409" s="3"/>
      <c r="H409" s="3"/>
      <c r="I409" s="3"/>
    </row>
    <row r="410" spans="1:9" x14ac:dyDescent="0.25">
      <c r="A410" s="3"/>
      <c r="B410" s="3"/>
      <c r="C410" s="3"/>
      <c r="D410" s="3"/>
      <c r="E410" s="3"/>
      <c r="F410" s="3"/>
      <c r="G410" s="3"/>
      <c r="H410" s="3"/>
      <c r="I410" s="3"/>
    </row>
    <row r="411" spans="1:9" x14ac:dyDescent="0.25">
      <c r="A411" s="3"/>
      <c r="B411" s="3"/>
      <c r="C411" s="3"/>
      <c r="D411" s="3"/>
      <c r="E411" s="3"/>
      <c r="F411" s="3"/>
      <c r="G411" s="3"/>
      <c r="H411" s="3"/>
      <c r="I411" s="3"/>
    </row>
    <row r="412" spans="1:9" x14ac:dyDescent="0.25">
      <c r="A412" s="3"/>
      <c r="B412" s="3"/>
      <c r="C412" s="3"/>
      <c r="D412" s="3"/>
      <c r="E412" s="3"/>
      <c r="F412" s="3"/>
      <c r="G412" s="3"/>
      <c r="H412" s="3"/>
      <c r="I412" s="3"/>
    </row>
    <row r="413" spans="1:9" x14ac:dyDescent="0.25">
      <c r="A413" s="3"/>
      <c r="B413" s="3"/>
      <c r="C413" s="3"/>
      <c r="D413" s="3"/>
      <c r="E413" s="3"/>
      <c r="F413" s="3"/>
      <c r="G413" s="3"/>
      <c r="H413" s="3"/>
      <c r="I413" s="3"/>
    </row>
    <row r="414" spans="1:9" x14ac:dyDescent="0.25">
      <c r="A414" s="3"/>
      <c r="B414" s="3"/>
      <c r="C414" s="3"/>
      <c r="D414" s="3"/>
      <c r="E414" s="3"/>
      <c r="F414" s="3"/>
      <c r="G414" s="3"/>
      <c r="H414" s="3"/>
      <c r="I414" s="3"/>
    </row>
    <row r="415" spans="1:9" x14ac:dyDescent="0.25">
      <c r="A415" s="3"/>
      <c r="B415" s="3"/>
      <c r="C415" s="3"/>
      <c r="D415" s="3"/>
      <c r="E415" s="3"/>
      <c r="F415" s="3"/>
      <c r="G415" s="3"/>
      <c r="H415" s="3"/>
      <c r="I415" s="3"/>
    </row>
    <row r="416" spans="1:9" x14ac:dyDescent="0.25">
      <c r="A416" s="3"/>
      <c r="B416" s="3"/>
      <c r="C416" s="3"/>
      <c r="D416" s="3"/>
      <c r="E416" s="3"/>
      <c r="F416" s="3"/>
      <c r="G416" s="3"/>
      <c r="H416" s="3"/>
      <c r="I416" s="3"/>
    </row>
    <row r="417" spans="1:9" x14ac:dyDescent="0.25">
      <c r="A417" s="3"/>
      <c r="B417" s="3"/>
      <c r="C417" s="3"/>
      <c r="D417" s="3"/>
      <c r="E417" s="3"/>
      <c r="F417" s="3"/>
      <c r="G417" s="3"/>
      <c r="H417" s="3"/>
      <c r="I417" s="3"/>
    </row>
    <row r="418" spans="1:9" x14ac:dyDescent="0.25">
      <c r="A418" s="3"/>
      <c r="B418" s="3"/>
      <c r="C418" s="3"/>
      <c r="D418" s="3"/>
      <c r="E418" s="3"/>
      <c r="F418" s="3"/>
      <c r="G418" s="3"/>
      <c r="H418" s="3"/>
      <c r="I418" s="3"/>
    </row>
    <row r="419" spans="1:9" x14ac:dyDescent="0.25">
      <c r="A419" s="3"/>
      <c r="B419" s="3"/>
      <c r="C419" s="3"/>
      <c r="D419" s="3"/>
      <c r="E419" s="3"/>
      <c r="F419" s="3"/>
      <c r="G419" s="3"/>
      <c r="H419" s="3"/>
      <c r="I419" s="3"/>
    </row>
    <row r="420" spans="1:9" x14ac:dyDescent="0.25">
      <c r="A420" s="3"/>
      <c r="B420" s="3"/>
      <c r="C420" s="3"/>
      <c r="D420" s="3"/>
      <c r="E420" s="3"/>
      <c r="F420" s="3"/>
      <c r="G420" s="3"/>
      <c r="H420" s="3"/>
      <c r="I420" s="3"/>
    </row>
    <row r="421" spans="1:9" x14ac:dyDescent="0.25">
      <c r="A421" s="3"/>
      <c r="B421" s="3"/>
      <c r="C421" s="3"/>
      <c r="D421" s="3"/>
      <c r="E421" s="3"/>
      <c r="F421" s="3"/>
      <c r="G421" s="3"/>
      <c r="H421" s="3"/>
      <c r="I421" s="3"/>
    </row>
    <row r="422" spans="1:9" x14ac:dyDescent="0.25">
      <c r="A422" s="3"/>
      <c r="B422" s="3"/>
      <c r="C422" s="3"/>
      <c r="D422" s="3"/>
      <c r="E422" s="3"/>
      <c r="F422" s="3"/>
      <c r="G422" s="3"/>
      <c r="H422" s="3"/>
      <c r="I422" s="3"/>
    </row>
    <row r="423" spans="1:9" x14ac:dyDescent="0.25">
      <c r="A423" s="3"/>
      <c r="B423" s="3"/>
      <c r="C423" s="3"/>
      <c r="D423" s="3"/>
      <c r="E423" s="3"/>
      <c r="F423" s="3"/>
      <c r="G423" s="3"/>
      <c r="H423" s="3"/>
      <c r="I423" s="3"/>
    </row>
    <row r="424" spans="1:9" x14ac:dyDescent="0.25">
      <c r="A424" s="3"/>
      <c r="B424" s="3"/>
      <c r="C424" s="3"/>
      <c r="D424" s="3"/>
      <c r="E424" s="3"/>
      <c r="F424" s="3"/>
      <c r="G424" s="3"/>
      <c r="H424" s="3"/>
      <c r="I424" s="3"/>
    </row>
    <row r="425" spans="1:9" x14ac:dyDescent="0.25">
      <c r="A425" s="3"/>
      <c r="B425" s="3"/>
      <c r="C425" s="3"/>
      <c r="D425" s="3"/>
      <c r="E425" s="3"/>
      <c r="F425" s="3"/>
      <c r="G425" s="3"/>
      <c r="H425" s="3"/>
      <c r="I425" s="3"/>
    </row>
    <row r="426" spans="1:9" x14ac:dyDescent="0.25">
      <c r="A426" s="3"/>
      <c r="B426" s="3"/>
      <c r="C426" s="3"/>
      <c r="D426" s="3"/>
      <c r="E426" s="3"/>
      <c r="F426" s="3"/>
      <c r="G426" s="3"/>
      <c r="H426" s="3"/>
      <c r="I426" s="3"/>
    </row>
    <row r="427" spans="1:9" x14ac:dyDescent="0.25">
      <c r="A427" s="3"/>
      <c r="B427" s="3"/>
      <c r="C427" s="3"/>
      <c r="D427" s="3"/>
      <c r="E427" s="3"/>
      <c r="F427" s="3"/>
      <c r="G427" s="3"/>
      <c r="H427" s="3"/>
      <c r="I427" s="3"/>
    </row>
    <row r="428" spans="1:9" x14ac:dyDescent="0.25">
      <c r="A428" s="3"/>
      <c r="B428" s="3"/>
      <c r="C428" s="3"/>
      <c r="D428" s="3"/>
      <c r="E428" s="3"/>
      <c r="F428" s="3"/>
      <c r="G428" s="3"/>
      <c r="H428" s="3"/>
      <c r="I428" s="3"/>
    </row>
    <row r="429" spans="1:9" x14ac:dyDescent="0.25">
      <c r="A429" s="3"/>
      <c r="B429" s="3"/>
      <c r="C429" s="3"/>
      <c r="D429" s="3"/>
      <c r="E429" s="3"/>
      <c r="F429" s="3"/>
      <c r="G429" s="3"/>
      <c r="H429" s="3"/>
      <c r="I429" s="3"/>
    </row>
    <row r="430" spans="1:9" x14ac:dyDescent="0.25">
      <c r="A430" s="3"/>
      <c r="B430" s="3"/>
      <c r="C430" s="3"/>
      <c r="D430" s="3"/>
      <c r="E430" s="3"/>
      <c r="F430" s="3"/>
      <c r="G430" s="3"/>
      <c r="H430" s="3"/>
      <c r="I430" s="3"/>
    </row>
    <row r="431" spans="1:9" x14ac:dyDescent="0.25">
      <c r="A431" s="3"/>
      <c r="B431" s="3"/>
      <c r="C431" s="3"/>
      <c r="D431" s="3"/>
      <c r="E431" s="3"/>
      <c r="F431" s="3"/>
      <c r="G431" s="3"/>
      <c r="H431" s="3"/>
      <c r="I431" s="3"/>
    </row>
    <row r="432" spans="1:9" x14ac:dyDescent="0.25">
      <c r="A432" s="3"/>
      <c r="B432" s="3"/>
      <c r="C432" s="3"/>
      <c r="D432" s="3"/>
      <c r="E432" s="3"/>
      <c r="F432" s="3"/>
      <c r="G432" s="3"/>
      <c r="H432" s="3"/>
      <c r="I432" s="3"/>
    </row>
    <row r="433" spans="1:9" x14ac:dyDescent="0.25">
      <c r="A433" s="3"/>
      <c r="B433" s="3"/>
      <c r="C433" s="3"/>
      <c r="D433" s="3"/>
      <c r="E433" s="3"/>
      <c r="F433" s="3"/>
      <c r="G433" s="3"/>
      <c r="H433" s="3"/>
      <c r="I433" s="3"/>
    </row>
    <row r="434" spans="1:9" x14ac:dyDescent="0.25">
      <c r="A434" s="3"/>
      <c r="B434" s="3"/>
      <c r="C434" s="3"/>
      <c r="D434" s="3"/>
      <c r="E434" s="3"/>
      <c r="F434" s="3"/>
      <c r="G434" s="3"/>
      <c r="H434" s="3"/>
      <c r="I434" s="3"/>
    </row>
    <row r="435" spans="1:9" x14ac:dyDescent="0.25">
      <c r="A435" s="3"/>
      <c r="B435" s="3"/>
      <c r="C435" s="3"/>
      <c r="D435" s="3"/>
      <c r="E435" s="3"/>
      <c r="F435" s="3"/>
      <c r="G435" s="3"/>
      <c r="H435" s="3"/>
      <c r="I435" s="3"/>
    </row>
    <row r="436" spans="1:9" x14ac:dyDescent="0.25">
      <c r="A436" s="3"/>
      <c r="B436" s="3"/>
      <c r="C436" s="3"/>
      <c r="D436" s="3"/>
      <c r="E436" s="3"/>
      <c r="F436" s="3"/>
      <c r="G436" s="3"/>
      <c r="H436" s="3"/>
      <c r="I436" s="3"/>
    </row>
    <row r="437" spans="1:9" x14ac:dyDescent="0.25">
      <c r="A437" s="3"/>
      <c r="B437" s="3"/>
      <c r="C437" s="3"/>
      <c r="D437" s="3"/>
      <c r="E437" s="3"/>
      <c r="F437" s="3"/>
      <c r="G437" s="3"/>
      <c r="H437" s="3"/>
      <c r="I437" s="3"/>
    </row>
    <row r="438" spans="1:9" x14ac:dyDescent="0.25">
      <c r="A438" s="3"/>
      <c r="B438" s="3"/>
      <c r="C438" s="3"/>
      <c r="D438" s="3"/>
      <c r="E438" s="3"/>
      <c r="F438" s="3"/>
      <c r="G438" s="3"/>
      <c r="H438" s="3"/>
      <c r="I438" s="3"/>
    </row>
    <row r="439" spans="1:9" x14ac:dyDescent="0.25">
      <c r="A439" s="3"/>
      <c r="B439" s="3"/>
      <c r="C439" s="3"/>
      <c r="D439" s="3"/>
      <c r="E439" s="3"/>
      <c r="F439" s="3"/>
      <c r="G439" s="3"/>
      <c r="H439" s="3"/>
      <c r="I439" s="3"/>
    </row>
    <row r="440" spans="1:9" x14ac:dyDescent="0.25">
      <c r="A440" s="3"/>
      <c r="B440" s="3"/>
      <c r="C440" s="3"/>
      <c r="D440" s="3"/>
      <c r="E440" s="3"/>
      <c r="F440" s="3"/>
      <c r="G440" s="3"/>
      <c r="H440" s="3"/>
      <c r="I440" s="3"/>
    </row>
    <row r="441" spans="1:9" x14ac:dyDescent="0.25">
      <c r="A441" s="3"/>
      <c r="B441" s="3"/>
      <c r="C441" s="3"/>
      <c r="D441" s="3"/>
      <c r="E441" s="3"/>
      <c r="F441" s="3"/>
      <c r="G441" s="3"/>
      <c r="H441" s="3"/>
      <c r="I441" s="3"/>
    </row>
    <row r="442" spans="1:9" x14ac:dyDescent="0.25">
      <c r="A442" s="3"/>
      <c r="B442" s="3"/>
      <c r="C442" s="3"/>
      <c r="D442" s="3"/>
      <c r="E442" s="3"/>
      <c r="F442" s="3"/>
      <c r="G442" s="3"/>
      <c r="H442" s="3"/>
      <c r="I442" s="3"/>
    </row>
    <row r="443" spans="1:9" x14ac:dyDescent="0.25">
      <c r="A443" s="3"/>
      <c r="B443" s="3"/>
      <c r="C443" s="3"/>
      <c r="D443" s="3"/>
      <c r="E443" s="3"/>
      <c r="F443" s="3"/>
      <c r="G443" s="3"/>
      <c r="H443" s="3"/>
      <c r="I443" s="3"/>
    </row>
    <row r="444" spans="1:9" x14ac:dyDescent="0.25">
      <c r="A444" s="3"/>
      <c r="B444" s="3"/>
      <c r="C444" s="3"/>
      <c r="D444" s="3"/>
      <c r="E444" s="3"/>
      <c r="F444" s="3"/>
      <c r="G444" s="3"/>
      <c r="H444" s="3"/>
      <c r="I444" s="3"/>
    </row>
    <row r="445" spans="1:9" x14ac:dyDescent="0.25">
      <c r="A445" s="3"/>
      <c r="B445" s="3"/>
      <c r="C445" s="3"/>
      <c r="D445" s="3"/>
      <c r="E445" s="3"/>
      <c r="F445" s="3"/>
      <c r="G445" s="3"/>
      <c r="H445" s="3"/>
      <c r="I445" s="3"/>
    </row>
    <row r="446" spans="1:9" x14ac:dyDescent="0.25">
      <c r="A446" s="3"/>
      <c r="B446" s="3"/>
      <c r="C446" s="3"/>
      <c r="D446" s="3"/>
      <c r="E446" s="3"/>
      <c r="F446" s="3"/>
      <c r="G446" s="3"/>
      <c r="H446" s="3"/>
      <c r="I446" s="3"/>
    </row>
    <row r="447" spans="1:9" x14ac:dyDescent="0.25">
      <c r="A447" s="3"/>
      <c r="B447" s="3"/>
      <c r="C447" s="3"/>
      <c r="D447" s="3"/>
      <c r="E447" s="3"/>
      <c r="F447" s="3"/>
      <c r="G447" s="3"/>
      <c r="H447" s="3"/>
      <c r="I447" s="3"/>
    </row>
    <row r="448" spans="1:9" x14ac:dyDescent="0.25">
      <c r="A448" s="3"/>
      <c r="B448" s="3"/>
      <c r="C448" s="3"/>
      <c r="D448" s="3"/>
      <c r="E448" s="3"/>
      <c r="F448" s="3"/>
      <c r="G448" s="3"/>
      <c r="H448" s="3"/>
      <c r="I448" s="3"/>
    </row>
    <row r="449" spans="1:9" x14ac:dyDescent="0.25">
      <c r="A449" s="3"/>
      <c r="B449" s="3"/>
      <c r="C449" s="3"/>
      <c r="D449" s="3"/>
      <c r="E449" s="3"/>
      <c r="F449" s="3"/>
      <c r="G449" s="3"/>
      <c r="H449" s="3"/>
      <c r="I449" s="3"/>
    </row>
    <row r="450" spans="1:9" x14ac:dyDescent="0.25">
      <c r="A450" s="3"/>
      <c r="B450" s="3"/>
      <c r="C450" s="3"/>
      <c r="D450" s="3"/>
      <c r="E450" s="3"/>
      <c r="F450" s="3"/>
      <c r="G450" s="3"/>
      <c r="H450" s="3"/>
      <c r="I450" s="3"/>
    </row>
    <row r="451" spans="1:9" x14ac:dyDescent="0.25">
      <c r="A451" s="3"/>
      <c r="B451" s="3"/>
      <c r="C451" s="3"/>
      <c r="D451" s="3"/>
      <c r="E451" s="3"/>
      <c r="F451" s="3"/>
      <c r="G451" s="3"/>
      <c r="H451" s="3"/>
      <c r="I451" s="3"/>
    </row>
    <row r="452" spans="1:9" x14ac:dyDescent="0.25">
      <c r="A452" s="3"/>
      <c r="B452" s="3"/>
      <c r="C452" s="3"/>
      <c r="D452" s="3"/>
      <c r="E452" s="3"/>
      <c r="F452" s="3"/>
      <c r="G452" s="3"/>
      <c r="H452" s="3"/>
      <c r="I452" s="3"/>
    </row>
    <row r="453" spans="1:9" x14ac:dyDescent="0.25">
      <c r="A453" s="3"/>
      <c r="B453" s="3"/>
      <c r="C453" s="3"/>
      <c r="D453" s="3"/>
      <c r="E453" s="3"/>
      <c r="F453" s="3"/>
      <c r="G453" s="3"/>
      <c r="H453" s="3"/>
      <c r="I453" s="3"/>
    </row>
    <row r="454" spans="1:9" x14ac:dyDescent="0.25">
      <c r="A454" s="3"/>
      <c r="B454" s="3"/>
      <c r="C454" s="3"/>
      <c r="D454" s="3"/>
      <c r="E454" s="3"/>
      <c r="F454" s="3"/>
      <c r="G454" s="3"/>
      <c r="H454" s="3"/>
      <c r="I454" s="3"/>
    </row>
    <row r="455" spans="1:9" x14ac:dyDescent="0.25">
      <c r="A455" s="3"/>
      <c r="B455" s="3"/>
      <c r="C455" s="3"/>
      <c r="D455" s="3"/>
      <c r="E455" s="3"/>
      <c r="F455" s="3"/>
      <c r="G455" s="3"/>
      <c r="H455" s="3"/>
      <c r="I455" s="3"/>
    </row>
    <row r="456" spans="1:9" x14ac:dyDescent="0.25">
      <c r="A456" s="3"/>
      <c r="B456" s="3"/>
      <c r="C456" s="3"/>
      <c r="D456" s="3"/>
      <c r="E456" s="3"/>
      <c r="F456" s="3"/>
      <c r="G456" s="3"/>
      <c r="H456" s="3"/>
      <c r="I456" s="3"/>
    </row>
    <row r="457" spans="1:9" x14ac:dyDescent="0.25">
      <c r="A457" s="3"/>
      <c r="B457" s="3"/>
      <c r="C457" s="3"/>
      <c r="D457" s="3"/>
      <c r="E457" s="3"/>
      <c r="F457" s="3"/>
      <c r="G457" s="3"/>
      <c r="H457" s="3"/>
      <c r="I457" s="3"/>
    </row>
    <row r="458" spans="1:9" x14ac:dyDescent="0.25">
      <c r="A458" s="3"/>
      <c r="B458" s="3"/>
      <c r="C458" s="3"/>
      <c r="D458" s="3"/>
      <c r="E458" s="3"/>
      <c r="F458" s="3"/>
      <c r="G458" s="3"/>
      <c r="H458" s="3"/>
      <c r="I458" s="3"/>
    </row>
    <row r="459" spans="1:9" x14ac:dyDescent="0.25">
      <c r="A459" s="3"/>
      <c r="B459" s="3"/>
      <c r="C459" s="3"/>
      <c r="D459" s="3"/>
      <c r="E459" s="3"/>
      <c r="F459" s="3"/>
      <c r="G459" s="3"/>
      <c r="H459" s="3"/>
      <c r="I459" s="3"/>
    </row>
    <row r="460" spans="1:9" x14ac:dyDescent="0.25">
      <c r="A460" s="3"/>
      <c r="B460" s="3"/>
      <c r="C460" s="3"/>
      <c r="D460" s="3"/>
      <c r="E460" s="3"/>
      <c r="F460" s="3"/>
      <c r="G460" s="3"/>
      <c r="H460" s="3"/>
      <c r="I460" s="3"/>
    </row>
    <row r="461" spans="1:9" x14ac:dyDescent="0.25">
      <c r="A461" s="3"/>
      <c r="B461" s="3"/>
      <c r="C461" s="3"/>
      <c r="D461" s="3"/>
      <c r="E461" s="3"/>
      <c r="F461" s="3"/>
      <c r="G461" s="3"/>
      <c r="H461" s="3"/>
      <c r="I461" s="3"/>
    </row>
    <row r="462" spans="1:9" x14ac:dyDescent="0.25">
      <c r="A462" s="3"/>
      <c r="B462" s="3"/>
      <c r="C462" s="3"/>
      <c r="D462" s="3"/>
      <c r="E462" s="3"/>
      <c r="F462" s="3"/>
      <c r="G462" s="3"/>
      <c r="H462" s="3"/>
      <c r="I462" s="3"/>
    </row>
    <row r="463" spans="1:9" x14ac:dyDescent="0.25">
      <c r="A463" s="3"/>
      <c r="B463" s="3"/>
      <c r="C463" s="3"/>
      <c r="D463" s="3"/>
      <c r="E463" s="3"/>
      <c r="F463" s="3"/>
      <c r="G463" s="3"/>
      <c r="H463" s="3"/>
      <c r="I463" s="3"/>
    </row>
    <row r="464" spans="1:9" x14ac:dyDescent="0.25">
      <c r="A464" s="3"/>
      <c r="B464" s="3"/>
      <c r="C464" s="3"/>
      <c r="D464" s="3"/>
      <c r="E464" s="3"/>
      <c r="F464" s="3"/>
      <c r="G464" s="3"/>
      <c r="H464" s="3"/>
      <c r="I464" s="3"/>
    </row>
    <row r="465" spans="1:9" x14ac:dyDescent="0.25">
      <c r="A465" s="3"/>
      <c r="B465" s="3"/>
      <c r="C465" s="3"/>
      <c r="D465" s="3"/>
      <c r="E465" s="3"/>
      <c r="F465" s="3"/>
      <c r="G465" s="3"/>
      <c r="H465" s="3"/>
      <c r="I465" s="3"/>
    </row>
    <row r="466" spans="1:9" x14ac:dyDescent="0.25">
      <c r="A466" s="3"/>
      <c r="B466" s="3"/>
      <c r="C466" s="3"/>
      <c r="D466" s="3"/>
      <c r="E466" s="3"/>
      <c r="F466" s="3"/>
      <c r="G466" s="3"/>
      <c r="H466" s="3"/>
      <c r="I466" s="3"/>
    </row>
    <row r="467" spans="1:9" x14ac:dyDescent="0.25">
      <c r="A467" s="3"/>
      <c r="B467" s="3"/>
      <c r="C467" s="3"/>
      <c r="D467" s="3"/>
      <c r="E467" s="3"/>
      <c r="F467" s="3"/>
      <c r="G467" s="3"/>
      <c r="H467" s="3"/>
      <c r="I467" s="3"/>
    </row>
    <row r="468" spans="1:9" x14ac:dyDescent="0.25">
      <c r="A468" s="3"/>
      <c r="B468" s="3"/>
      <c r="C468" s="3"/>
      <c r="D468" s="3"/>
      <c r="E468" s="3"/>
      <c r="F468" s="3"/>
      <c r="G468" s="3"/>
      <c r="H468" s="3"/>
      <c r="I468" s="3"/>
    </row>
    <row r="469" spans="1:9" x14ac:dyDescent="0.25">
      <c r="A469" s="3"/>
      <c r="B469" s="3"/>
      <c r="C469" s="3"/>
      <c r="D469" s="3"/>
      <c r="E469" s="3"/>
      <c r="F469" s="3"/>
      <c r="G469" s="3"/>
      <c r="H469" s="3"/>
      <c r="I469" s="3"/>
    </row>
    <row r="470" spans="1:9" x14ac:dyDescent="0.25">
      <c r="A470" s="3"/>
      <c r="B470" s="3"/>
      <c r="C470" s="3"/>
      <c r="D470" s="3"/>
      <c r="E470" s="3"/>
      <c r="F470" s="3"/>
      <c r="G470" s="3"/>
      <c r="H470" s="3"/>
      <c r="I470" s="3"/>
    </row>
    <row r="471" spans="1:9" x14ac:dyDescent="0.25">
      <c r="A471" s="3"/>
      <c r="B471" s="3"/>
      <c r="C471" s="3"/>
      <c r="D471" s="3"/>
      <c r="E471" s="3"/>
      <c r="F471" s="3"/>
      <c r="G471" s="3"/>
      <c r="H471" s="3"/>
      <c r="I471" s="3"/>
    </row>
    <row r="472" spans="1:9" x14ac:dyDescent="0.25">
      <c r="A472" s="3"/>
      <c r="B472" s="3"/>
      <c r="C472" s="3"/>
      <c r="D472" s="3"/>
      <c r="E472" s="3"/>
      <c r="F472" s="3"/>
      <c r="G472" s="3"/>
      <c r="H472" s="3"/>
      <c r="I472" s="3"/>
    </row>
    <row r="473" spans="1:9" x14ac:dyDescent="0.25">
      <c r="A473" s="3"/>
      <c r="B473" s="3"/>
      <c r="C473" s="3"/>
      <c r="D473" s="3"/>
      <c r="E473" s="3"/>
      <c r="F473" s="3"/>
      <c r="G473" s="3"/>
      <c r="H473" s="3"/>
      <c r="I473" s="3"/>
    </row>
    <row r="474" spans="1:9" x14ac:dyDescent="0.25">
      <c r="A474" s="3"/>
      <c r="B474" s="3"/>
      <c r="C474" s="3"/>
      <c r="D474" s="3"/>
      <c r="E474" s="3"/>
      <c r="F474" s="3"/>
      <c r="G474" s="3"/>
      <c r="H474" s="3"/>
      <c r="I474" s="3"/>
    </row>
    <row r="475" spans="1:9" x14ac:dyDescent="0.25">
      <c r="A475" s="3"/>
      <c r="B475" s="3"/>
      <c r="C475" s="3"/>
      <c r="D475" s="3"/>
      <c r="E475" s="3"/>
      <c r="F475" s="3"/>
      <c r="G475" s="3"/>
      <c r="H475" s="3"/>
      <c r="I475" s="3"/>
    </row>
    <row r="476" spans="1:9" x14ac:dyDescent="0.25">
      <c r="A476" s="3"/>
      <c r="B476" s="3"/>
      <c r="C476" s="3"/>
      <c r="D476" s="3"/>
      <c r="E476" s="3"/>
      <c r="F476" s="3"/>
      <c r="G476" s="3"/>
      <c r="H476" s="3"/>
      <c r="I476" s="3"/>
    </row>
    <row r="477" spans="1:9" x14ac:dyDescent="0.25">
      <c r="A477" s="3"/>
      <c r="B477" s="3"/>
      <c r="C477" s="3"/>
      <c r="D477" s="3"/>
      <c r="E477" s="3"/>
      <c r="F477" s="3"/>
      <c r="G477" s="3"/>
      <c r="H477" s="3"/>
      <c r="I477" s="3"/>
    </row>
    <row r="478" spans="1:9" x14ac:dyDescent="0.25">
      <c r="A478" s="3"/>
      <c r="B478" s="3"/>
      <c r="C478" s="3"/>
      <c r="D478" s="3"/>
      <c r="E478" s="3"/>
      <c r="F478" s="3"/>
      <c r="G478" s="3"/>
      <c r="H478" s="3"/>
      <c r="I478" s="3"/>
    </row>
    <row r="479" spans="1:9" x14ac:dyDescent="0.25">
      <c r="A479" s="3"/>
      <c r="B479" s="3"/>
      <c r="C479" s="3"/>
      <c r="D479" s="3"/>
      <c r="E479" s="3"/>
      <c r="F479" s="3"/>
      <c r="G479" s="3"/>
      <c r="H479" s="3"/>
      <c r="I479" s="3"/>
    </row>
    <row r="480" spans="1:9" x14ac:dyDescent="0.25">
      <c r="A480" s="3"/>
      <c r="B480" s="3"/>
      <c r="C480" s="3"/>
      <c r="D480" s="3"/>
      <c r="E480" s="3"/>
      <c r="F480" s="3"/>
      <c r="G480" s="3"/>
      <c r="H480" s="3"/>
      <c r="I480" s="3"/>
    </row>
    <row r="481" spans="1:9" x14ac:dyDescent="0.25">
      <c r="A481" s="3"/>
      <c r="B481" s="3"/>
      <c r="C481" s="3"/>
      <c r="D481" s="3"/>
      <c r="E481" s="3"/>
      <c r="F481" s="3"/>
      <c r="G481" s="3"/>
      <c r="H481" s="3"/>
      <c r="I481" s="3"/>
    </row>
    <row r="482" spans="1:9" x14ac:dyDescent="0.25">
      <c r="A482" s="3"/>
      <c r="B482" s="3"/>
      <c r="C482" s="3"/>
      <c r="D482" s="3"/>
      <c r="E482" s="3"/>
      <c r="F482" s="3"/>
      <c r="G482" s="3"/>
      <c r="H482" s="3"/>
      <c r="I482" s="3"/>
    </row>
    <row r="483" spans="1:9" x14ac:dyDescent="0.25">
      <c r="A483" s="3"/>
      <c r="B483" s="3"/>
      <c r="C483" s="3"/>
      <c r="D483" s="3"/>
      <c r="E483" s="3"/>
      <c r="F483" s="3"/>
      <c r="G483" s="3"/>
      <c r="H483" s="3"/>
      <c r="I483" s="3"/>
    </row>
    <row r="484" spans="1:9" x14ac:dyDescent="0.25">
      <c r="A484" s="3"/>
      <c r="B484" s="3"/>
      <c r="C484" s="3"/>
      <c r="D484" s="3"/>
      <c r="E484" s="3"/>
      <c r="F484" s="3"/>
      <c r="G484" s="3"/>
      <c r="H484" s="3"/>
      <c r="I484" s="3"/>
    </row>
    <row r="485" spans="1:9" x14ac:dyDescent="0.25">
      <c r="A485" s="3"/>
      <c r="B485" s="3"/>
      <c r="C485" s="3"/>
      <c r="D485" s="3"/>
      <c r="E485" s="3"/>
      <c r="F485" s="3"/>
      <c r="G485" s="3"/>
      <c r="H485" s="3"/>
      <c r="I485" s="3"/>
    </row>
    <row r="486" spans="1:9" x14ac:dyDescent="0.25">
      <c r="A486" s="3"/>
      <c r="B486" s="3"/>
      <c r="C486" s="3"/>
      <c r="D486" s="3"/>
      <c r="E486" s="3"/>
      <c r="F486" s="3"/>
      <c r="G486" s="3"/>
      <c r="H486" s="3"/>
      <c r="I486" s="3"/>
    </row>
    <row r="487" spans="1:9" x14ac:dyDescent="0.25">
      <c r="A487" s="3"/>
      <c r="B487" s="3"/>
      <c r="C487" s="3"/>
      <c r="D487" s="3"/>
      <c r="E487" s="3"/>
      <c r="F487" s="3"/>
      <c r="G487" s="3"/>
      <c r="H487" s="3"/>
      <c r="I487" s="3"/>
    </row>
    <row r="488" spans="1:9" x14ac:dyDescent="0.25">
      <c r="A488" s="3"/>
      <c r="B488" s="3"/>
      <c r="C488" s="3"/>
      <c r="D488" s="3"/>
      <c r="E488" s="3"/>
      <c r="F488" s="3"/>
      <c r="G488" s="3"/>
      <c r="H488" s="3"/>
      <c r="I488" s="3"/>
    </row>
    <row r="489" spans="1:9" x14ac:dyDescent="0.25">
      <c r="A489" s="3"/>
      <c r="B489" s="3"/>
      <c r="C489" s="3"/>
      <c r="D489" s="3"/>
      <c r="E489" s="3"/>
      <c r="F489" s="3"/>
      <c r="G489" s="3"/>
      <c r="H489" s="3"/>
      <c r="I489" s="3"/>
    </row>
    <row r="490" spans="1:9" x14ac:dyDescent="0.25">
      <c r="A490" s="3"/>
      <c r="B490" s="3"/>
      <c r="C490" s="3"/>
      <c r="D490" s="3"/>
      <c r="E490" s="3"/>
      <c r="F490" s="3"/>
      <c r="G490" s="3"/>
      <c r="H490" s="3"/>
      <c r="I490" s="3"/>
    </row>
    <row r="491" spans="1:9" x14ac:dyDescent="0.25">
      <c r="A491" s="3"/>
      <c r="B491" s="3"/>
      <c r="C491" s="3"/>
      <c r="D491" s="3"/>
      <c r="E491" s="3"/>
      <c r="F491" s="3"/>
      <c r="G491" s="3"/>
      <c r="H491" s="3"/>
      <c r="I491" s="3"/>
    </row>
    <row r="492" spans="1:9" x14ac:dyDescent="0.25">
      <c r="A492" s="3"/>
      <c r="B492" s="3"/>
      <c r="C492" s="3"/>
      <c r="D492" s="3"/>
      <c r="E492" s="3"/>
      <c r="F492" s="3"/>
      <c r="G492" s="3"/>
      <c r="H492" s="3"/>
      <c r="I492" s="3"/>
    </row>
    <row r="493" spans="1:9" x14ac:dyDescent="0.25">
      <c r="A493" s="3"/>
      <c r="B493" s="3"/>
      <c r="C493" s="3"/>
      <c r="D493" s="3"/>
      <c r="E493" s="3"/>
      <c r="F493" s="3"/>
      <c r="G493" s="3"/>
      <c r="H493" s="3"/>
      <c r="I493" s="3"/>
    </row>
    <row r="494" spans="1:9" x14ac:dyDescent="0.25">
      <c r="A494" s="3"/>
      <c r="B494" s="3"/>
      <c r="C494" s="3"/>
      <c r="D494" s="3"/>
      <c r="E494" s="3"/>
      <c r="F494" s="3"/>
      <c r="G494" s="3"/>
      <c r="H494" s="3"/>
      <c r="I494" s="3"/>
    </row>
    <row r="495" spans="1:9" x14ac:dyDescent="0.25">
      <c r="A495" s="3"/>
      <c r="B495" s="3"/>
      <c r="C495" s="3"/>
      <c r="D495" s="3"/>
      <c r="E495" s="3"/>
      <c r="F495" s="3"/>
      <c r="G495" s="3"/>
      <c r="H495" s="3"/>
      <c r="I495" s="3"/>
    </row>
    <row r="496" spans="1:9" x14ac:dyDescent="0.25">
      <c r="A496" s="3"/>
      <c r="B496" s="3"/>
      <c r="C496" s="3"/>
      <c r="D496" s="3"/>
      <c r="E496" s="3"/>
      <c r="F496" s="3"/>
      <c r="G496" s="3"/>
      <c r="H496" s="3"/>
      <c r="I496" s="3"/>
    </row>
    <row r="497" spans="1:9" x14ac:dyDescent="0.25">
      <c r="A497" s="3"/>
      <c r="B497" s="3"/>
      <c r="C497" s="3"/>
      <c r="D497" s="3"/>
      <c r="E497" s="3"/>
      <c r="F497" s="3"/>
      <c r="G497" s="3"/>
      <c r="H497" s="3"/>
      <c r="I497" s="3"/>
    </row>
    <row r="498" spans="1:9" x14ac:dyDescent="0.25">
      <c r="A498" s="3"/>
      <c r="B498" s="3"/>
      <c r="C498" s="3"/>
      <c r="D498" s="3"/>
      <c r="E498" s="3"/>
      <c r="F498" s="3"/>
      <c r="G498" s="3"/>
      <c r="H498" s="3"/>
      <c r="I498" s="3"/>
    </row>
    <row r="499" spans="1:9" x14ac:dyDescent="0.25">
      <c r="A499" s="3"/>
      <c r="B499" s="3"/>
      <c r="C499" s="3"/>
      <c r="D499" s="3"/>
      <c r="E499" s="3"/>
      <c r="F499" s="3"/>
      <c r="G499" s="3"/>
      <c r="H499" s="3"/>
      <c r="I499" s="3"/>
    </row>
    <row r="500" spans="1:9" x14ac:dyDescent="0.25">
      <c r="A500" s="3"/>
      <c r="B500" s="3"/>
      <c r="C500" s="3"/>
      <c r="D500" s="3"/>
      <c r="E500" s="3"/>
      <c r="F500" s="3"/>
      <c r="G500" s="3"/>
      <c r="H500" s="3"/>
      <c r="I500" s="3"/>
    </row>
    <row r="501" spans="1:9" x14ac:dyDescent="0.25">
      <c r="A501" s="3"/>
      <c r="B501" s="3"/>
      <c r="C501" s="3"/>
      <c r="D501" s="3"/>
      <c r="E501" s="3"/>
      <c r="F501" s="3"/>
      <c r="G501" s="3"/>
      <c r="H501" s="3"/>
      <c r="I501" s="3"/>
    </row>
    <row r="502" spans="1:9" x14ac:dyDescent="0.25">
      <c r="A502" s="3"/>
      <c r="B502" s="3"/>
      <c r="C502" s="3"/>
      <c r="D502" s="3"/>
      <c r="E502" s="3"/>
      <c r="F502" s="3"/>
      <c r="G502" s="3"/>
      <c r="H502" s="3"/>
      <c r="I502" s="3"/>
    </row>
    <row r="503" spans="1:9" x14ac:dyDescent="0.25">
      <c r="A503" s="3"/>
      <c r="B503" s="3"/>
      <c r="C503" s="3"/>
      <c r="D503" s="3"/>
      <c r="E503" s="3"/>
      <c r="F503" s="3"/>
      <c r="G503" s="3"/>
      <c r="H503" s="3"/>
      <c r="I503" s="3"/>
    </row>
    <row r="504" spans="1:9" x14ac:dyDescent="0.25">
      <c r="A504" s="3"/>
      <c r="B504" s="3"/>
      <c r="C504" s="3"/>
      <c r="D504" s="3"/>
      <c r="E504" s="3"/>
      <c r="F504" s="3"/>
      <c r="G504" s="3"/>
      <c r="H504" s="3"/>
      <c r="I504" s="3"/>
    </row>
    <row r="505" spans="1:9" x14ac:dyDescent="0.25">
      <c r="A505" s="3"/>
      <c r="B505" s="3"/>
      <c r="C505" s="3"/>
      <c r="D505" s="3"/>
      <c r="E505" s="3"/>
      <c r="F505" s="3"/>
      <c r="G505" s="3"/>
      <c r="H505" s="3"/>
      <c r="I505" s="3"/>
    </row>
    <row r="506" spans="1:9" x14ac:dyDescent="0.25">
      <c r="A506" s="3"/>
      <c r="B506" s="3"/>
      <c r="C506" s="3"/>
      <c r="D506" s="3"/>
      <c r="E506" s="3"/>
      <c r="F506" s="3"/>
      <c r="G506" s="3"/>
      <c r="H506" s="3"/>
      <c r="I506" s="3"/>
    </row>
    <row r="507" spans="1:9" x14ac:dyDescent="0.25">
      <c r="A507" s="3"/>
      <c r="B507" s="3"/>
      <c r="C507" s="3"/>
      <c r="D507" s="3"/>
      <c r="E507" s="3"/>
      <c r="F507" s="3"/>
      <c r="G507" s="3"/>
      <c r="H507" s="3"/>
      <c r="I507" s="3"/>
    </row>
    <row r="508" spans="1:9" x14ac:dyDescent="0.25">
      <c r="A508" s="3"/>
      <c r="B508" s="3"/>
      <c r="C508" s="3"/>
      <c r="D508" s="3"/>
      <c r="E508" s="3"/>
      <c r="F508" s="3"/>
      <c r="G508" s="3"/>
      <c r="H508" s="3"/>
      <c r="I508" s="3"/>
    </row>
    <row r="509" spans="1:9" x14ac:dyDescent="0.25">
      <c r="A509" s="3"/>
      <c r="B509" s="3"/>
      <c r="C509" s="3"/>
      <c r="D509" s="3"/>
      <c r="E509" s="3"/>
      <c r="F509" s="3"/>
      <c r="G509" s="3"/>
      <c r="H509" s="3"/>
      <c r="I509" s="3"/>
    </row>
    <row r="510" spans="1:9" x14ac:dyDescent="0.25">
      <c r="A510" s="3"/>
      <c r="B510" s="3"/>
      <c r="C510" s="3"/>
      <c r="D510" s="3"/>
      <c r="E510" s="3"/>
      <c r="F510" s="3"/>
      <c r="G510" s="3"/>
      <c r="H510" s="3"/>
      <c r="I510" s="3"/>
    </row>
    <row r="511" spans="1:9" x14ac:dyDescent="0.25">
      <c r="A511" s="3"/>
      <c r="B511" s="3"/>
      <c r="C511" s="3"/>
      <c r="D511" s="3"/>
      <c r="E511" s="3"/>
      <c r="F511" s="3"/>
      <c r="G511" s="3"/>
      <c r="H511" s="3"/>
      <c r="I511" s="3"/>
    </row>
    <row r="512" spans="1:9" x14ac:dyDescent="0.25">
      <c r="A512" s="3"/>
      <c r="B512" s="3"/>
      <c r="C512" s="3"/>
      <c r="D512" s="3"/>
      <c r="E512" s="3"/>
      <c r="F512" s="3"/>
      <c r="G512" s="3"/>
      <c r="H512" s="3"/>
      <c r="I512" s="3"/>
    </row>
    <row r="513" spans="1:9" x14ac:dyDescent="0.25">
      <c r="A513" s="3"/>
      <c r="B513" s="3"/>
      <c r="C513" s="3"/>
      <c r="D513" s="3"/>
      <c r="E513" s="3"/>
      <c r="F513" s="3"/>
      <c r="G513" s="3"/>
      <c r="H513" s="3"/>
      <c r="I513" s="3"/>
    </row>
    <row r="514" spans="1:9" x14ac:dyDescent="0.25">
      <c r="A514" s="3"/>
      <c r="B514" s="3"/>
      <c r="C514" s="3"/>
      <c r="D514" s="3"/>
      <c r="E514" s="3"/>
      <c r="F514" s="3"/>
      <c r="G514" s="3"/>
      <c r="H514" s="3"/>
      <c r="I514" s="3"/>
    </row>
    <row r="515" spans="1:9" x14ac:dyDescent="0.25">
      <c r="A515" s="3"/>
      <c r="B515" s="3"/>
      <c r="C515" s="3"/>
      <c r="D515" s="3"/>
      <c r="E515" s="3"/>
      <c r="F515" s="3"/>
      <c r="G515" s="3"/>
      <c r="H515" s="3"/>
      <c r="I515" s="3"/>
    </row>
    <row r="516" spans="1:9" x14ac:dyDescent="0.25">
      <c r="A516" s="3"/>
      <c r="B516" s="3"/>
      <c r="C516" s="3"/>
      <c r="D516" s="3"/>
      <c r="E516" s="3"/>
      <c r="F516" s="3"/>
      <c r="G516" s="3"/>
      <c r="H516" s="3"/>
      <c r="I516" s="3"/>
    </row>
    <row r="517" spans="1:9" x14ac:dyDescent="0.25">
      <c r="A517" s="3"/>
      <c r="B517" s="3"/>
      <c r="C517" s="3"/>
      <c r="D517" s="3"/>
      <c r="E517" s="3"/>
      <c r="F517" s="3"/>
      <c r="G517" s="3"/>
      <c r="H517" s="3"/>
      <c r="I517" s="3"/>
    </row>
    <row r="518" spans="1:9" x14ac:dyDescent="0.25">
      <c r="A518" s="3"/>
      <c r="B518" s="3"/>
      <c r="C518" s="3"/>
      <c r="D518" s="3"/>
      <c r="E518" s="3"/>
      <c r="F518" s="3"/>
      <c r="G518" s="3"/>
      <c r="H518" s="3"/>
      <c r="I518" s="3"/>
    </row>
    <row r="519" spans="1:9" x14ac:dyDescent="0.25">
      <c r="A519" s="3"/>
      <c r="B519" s="3"/>
      <c r="C519" s="3"/>
      <c r="D519" s="3"/>
      <c r="E519" s="3"/>
      <c r="F519" s="3"/>
      <c r="G519" s="3"/>
      <c r="H519" s="3"/>
      <c r="I519" s="3"/>
    </row>
    <row r="520" spans="1:9" x14ac:dyDescent="0.25">
      <c r="A520" s="3"/>
      <c r="B520" s="3"/>
      <c r="C520" s="3"/>
      <c r="D520" s="3"/>
      <c r="E520" s="3"/>
      <c r="F520" s="3"/>
      <c r="G520" s="3"/>
      <c r="H520" s="3"/>
      <c r="I520" s="3"/>
    </row>
    <row r="521" spans="1:9" x14ac:dyDescent="0.25">
      <c r="A521" s="3"/>
      <c r="B521" s="3"/>
      <c r="C521" s="3"/>
      <c r="D521" s="3"/>
      <c r="E521" s="3"/>
      <c r="F521" s="3"/>
      <c r="G521" s="3"/>
      <c r="H521" s="3"/>
      <c r="I521" s="3"/>
    </row>
    <row r="522" spans="1:9" x14ac:dyDescent="0.25">
      <c r="A522" s="3"/>
      <c r="B522" s="3"/>
      <c r="C522" s="3"/>
      <c r="D522" s="3"/>
      <c r="E522" s="3"/>
      <c r="F522" s="3"/>
      <c r="G522" s="3"/>
      <c r="H522" s="3"/>
      <c r="I522" s="3"/>
    </row>
    <row r="523" spans="1:9" x14ac:dyDescent="0.25">
      <c r="A523" s="3"/>
      <c r="B523" s="3"/>
      <c r="C523" s="3"/>
      <c r="D523" s="3"/>
      <c r="E523" s="3"/>
      <c r="F523" s="3"/>
      <c r="G523" s="3"/>
      <c r="H523" s="3"/>
      <c r="I523" s="3"/>
    </row>
    <row r="524" spans="1:9" x14ac:dyDescent="0.25">
      <c r="A524" s="3"/>
      <c r="B524" s="3"/>
      <c r="C524" s="3"/>
      <c r="D524" s="3"/>
      <c r="E524" s="3"/>
      <c r="F524" s="3"/>
      <c r="G524" s="3"/>
      <c r="H524" s="3"/>
      <c r="I524" s="3"/>
    </row>
    <row r="525" spans="1:9" x14ac:dyDescent="0.25">
      <c r="A525" s="3"/>
      <c r="B525" s="3"/>
      <c r="C525" s="3"/>
      <c r="D525" s="3"/>
      <c r="E525" s="3"/>
      <c r="F525" s="3"/>
      <c r="G525" s="3"/>
      <c r="H525" s="3"/>
      <c r="I525" s="3"/>
    </row>
    <row r="526" spans="1:9" x14ac:dyDescent="0.25">
      <c r="A526" s="3"/>
      <c r="B526" s="3"/>
      <c r="C526" s="3"/>
      <c r="D526" s="3"/>
      <c r="E526" s="3"/>
      <c r="F526" s="3"/>
      <c r="G526" s="3"/>
      <c r="H526" s="3"/>
      <c r="I526" s="3"/>
    </row>
    <row r="527" spans="1:9" x14ac:dyDescent="0.25">
      <c r="A527" s="3"/>
      <c r="B527" s="3"/>
      <c r="C527" s="3"/>
      <c r="D527" s="3"/>
      <c r="E527" s="3"/>
      <c r="F527" s="3"/>
      <c r="G527" s="3"/>
      <c r="H527" s="3"/>
      <c r="I527" s="3"/>
    </row>
    <row r="528" spans="1:9" x14ac:dyDescent="0.25">
      <c r="A528" s="3"/>
      <c r="B528" s="3"/>
      <c r="C528" s="3"/>
      <c r="D528" s="3"/>
      <c r="E528" s="3"/>
      <c r="F528" s="3"/>
      <c r="G528" s="3"/>
      <c r="H528" s="3"/>
      <c r="I528" s="3"/>
    </row>
    <row r="529" spans="1:9" x14ac:dyDescent="0.25">
      <c r="A529" s="3"/>
      <c r="B529" s="3"/>
      <c r="C529" s="3"/>
      <c r="D529" s="3"/>
      <c r="E529" s="3"/>
      <c r="F529" s="3"/>
      <c r="G529" s="3"/>
      <c r="H529" s="3"/>
      <c r="I529" s="3"/>
    </row>
    <row r="530" spans="1:9" x14ac:dyDescent="0.25">
      <c r="A530" s="3"/>
      <c r="B530" s="3"/>
      <c r="C530" s="3"/>
      <c r="D530" s="3"/>
      <c r="E530" s="3"/>
      <c r="F530" s="3"/>
      <c r="G530" s="3"/>
      <c r="H530" s="3"/>
      <c r="I530" s="3"/>
    </row>
    <row r="531" spans="1:9" x14ac:dyDescent="0.25">
      <c r="A531" s="3"/>
      <c r="B531" s="3"/>
      <c r="C531" s="3"/>
      <c r="D531" s="3"/>
      <c r="E531" s="3"/>
      <c r="F531" s="3"/>
      <c r="G531" s="3"/>
      <c r="H531" s="3"/>
      <c r="I531" s="3"/>
    </row>
    <row r="532" spans="1:9" x14ac:dyDescent="0.25">
      <c r="A532" s="3"/>
      <c r="B532" s="3"/>
      <c r="C532" s="3"/>
      <c r="D532" s="3"/>
      <c r="E532" s="3"/>
      <c r="F532" s="3"/>
      <c r="G532" s="3"/>
      <c r="H532" s="3"/>
      <c r="I532" s="3"/>
    </row>
    <row r="533" spans="1:9" x14ac:dyDescent="0.25">
      <c r="A533" s="3"/>
      <c r="B533" s="3"/>
      <c r="C533" s="3"/>
      <c r="D533" s="3"/>
      <c r="E533" s="3"/>
      <c r="F533" s="3"/>
      <c r="G533" s="3"/>
      <c r="H533" s="3"/>
      <c r="I533" s="3"/>
    </row>
    <row r="534" spans="1:9" x14ac:dyDescent="0.25">
      <c r="A534" s="3"/>
      <c r="B534" s="3"/>
      <c r="C534" s="3"/>
      <c r="D534" s="3"/>
      <c r="E534" s="3"/>
      <c r="F534" s="3"/>
      <c r="G534" s="3"/>
      <c r="H534" s="3"/>
      <c r="I534" s="3"/>
    </row>
    <row r="535" spans="1:9" x14ac:dyDescent="0.25">
      <c r="A535" s="3"/>
      <c r="B535" s="3"/>
      <c r="C535" s="3"/>
      <c r="D535" s="3"/>
      <c r="E535" s="3"/>
      <c r="F535" s="3"/>
      <c r="G535" s="3"/>
      <c r="H535" s="3"/>
      <c r="I535" s="3"/>
    </row>
    <row r="536" spans="1:9" x14ac:dyDescent="0.25">
      <c r="A536" s="3"/>
      <c r="B536" s="3"/>
      <c r="C536" s="3"/>
      <c r="D536" s="3"/>
      <c r="E536" s="3"/>
      <c r="F536" s="3"/>
      <c r="G536" s="3"/>
      <c r="H536" s="3"/>
      <c r="I536" s="3"/>
    </row>
    <row r="537" spans="1:9" x14ac:dyDescent="0.25">
      <c r="A537" s="3"/>
      <c r="B537" s="3"/>
      <c r="C537" s="3"/>
      <c r="D537" s="3"/>
      <c r="E537" s="3"/>
      <c r="F537" s="3"/>
      <c r="G537" s="3"/>
      <c r="H537" s="3"/>
      <c r="I537" s="3"/>
    </row>
    <row r="538" spans="1:9" x14ac:dyDescent="0.25">
      <c r="A538" s="3"/>
      <c r="B538" s="3"/>
      <c r="C538" s="3"/>
      <c r="D538" s="3"/>
      <c r="E538" s="3"/>
      <c r="F538" s="3"/>
      <c r="G538" s="3"/>
      <c r="H538" s="3"/>
      <c r="I538" s="3"/>
    </row>
    <row r="539" spans="1:9" x14ac:dyDescent="0.25">
      <c r="A539" s="3"/>
      <c r="B539" s="3"/>
      <c r="C539" s="3"/>
      <c r="D539" s="3"/>
      <c r="E539" s="3"/>
      <c r="F539" s="3"/>
      <c r="G539" s="3"/>
      <c r="H539" s="3"/>
      <c r="I539" s="3"/>
    </row>
    <row r="540" spans="1:9" x14ac:dyDescent="0.25">
      <c r="A540" s="3"/>
      <c r="B540" s="3"/>
      <c r="C540" s="3"/>
      <c r="D540" s="3"/>
      <c r="E540" s="3"/>
      <c r="F540" s="3"/>
      <c r="G540" s="3"/>
      <c r="H540" s="3"/>
      <c r="I540" s="3"/>
    </row>
    <row r="541" spans="1:9" x14ac:dyDescent="0.25">
      <c r="A541" s="3"/>
      <c r="B541" s="3"/>
      <c r="C541" s="3"/>
      <c r="D541" s="3"/>
      <c r="E541" s="3"/>
      <c r="F541" s="3"/>
      <c r="G541" s="3"/>
      <c r="H541" s="3"/>
      <c r="I541" s="3"/>
    </row>
    <row r="542" spans="1:9" x14ac:dyDescent="0.25">
      <c r="A542" s="3"/>
      <c r="B542" s="3"/>
      <c r="C542" s="3"/>
      <c r="D542" s="3"/>
      <c r="E542" s="3"/>
      <c r="F542" s="3"/>
      <c r="G542" s="3"/>
      <c r="H542" s="3"/>
      <c r="I542" s="3"/>
    </row>
    <row r="543" spans="1:9" x14ac:dyDescent="0.25">
      <c r="A543" s="3"/>
      <c r="B543" s="3"/>
      <c r="C543" s="3"/>
      <c r="D543" s="3"/>
      <c r="E543" s="3"/>
      <c r="F543" s="3"/>
      <c r="G543" s="3"/>
      <c r="H543" s="3"/>
      <c r="I543" s="3"/>
    </row>
    <row r="544" spans="1:9" x14ac:dyDescent="0.25">
      <c r="A544" s="3"/>
      <c r="B544" s="3"/>
      <c r="C544" s="3"/>
      <c r="D544" s="3"/>
      <c r="E544" s="3"/>
      <c r="F544" s="3"/>
      <c r="G544" s="3"/>
      <c r="H544" s="3"/>
      <c r="I544" s="3"/>
    </row>
    <row r="545" spans="1:9" x14ac:dyDescent="0.25">
      <c r="A545" s="3"/>
      <c r="B545" s="3"/>
      <c r="C545" s="3"/>
      <c r="D545" s="3"/>
      <c r="E545" s="3"/>
      <c r="F545" s="3"/>
      <c r="G545" s="3"/>
      <c r="H545" s="3"/>
      <c r="I545" s="3"/>
    </row>
    <row r="546" spans="1:9" x14ac:dyDescent="0.25">
      <c r="A546" s="3"/>
      <c r="B546" s="3"/>
      <c r="C546" s="3"/>
      <c r="D546" s="3"/>
      <c r="E546" s="3"/>
      <c r="F546" s="3"/>
      <c r="G546" s="3"/>
      <c r="H546" s="3"/>
      <c r="I546" s="3"/>
    </row>
    <row r="547" spans="1:9" x14ac:dyDescent="0.25">
      <c r="A547" s="3"/>
      <c r="B547" s="3"/>
      <c r="C547" s="3"/>
      <c r="D547" s="3"/>
      <c r="E547" s="3"/>
      <c r="F547" s="3"/>
      <c r="G547" s="3"/>
      <c r="H547" s="3"/>
      <c r="I547" s="3"/>
    </row>
    <row r="548" spans="1:9" x14ac:dyDescent="0.25">
      <c r="A548" s="3"/>
      <c r="B548" s="3"/>
      <c r="C548" s="3"/>
      <c r="D548" s="3"/>
      <c r="E548" s="3"/>
      <c r="F548" s="3"/>
      <c r="G548" s="3"/>
      <c r="H548" s="3"/>
      <c r="I548" s="3"/>
    </row>
    <row r="549" spans="1:9" x14ac:dyDescent="0.25">
      <c r="A549" s="3"/>
      <c r="B549" s="3"/>
      <c r="C549" s="3"/>
      <c r="D549" s="3"/>
      <c r="E549" s="3"/>
      <c r="F549" s="3"/>
      <c r="G549" s="3"/>
      <c r="H549" s="3"/>
      <c r="I549" s="3"/>
    </row>
    <row r="550" spans="1:9" x14ac:dyDescent="0.25">
      <c r="A550" s="3"/>
      <c r="B550" s="3"/>
      <c r="C550" s="3"/>
      <c r="D550" s="3"/>
      <c r="E550" s="3"/>
      <c r="F550" s="3"/>
      <c r="G550" s="3"/>
      <c r="H550" s="3"/>
      <c r="I550" s="3"/>
    </row>
    <row r="551" spans="1:9" x14ac:dyDescent="0.25">
      <c r="A551" s="3"/>
      <c r="B551" s="3"/>
      <c r="C551" s="3"/>
      <c r="D551" s="3"/>
      <c r="E551" s="3"/>
      <c r="F551" s="3"/>
      <c r="G551" s="3"/>
      <c r="H551" s="3"/>
      <c r="I551" s="3"/>
    </row>
    <row r="552" spans="1:9" x14ac:dyDescent="0.25">
      <c r="A552" s="3"/>
      <c r="B552" s="3"/>
      <c r="C552" s="3"/>
      <c r="D552" s="3"/>
      <c r="E552" s="3"/>
      <c r="F552" s="3"/>
      <c r="G552" s="3"/>
      <c r="H552" s="3"/>
      <c r="I552" s="3"/>
    </row>
    <row r="553" spans="1:9" x14ac:dyDescent="0.25">
      <c r="A553" s="3"/>
      <c r="B553" s="3"/>
      <c r="C553" s="3"/>
      <c r="D553" s="3"/>
      <c r="E553" s="3"/>
      <c r="F553" s="3"/>
      <c r="G553" s="3"/>
      <c r="H553" s="3"/>
      <c r="I553" s="3"/>
    </row>
    <row r="554" spans="1:9" x14ac:dyDescent="0.25">
      <c r="A554" s="3"/>
      <c r="B554" s="3"/>
      <c r="C554" s="3"/>
      <c r="D554" s="3"/>
      <c r="E554" s="3"/>
      <c r="F554" s="3"/>
      <c r="G554" s="3"/>
      <c r="H554" s="3"/>
      <c r="I554" s="3"/>
    </row>
    <row r="555" spans="1:9" x14ac:dyDescent="0.25">
      <c r="A555" s="3"/>
      <c r="B555" s="3"/>
      <c r="C555" s="3"/>
      <c r="D555" s="3"/>
      <c r="E555" s="3"/>
      <c r="F555" s="3"/>
      <c r="G555" s="3"/>
      <c r="H555" s="3"/>
      <c r="I555" s="3"/>
    </row>
    <row r="556" spans="1:9" x14ac:dyDescent="0.25">
      <c r="A556" s="3"/>
      <c r="B556" s="3"/>
      <c r="C556" s="3"/>
      <c r="D556" s="3"/>
      <c r="E556" s="3"/>
      <c r="F556" s="3"/>
      <c r="G556" s="3"/>
      <c r="H556" s="3"/>
      <c r="I556" s="3"/>
    </row>
    <row r="557" spans="1:9" x14ac:dyDescent="0.25">
      <c r="A557" s="3"/>
      <c r="B557" s="3"/>
      <c r="C557" s="3"/>
      <c r="D557" s="3"/>
      <c r="E557" s="3"/>
      <c r="F557" s="3"/>
      <c r="G557" s="3"/>
      <c r="H557" s="3"/>
      <c r="I557" s="3"/>
    </row>
    <row r="558" spans="1:9" x14ac:dyDescent="0.25">
      <c r="A558" s="3"/>
      <c r="B558" s="3"/>
      <c r="C558" s="3"/>
      <c r="D558" s="3"/>
      <c r="E558" s="3"/>
      <c r="F558" s="3"/>
      <c r="G558" s="3"/>
      <c r="H558" s="3"/>
      <c r="I558" s="3"/>
    </row>
    <row r="559" spans="1:9" x14ac:dyDescent="0.25">
      <c r="A559" s="3"/>
      <c r="B559" s="3"/>
      <c r="C559" s="3"/>
      <c r="D559" s="3"/>
      <c r="E559" s="3"/>
      <c r="F559" s="3"/>
      <c r="G559" s="3"/>
      <c r="H559" s="3"/>
      <c r="I559" s="3"/>
    </row>
    <row r="560" spans="1:9" x14ac:dyDescent="0.25">
      <c r="A560" s="3"/>
      <c r="B560" s="3"/>
      <c r="C560" s="3"/>
      <c r="D560" s="3"/>
      <c r="E560" s="3"/>
      <c r="F560" s="3"/>
      <c r="G560" s="3"/>
      <c r="H560" s="3"/>
      <c r="I560" s="3"/>
    </row>
    <row r="561" spans="1:9" x14ac:dyDescent="0.25">
      <c r="A561" s="3"/>
      <c r="B561" s="3"/>
      <c r="C561" s="3"/>
      <c r="D561" s="3"/>
      <c r="E561" s="3"/>
      <c r="F561" s="3"/>
      <c r="G561" s="3"/>
      <c r="H561" s="3"/>
      <c r="I561" s="3"/>
    </row>
    <row r="562" spans="1:9" x14ac:dyDescent="0.25">
      <c r="A562" s="3"/>
      <c r="B562" s="3"/>
      <c r="C562" s="3"/>
      <c r="D562" s="3"/>
      <c r="E562" s="3"/>
      <c r="F562" s="3"/>
      <c r="G562" s="3"/>
      <c r="H562" s="3"/>
      <c r="I562" s="3"/>
    </row>
    <row r="563" spans="1:9" x14ac:dyDescent="0.25">
      <c r="A563" s="3"/>
      <c r="B563" s="3"/>
      <c r="C563" s="3"/>
      <c r="D563" s="3"/>
      <c r="E563" s="3"/>
      <c r="F563" s="3"/>
      <c r="G563" s="3"/>
      <c r="H563" s="3"/>
      <c r="I563" s="3"/>
    </row>
    <row r="564" spans="1:9" x14ac:dyDescent="0.25">
      <c r="A564" s="3"/>
      <c r="B564" s="3"/>
      <c r="C564" s="3"/>
      <c r="D564" s="3"/>
      <c r="E564" s="3"/>
      <c r="F564" s="3"/>
      <c r="G564" s="3"/>
      <c r="H564" s="3"/>
      <c r="I564" s="3"/>
    </row>
    <row r="565" spans="1:9" x14ac:dyDescent="0.25">
      <c r="A565" s="3"/>
      <c r="B565" s="3"/>
      <c r="C565" s="3"/>
      <c r="D565" s="3"/>
      <c r="E565" s="3"/>
      <c r="F565" s="3"/>
      <c r="G565" s="3"/>
      <c r="H565" s="3"/>
      <c r="I565" s="3"/>
    </row>
    <row r="566" spans="1:9" x14ac:dyDescent="0.25">
      <c r="A566" s="3"/>
      <c r="B566" s="3"/>
      <c r="C566" s="3"/>
      <c r="D566" s="3"/>
      <c r="E566" s="3"/>
      <c r="F566" s="3"/>
      <c r="G566" s="3"/>
      <c r="H566" s="3"/>
      <c r="I566" s="3"/>
    </row>
    <row r="567" spans="1:9" x14ac:dyDescent="0.25">
      <c r="A567" s="3"/>
      <c r="B567" s="3"/>
      <c r="C567" s="3"/>
      <c r="D567" s="3"/>
      <c r="E567" s="3"/>
      <c r="F567" s="3"/>
      <c r="G567" s="3"/>
      <c r="H567" s="3"/>
      <c r="I567" s="3"/>
    </row>
    <row r="568" spans="1:9" x14ac:dyDescent="0.25">
      <c r="A568" s="3"/>
      <c r="B568" s="3"/>
      <c r="C568" s="3"/>
      <c r="D568" s="3"/>
      <c r="E568" s="3"/>
      <c r="F568" s="3"/>
      <c r="G568" s="3"/>
      <c r="H568" s="3"/>
      <c r="I568" s="3"/>
    </row>
    <row r="569" spans="1:9" x14ac:dyDescent="0.25">
      <c r="A569" s="3"/>
      <c r="B569" s="3"/>
      <c r="C569" s="3"/>
      <c r="D569" s="3"/>
      <c r="E569" s="3"/>
      <c r="F569" s="3"/>
      <c r="G569" s="3"/>
      <c r="H569" s="3"/>
      <c r="I569" s="3"/>
    </row>
    <row r="570" spans="1:9" x14ac:dyDescent="0.25">
      <c r="A570" s="3"/>
      <c r="B570" s="3"/>
      <c r="C570" s="3"/>
      <c r="D570" s="3"/>
      <c r="E570" s="3"/>
      <c r="F570" s="3"/>
      <c r="G570" s="3"/>
      <c r="H570" s="3"/>
      <c r="I570" s="3"/>
    </row>
    <row r="571" spans="1:9" x14ac:dyDescent="0.25">
      <c r="A571" s="3"/>
      <c r="B571" s="3"/>
      <c r="C571" s="3"/>
      <c r="D571" s="3"/>
      <c r="E571" s="3"/>
      <c r="F571" s="3"/>
      <c r="G571" s="3"/>
      <c r="H571" s="3"/>
      <c r="I571" s="3"/>
    </row>
    <row r="572" spans="1:9" x14ac:dyDescent="0.25">
      <c r="A572" s="3"/>
      <c r="B572" s="3"/>
      <c r="C572" s="3"/>
      <c r="D572" s="3"/>
      <c r="E572" s="3"/>
      <c r="F572" s="3"/>
      <c r="G572" s="3"/>
      <c r="H572" s="3"/>
      <c r="I572" s="3"/>
    </row>
    <row r="573" spans="1:9" x14ac:dyDescent="0.25">
      <c r="A573" s="3"/>
      <c r="B573" s="3"/>
      <c r="C573" s="3"/>
      <c r="D573" s="3"/>
      <c r="E573" s="3"/>
      <c r="F573" s="3"/>
      <c r="G573" s="3"/>
      <c r="H573" s="3"/>
      <c r="I573" s="3"/>
    </row>
    <row r="574" spans="1:9" x14ac:dyDescent="0.25">
      <c r="A574" s="3"/>
      <c r="B574" s="3"/>
      <c r="C574" s="3"/>
      <c r="D574" s="3"/>
      <c r="E574" s="3"/>
      <c r="F574" s="3"/>
      <c r="G574" s="3"/>
      <c r="H574" s="3"/>
      <c r="I574" s="3"/>
    </row>
    <row r="575" spans="1:9" x14ac:dyDescent="0.25">
      <c r="A575" s="3"/>
      <c r="B575" s="3"/>
      <c r="C575" s="3"/>
      <c r="D575" s="3"/>
      <c r="E575" s="3"/>
      <c r="F575" s="3"/>
      <c r="G575" s="3"/>
      <c r="H575" s="3"/>
      <c r="I575" s="3"/>
    </row>
    <row r="576" spans="1:9" x14ac:dyDescent="0.25">
      <c r="A576" s="3"/>
      <c r="B576" s="3"/>
      <c r="C576" s="3"/>
      <c r="D576" s="3"/>
      <c r="E576" s="3"/>
      <c r="F576" s="3"/>
      <c r="G576" s="3"/>
      <c r="H576" s="3"/>
      <c r="I576" s="3"/>
    </row>
    <row r="577" spans="1:9" x14ac:dyDescent="0.25">
      <c r="A577" s="3"/>
      <c r="B577" s="3"/>
      <c r="C577" s="3"/>
      <c r="D577" s="3"/>
      <c r="E577" s="3"/>
      <c r="F577" s="3"/>
      <c r="G577" s="3"/>
      <c r="H577" s="3"/>
      <c r="I577" s="3"/>
    </row>
    <row r="578" spans="1:9" x14ac:dyDescent="0.25">
      <c r="A578" s="3"/>
      <c r="B578" s="3"/>
      <c r="C578" s="3"/>
      <c r="D578" s="3"/>
      <c r="E578" s="3"/>
      <c r="F578" s="3"/>
      <c r="G578" s="3"/>
      <c r="H578" s="3"/>
      <c r="I578" s="3"/>
    </row>
    <row r="579" spans="1:9" x14ac:dyDescent="0.25">
      <c r="A579" s="3"/>
      <c r="B579" s="3"/>
      <c r="C579" s="3"/>
      <c r="D579" s="3"/>
      <c r="E579" s="3"/>
      <c r="F579" s="3"/>
      <c r="G579" s="3"/>
      <c r="H579" s="3"/>
      <c r="I579" s="3"/>
    </row>
    <row r="580" spans="1:9" x14ac:dyDescent="0.25">
      <c r="A580" s="3"/>
      <c r="B580" s="3"/>
      <c r="C580" s="3"/>
      <c r="D580" s="3"/>
      <c r="E580" s="3"/>
      <c r="F580" s="3"/>
      <c r="G580" s="3"/>
      <c r="H580" s="3"/>
      <c r="I580" s="3"/>
    </row>
    <row r="581" spans="1:9" x14ac:dyDescent="0.25">
      <c r="A581" s="3"/>
      <c r="B581" s="3"/>
      <c r="C581" s="3"/>
      <c r="D581" s="3"/>
      <c r="E581" s="3"/>
      <c r="F581" s="3"/>
      <c r="G581" s="3"/>
      <c r="H581" s="3"/>
      <c r="I581" s="3"/>
    </row>
    <row r="582" spans="1:9" x14ac:dyDescent="0.25">
      <c r="A582" s="3"/>
      <c r="B582" s="3"/>
      <c r="C582" s="3"/>
      <c r="D582" s="3"/>
      <c r="E582" s="3"/>
      <c r="F582" s="3"/>
      <c r="G582" s="3"/>
      <c r="H582" s="3"/>
      <c r="I582" s="3"/>
    </row>
    <row r="583" spans="1:9" x14ac:dyDescent="0.25">
      <c r="A583" s="3"/>
      <c r="B583" s="3"/>
      <c r="C583" s="3"/>
      <c r="D583" s="3"/>
      <c r="E583" s="3"/>
      <c r="F583" s="3"/>
      <c r="G583" s="3"/>
      <c r="H583" s="3"/>
      <c r="I583" s="3"/>
    </row>
    <row r="584" spans="1:9" x14ac:dyDescent="0.25">
      <c r="A584" s="3"/>
      <c r="B584" s="3"/>
      <c r="C584" s="3"/>
      <c r="D584" s="3"/>
      <c r="E584" s="3"/>
      <c r="F584" s="3"/>
      <c r="G584" s="3"/>
      <c r="H584" s="3"/>
      <c r="I584" s="3"/>
    </row>
    <row r="585" spans="1:9" x14ac:dyDescent="0.25">
      <c r="A585" s="3"/>
      <c r="B585" s="3"/>
      <c r="C585" s="3"/>
      <c r="D585" s="3"/>
      <c r="E585" s="3"/>
      <c r="F585" s="3"/>
      <c r="G585" s="3"/>
      <c r="H585" s="3"/>
      <c r="I585" s="3"/>
    </row>
    <row r="586" spans="1:9" x14ac:dyDescent="0.25">
      <c r="A586" s="3"/>
      <c r="B586" s="3"/>
      <c r="C586" s="3"/>
      <c r="D586" s="3"/>
      <c r="E586" s="3"/>
      <c r="F586" s="3"/>
      <c r="G586" s="3"/>
      <c r="H586" s="3"/>
      <c r="I586" s="3"/>
    </row>
    <row r="587" spans="1:9" x14ac:dyDescent="0.25">
      <c r="A587" s="3"/>
      <c r="B587" s="3"/>
      <c r="C587" s="3"/>
      <c r="D587" s="3"/>
      <c r="E587" s="3"/>
      <c r="F587" s="3"/>
      <c r="G587" s="3"/>
      <c r="H587" s="3"/>
      <c r="I587" s="3"/>
    </row>
    <row r="588" spans="1:9" x14ac:dyDescent="0.25">
      <c r="A588" s="3"/>
      <c r="B588" s="3"/>
      <c r="C588" s="3"/>
      <c r="D588" s="3"/>
      <c r="E588" s="3"/>
      <c r="F588" s="3"/>
      <c r="G588" s="3"/>
      <c r="H588" s="3"/>
      <c r="I588" s="3"/>
    </row>
    <row r="589" spans="1:9" x14ac:dyDescent="0.25">
      <c r="A589" s="3"/>
      <c r="B589" s="3"/>
      <c r="C589" s="3"/>
      <c r="D589" s="3"/>
      <c r="E589" s="3"/>
      <c r="F589" s="3"/>
      <c r="G589" s="3"/>
      <c r="H589" s="3"/>
      <c r="I589" s="3"/>
    </row>
    <row r="590" spans="1:9" x14ac:dyDescent="0.25">
      <c r="A590" s="3"/>
      <c r="B590" s="3"/>
      <c r="C590" s="3"/>
      <c r="D590" s="3"/>
      <c r="E590" s="3"/>
      <c r="F590" s="3"/>
      <c r="G590" s="3"/>
      <c r="H590" s="3"/>
      <c r="I590" s="3"/>
    </row>
    <row r="591" spans="1:9" x14ac:dyDescent="0.25">
      <c r="A591" s="3"/>
      <c r="B591" s="3"/>
      <c r="C591" s="3"/>
      <c r="D591" s="3"/>
      <c r="E591" s="3"/>
      <c r="F591" s="3"/>
      <c r="G591" s="3"/>
      <c r="H591" s="3"/>
      <c r="I591" s="3"/>
    </row>
    <row r="592" spans="1:9" x14ac:dyDescent="0.25">
      <c r="A592" s="3"/>
      <c r="B592" s="3"/>
      <c r="C592" s="3"/>
      <c r="D592" s="3"/>
      <c r="E592" s="3"/>
      <c r="F592" s="3"/>
      <c r="G592" s="3"/>
      <c r="H592" s="3"/>
      <c r="I592" s="3"/>
    </row>
    <row r="593" spans="1:9" x14ac:dyDescent="0.25">
      <c r="A593" s="3"/>
      <c r="B593" s="3"/>
      <c r="C593" s="3"/>
      <c r="D593" s="3"/>
      <c r="E593" s="3"/>
      <c r="F593" s="3"/>
      <c r="G593" s="3"/>
      <c r="H593" s="3"/>
      <c r="I593" s="3"/>
    </row>
    <row r="594" spans="1:9" x14ac:dyDescent="0.25">
      <c r="A594" s="3"/>
      <c r="B594" s="3"/>
      <c r="C594" s="3"/>
      <c r="D594" s="3"/>
      <c r="E594" s="3"/>
      <c r="F594" s="3"/>
      <c r="G594" s="3"/>
      <c r="H594" s="3"/>
      <c r="I594" s="3"/>
    </row>
    <row r="595" spans="1:9" x14ac:dyDescent="0.25">
      <c r="A595" s="3"/>
      <c r="B595" s="3"/>
      <c r="C595" s="3"/>
      <c r="D595" s="3"/>
      <c r="E595" s="3"/>
      <c r="F595" s="3"/>
      <c r="G595" s="3"/>
      <c r="H595" s="3"/>
      <c r="I595" s="3"/>
    </row>
    <row r="596" spans="1:9" x14ac:dyDescent="0.25">
      <c r="A596" s="3"/>
      <c r="B596" s="3"/>
      <c r="C596" s="3"/>
      <c r="D596" s="3"/>
      <c r="E596" s="3"/>
      <c r="F596" s="3"/>
      <c r="G596" s="3"/>
      <c r="H596" s="3"/>
      <c r="I596" s="3"/>
    </row>
    <row r="597" spans="1:9" x14ac:dyDescent="0.25">
      <c r="A597" s="3"/>
      <c r="B597" s="3"/>
      <c r="C597" s="3"/>
      <c r="D597" s="3"/>
      <c r="E597" s="3"/>
      <c r="F597" s="3"/>
      <c r="G597" s="3"/>
      <c r="H597" s="3"/>
      <c r="I597" s="3"/>
    </row>
    <row r="598" spans="1:9" x14ac:dyDescent="0.25">
      <c r="A598" s="3"/>
      <c r="B598" s="3"/>
      <c r="C598" s="3"/>
      <c r="D598" s="3"/>
      <c r="E598" s="3"/>
      <c r="F598" s="3"/>
      <c r="G598" s="3"/>
      <c r="H598" s="3"/>
      <c r="I598" s="3"/>
    </row>
    <row r="599" spans="1:9" x14ac:dyDescent="0.25">
      <c r="A599" s="3"/>
      <c r="B599" s="3"/>
      <c r="C599" s="3"/>
      <c r="D599" s="3"/>
      <c r="E599" s="3"/>
      <c r="F599" s="3"/>
      <c r="G599" s="3"/>
      <c r="H599" s="3"/>
      <c r="I599" s="3"/>
    </row>
    <row r="600" spans="1:9" x14ac:dyDescent="0.25">
      <c r="A600" s="3"/>
      <c r="B600" s="3"/>
      <c r="C600" s="3"/>
      <c r="D600" s="3"/>
      <c r="E600" s="3"/>
      <c r="F600" s="3"/>
      <c r="G600" s="3"/>
      <c r="H600" s="3"/>
      <c r="I600" s="3"/>
    </row>
    <row r="601" spans="1:9" x14ac:dyDescent="0.25">
      <c r="A601" s="3"/>
      <c r="B601" s="3"/>
      <c r="C601" s="3"/>
      <c r="D601" s="3"/>
      <c r="E601" s="3"/>
      <c r="F601" s="3"/>
      <c r="G601" s="3"/>
      <c r="H601" s="3"/>
      <c r="I601" s="3"/>
    </row>
    <row r="602" spans="1:9" x14ac:dyDescent="0.25">
      <c r="A602" s="3"/>
      <c r="B602" s="3"/>
      <c r="C602" s="3"/>
      <c r="D602" s="3"/>
      <c r="E602" s="3"/>
      <c r="F602" s="3"/>
      <c r="G602" s="3"/>
      <c r="H602" s="3"/>
      <c r="I602" s="3"/>
    </row>
    <row r="603" spans="1:9" x14ac:dyDescent="0.25">
      <c r="A603" s="3"/>
      <c r="B603" s="3"/>
      <c r="C603" s="3"/>
      <c r="D603" s="3"/>
      <c r="E603" s="3"/>
      <c r="F603" s="3"/>
      <c r="G603" s="3"/>
      <c r="H603" s="3"/>
      <c r="I603" s="3"/>
    </row>
    <row r="604" spans="1:9" x14ac:dyDescent="0.25">
      <c r="A604" s="3"/>
      <c r="B604" s="3"/>
      <c r="C604" s="3"/>
      <c r="D604" s="3"/>
      <c r="E604" s="3"/>
      <c r="F604" s="3"/>
      <c r="G604" s="3"/>
      <c r="H604" s="3"/>
      <c r="I604" s="3"/>
    </row>
    <row r="605" spans="1:9" x14ac:dyDescent="0.25">
      <c r="A605" s="3"/>
      <c r="B605" s="3"/>
      <c r="C605" s="3"/>
      <c r="D605" s="3"/>
      <c r="E605" s="3"/>
      <c r="F605" s="3"/>
      <c r="G605" s="3"/>
      <c r="H605" s="3"/>
      <c r="I605" s="3"/>
    </row>
    <row r="606" spans="1:9" x14ac:dyDescent="0.25">
      <c r="A606" s="3"/>
      <c r="B606" s="3"/>
      <c r="C606" s="3"/>
      <c r="D606" s="3"/>
      <c r="E606" s="3"/>
      <c r="F606" s="3"/>
      <c r="G606" s="3"/>
      <c r="H606" s="3"/>
      <c r="I606" s="3"/>
    </row>
    <row r="607" spans="1:9" x14ac:dyDescent="0.25">
      <c r="A607" s="3"/>
      <c r="B607" s="3"/>
      <c r="C607" s="3"/>
      <c r="D607" s="3"/>
      <c r="E607" s="3"/>
      <c r="F607" s="3"/>
      <c r="G607" s="3"/>
      <c r="H607" s="3"/>
      <c r="I607" s="3"/>
    </row>
    <row r="608" spans="1:9" x14ac:dyDescent="0.25">
      <c r="A608" s="3"/>
      <c r="B608" s="3"/>
      <c r="C608" s="3"/>
      <c r="D608" s="3"/>
      <c r="E608" s="3"/>
      <c r="F608" s="3"/>
      <c r="G608" s="3"/>
      <c r="H608" s="3"/>
      <c r="I608" s="3"/>
    </row>
    <row r="609" spans="1:9" x14ac:dyDescent="0.25">
      <c r="A609" s="3"/>
      <c r="B609" s="3"/>
      <c r="C609" s="3"/>
      <c r="D609" s="3"/>
      <c r="E609" s="3"/>
      <c r="F609" s="3"/>
      <c r="G609" s="3"/>
      <c r="H609" s="3"/>
      <c r="I609" s="3"/>
    </row>
    <row r="610" spans="1:9" x14ac:dyDescent="0.25">
      <c r="A610" s="3"/>
      <c r="B610" s="3"/>
      <c r="C610" s="3"/>
      <c r="D610" s="3"/>
      <c r="E610" s="3"/>
      <c r="F610" s="3"/>
      <c r="G610" s="3"/>
      <c r="H610" s="3"/>
      <c r="I610" s="3"/>
    </row>
    <row r="611" spans="1:9" x14ac:dyDescent="0.25">
      <c r="A611" s="3"/>
      <c r="B611" s="3"/>
      <c r="C611" s="3"/>
      <c r="D611" s="3"/>
      <c r="E611" s="3"/>
      <c r="F611" s="3"/>
      <c r="G611" s="3"/>
      <c r="H611" s="3"/>
      <c r="I611" s="3"/>
    </row>
    <row r="612" spans="1:9" x14ac:dyDescent="0.25">
      <c r="A612" s="3"/>
      <c r="B612" s="3"/>
      <c r="C612" s="3"/>
      <c r="D612" s="3"/>
      <c r="E612" s="3"/>
      <c r="F612" s="3"/>
      <c r="G612" s="3"/>
      <c r="H612" s="3"/>
      <c r="I612" s="3"/>
    </row>
    <row r="613" spans="1:9" x14ac:dyDescent="0.25">
      <c r="A613" s="3"/>
      <c r="B613" s="3"/>
      <c r="C613" s="3"/>
      <c r="D613" s="3"/>
      <c r="E613" s="3"/>
      <c r="F613" s="3"/>
      <c r="G613" s="3"/>
      <c r="H613" s="3"/>
      <c r="I613" s="3"/>
    </row>
    <row r="614" spans="1:9" x14ac:dyDescent="0.25">
      <c r="A614" s="3"/>
      <c r="B614" s="3"/>
      <c r="C614" s="3"/>
      <c r="D614" s="3"/>
      <c r="E614" s="3"/>
      <c r="F614" s="3"/>
      <c r="G614" s="3"/>
      <c r="H614" s="3"/>
      <c r="I614" s="3"/>
    </row>
    <row r="615" spans="1:9" x14ac:dyDescent="0.25">
      <c r="A615" s="3"/>
      <c r="B615" s="3"/>
      <c r="C615" s="3"/>
      <c r="D615" s="3"/>
      <c r="E615" s="3"/>
      <c r="F615" s="3"/>
      <c r="G615" s="3"/>
      <c r="H615" s="3"/>
      <c r="I615" s="3"/>
    </row>
    <row r="616" spans="1:9" x14ac:dyDescent="0.25">
      <c r="A616" s="3"/>
      <c r="B616" s="3"/>
      <c r="C616" s="3"/>
      <c r="D616" s="3"/>
      <c r="E616" s="3"/>
      <c r="F616" s="3"/>
      <c r="G616" s="3"/>
      <c r="H616" s="3"/>
      <c r="I616" s="3"/>
    </row>
    <row r="617" spans="1:9" x14ac:dyDescent="0.25">
      <c r="A617" s="3"/>
      <c r="B617" s="3"/>
      <c r="C617" s="3"/>
      <c r="D617" s="3"/>
      <c r="E617" s="3"/>
      <c r="F617" s="3"/>
      <c r="G617" s="3"/>
      <c r="H617" s="3"/>
      <c r="I617" s="3"/>
    </row>
    <row r="618" spans="1:9" x14ac:dyDescent="0.25">
      <c r="A618" s="3"/>
      <c r="B618" s="3"/>
      <c r="C618" s="3"/>
      <c r="D618" s="3"/>
      <c r="E618" s="3"/>
      <c r="F618" s="3"/>
      <c r="G618" s="3"/>
      <c r="H618" s="3"/>
      <c r="I618" s="3"/>
    </row>
    <row r="619" spans="1:9" x14ac:dyDescent="0.25">
      <c r="A619" s="3"/>
      <c r="B619" s="3"/>
      <c r="C619" s="3"/>
      <c r="D619" s="3"/>
      <c r="E619" s="3"/>
      <c r="F619" s="3"/>
      <c r="G619" s="3"/>
      <c r="H619" s="3"/>
      <c r="I619" s="3"/>
    </row>
    <row r="620" spans="1:9" x14ac:dyDescent="0.25">
      <c r="A620" s="3"/>
      <c r="B620" s="3"/>
      <c r="C620" s="3"/>
      <c r="D620" s="3"/>
      <c r="E620" s="3"/>
      <c r="F620" s="3"/>
      <c r="G620" s="3"/>
      <c r="H620" s="3"/>
      <c r="I620" s="3"/>
    </row>
    <row r="621" spans="1:9" x14ac:dyDescent="0.25">
      <c r="A621" s="3"/>
      <c r="B621" s="3"/>
      <c r="C621" s="3"/>
      <c r="D621" s="3"/>
      <c r="E621" s="3"/>
      <c r="F621" s="3"/>
      <c r="G621" s="3"/>
      <c r="H621" s="3"/>
      <c r="I621" s="3"/>
    </row>
    <row r="622" spans="1:9" x14ac:dyDescent="0.25">
      <c r="A622" s="3"/>
      <c r="B622" s="3"/>
      <c r="C622" s="3"/>
      <c r="D622" s="3"/>
      <c r="E622" s="3"/>
      <c r="F622" s="3"/>
      <c r="G622" s="3"/>
      <c r="H622" s="3"/>
      <c r="I622" s="3"/>
    </row>
    <row r="623" spans="1:9" x14ac:dyDescent="0.25">
      <c r="A623" s="3"/>
      <c r="B623" s="3"/>
      <c r="C623" s="3"/>
      <c r="D623" s="3"/>
      <c r="E623" s="3"/>
      <c r="F623" s="3"/>
      <c r="G623" s="3"/>
      <c r="H623" s="3"/>
      <c r="I623" s="3"/>
    </row>
    <row r="624" spans="1:9" x14ac:dyDescent="0.25">
      <c r="A624" s="3"/>
      <c r="B624" s="3"/>
      <c r="C624" s="3"/>
      <c r="D624" s="3"/>
      <c r="E624" s="3"/>
      <c r="F624" s="3"/>
      <c r="G624" s="3"/>
      <c r="H624" s="3"/>
      <c r="I624" s="3"/>
    </row>
    <row r="625" spans="1:9" x14ac:dyDescent="0.25">
      <c r="A625" s="3"/>
      <c r="B625" s="3"/>
      <c r="C625" s="3"/>
      <c r="D625" s="3"/>
      <c r="E625" s="3"/>
      <c r="F625" s="3"/>
      <c r="G625" s="3"/>
      <c r="H625" s="3"/>
      <c r="I625" s="3"/>
    </row>
    <row r="626" spans="1:9" x14ac:dyDescent="0.25">
      <c r="A626" s="3"/>
      <c r="B626" s="3"/>
      <c r="C626" s="3"/>
      <c r="D626" s="3"/>
      <c r="E626" s="3"/>
      <c r="F626" s="3"/>
      <c r="G626" s="3"/>
      <c r="H626" s="3"/>
      <c r="I626" s="3"/>
    </row>
    <row r="627" spans="1:9" x14ac:dyDescent="0.25">
      <c r="A627" s="3"/>
      <c r="B627" s="3"/>
      <c r="C627" s="3"/>
      <c r="D627" s="3"/>
      <c r="E627" s="3"/>
      <c r="F627" s="3"/>
      <c r="G627" s="3"/>
      <c r="H627" s="3"/>
      <c r="I627" s="3"/>
    </row>
    <row r="628" spans="1:9" x14ac:dyDescent="0.25">
      <c r="A628" s="3"/>
      <c r="B628" s="3"/>
      <c r="C628" s="3"/>
      <c r="D628" s="3"/>
      <c r="E628" s="3"/>
      <c r="F628" s="3"/>
      <c r="G628" s="3"/>
      <c r="H628" s="3"/>
      <c r="I628" s="3"/>
    </row>
    <row r="629" spans="1:9" x14ac:dyDescent="0.25">
      <c r="A629" s="3"/>
      <c r="B629" s="3"/>
      <c r="C629" s="3"/>
      <c r="D629" s="3"/>
      <c r="E629" s="3"/>
      <c r="F629" s="3"/>
      <c r="G629" s="3"/>
      <c r="H629" s="3"/>
      <c r="I629" s="3"/>
    </row>
    <row r="630" spans="1:9" x14ac:dyDescent="0.25">
      <c r="A630" s="3"/>
      <c r="B630" s="3"/>
      <c r="C630" s="3"/>
      <c r="D630" s="3"/>
      <c r="E630" s="3"/>
      <c r="F630" s="3"/>
      <c r="G630" s="3"/>
      <c r="H630" s="3"/>
      <c r="I630" s="3"/>
    </row>
    <row r="631" spans="1:9" x14ac:dyDescent="0.25">
      <c r="A631" s="3"/>
      <c r="B631" s="3"/>
      <c r="C631" s="3"/>
      <c r="D631" s="3"/>
      <c r="E631" s="3"/>
      <c r="F631" s="3"/>
      <c r="G631" s="3"/>
      <c r="H631" s="3"/>
      <c r="I631" s="3"/>
    </row>
    <row r="632" spans="1:9" x14ac:dyDescent="0.25">
      <c r="A632" s="3"/>
      <c r="B632" s="3"/>
      <c r="C632" s="3"/>
      <c r="D632" s="3"/>
      <c r="E632" s="3"/>
      <c r="F632" s="3"/>
      <c r="G632" s="3"/>
      <c r="H632" s="3"/>
      <c r="I632" s="3"/>
    </row>
    <row r="633" spans="1:9" x14ac:dyDescent="0.25">
      <c r="A633" s="3"/>
      <c r="B633" s="3"/>
      <c r="C633" s="3"/>
      <c r="D633" s="3"/>
      <c r="E633" s="3"/>
      <c r="F633" s="3"/>
      <c r="G633" s="3"/>
      <c r="H633" s="3"/>
      <c r="I633" s="3"/>
    </row>
    <row r="634" spans="1:9" x14ac:dyDescent="0.25">
      <c r="A634" s="3"/>
      <c r="B634" s="3"/>
      <c r="C634" s="3"/>
      <c r="D634" s="3"/>
      <c r="E634" s="3"/>
      <c r="F634" s="3"/>
      <c r="G634" s="3"/>
      <c r="H634" s="3"/>
      <c r="I634" s="3"/>
    </row>
    <row r="635" spans="1:9" x14ac:dyDescent="0.25">
      <c r="A635" s="3"/>
      <c r="B635" s="3"/>
      <c r="C635" s="3"/>
      <c r="D635" s="3"/>
      <c r="E635" s="3"/>
      <c r="F635" s="3"/>
      <c r="G635" s="3"/>
      <c r="H635" s="3"/>
      <c r="I635" s="3"/>
    </row>
    <row r="636" spans="1:9" x14ac:dyDescent="0.25">
      <c r="A636" s="3"/>
      <c r="B636" s="3"/>
      <c r="C636" s="3"/>
      <c r="D636" s="3"/>
      <c r="E636" s="3"/>
      <c r="F636" s="3"/>
      <c r="G636" s="3"/>
      <c r="H636" s="3"/>
      <c r="I636" s="3"/>
    </row>
    <row r="637" spans="1:9" x14ac:dyDescent="0.25">
      <c r="A637" s="3"/>
      <c r="B637" s="3"/>
      <c r="C637" s="3"/>
      <c r="D637" s="3"/>
      <c r="E637" s="3"/>
      <c r="F637" s="3"/>
      <c r="G637" s="3"/>
      <c r="H637" s="3"/>
      <c r="I637" s="3"/>
    </row>
    <row r="638" spans="1:9" x14ac:dyDescent="0.25">
      <c r="A638" s="3"/>
      <c r="B638" s="3"/>
      <c r="C638" s="3"/>
      <c r="D638" s="3"/>
      <c r="E638" s="3"/>
      <c r="F638" s="3"/>
      <c r="G638" s="3"/>
      <c r="H638" s="3"/>
      <c r="I638" s="3"/>
    </row>
    <row r="639" spans="1:9" x14ac:dyDescent="0.25">
      <c r="A639" s="3"/>
      <c r="B639" s="3"/>
      <c r="C639" s="3"/>
      <c r="D639" s="3"/>
      <c r="E639" s="3"/>
      <c r="F639" s="3"/>
      <c r="G639" s="3"/>
      <c r="H639" s="3"/>
      <c r="I639" s="3"/>
    </row>
    <row r="640" spans="1:9" x14ac:dyDescent="0.25">
      <c r="A640" s="3"/>
      <c r="B640" s="3"/>
      <c r="C640" s="3"/>
      <c r="D640" s="3"/>
      <c r="E640" s="3"/>
      <c r="F640" s="3"/>
      <c r="G640" s="3"/>
      <c r="H640" s="3"/>
      <c r="I640" s="3"/>
    </row>
    <row r="641" spans="1:9" x14ac:dyDescent="0.25">
      <c r="A641" s="3"/>
      <c r="B641" s="3"/>
      <c r="C641" s="3"/>
      <c r="D641" s="3"/>
      <c r="E641" s="3"/>
      <c r="F641" s="3"/>
      <c r="G641" s="3"/>
      <c r="H641" s="3"/>
      <c r="I641" s="3"/>
    </row>
    <row r="642" spans="1:9" x14ac:dyDescent="0.25">
      <c r="A642" s="3"/>
      <c r="B642" s="3"/>
      <c r="C642" s="3"/>
      <c r="D642" s="3"/>
      <c r="E642" s="3"/>
      <c r="F642" s="3"/>
      <c r="G642" s="3"/>
      <c r="H642" s="3"/>
      <c r="I642" s="3"/>
    </row>
    <row r="643" spans="1:9" x14ac:dyDescent="0.25">
      <c r="A643" s="3"/>
      <c r="B643" s="3"/>
      <c r="C643" s="3"/>
      <c r="D643" s="3"/>
      <c r="E643" s="3"/>
      <c r="F643" s="3"/>
      <c r="G643" s="3"/>
      <c r="H643" s="3"/>
      <c r="I643" s="3"/>
    </row>
    <row r="644" spans="1:9" x14ac:dyDescent="0.25">
      <c r="A644" s="3"/>
      <c r="B644" s="3"/>
      <c r="C644" s="3"/>
      <c r="D644" s="3"/>
      <c r="E644" s="3"/>
      <c r="F644" s="3"/>
      <c r="G644" s="3"/>
      <c r="H644" s="3"/>
      <c r="I644" s="3"/>
    </row>
    <row r="645" spans="1:9" x14ac:dyDescent="0.25">
      <c r="A645" s="3"/>
      <c r="B645" s="3"/>
      <c r="C645" s="3"/>
      <c r="D645" s="3"/>
      <c r="E645" s="3"/>
      <c r="F645" s="3"/>
      <c r="G645" s="3"/>
      <c r="H645" s="3"/>
      <c r="I645" s="3"/>
    </row>
    <row r="646" spans="1:9" x14ac:dyDescent="0.25">
      <c r="A646" s="3"/>
      <c r="B646" s="3"/>
      <c r="C646" s="3"/>
      <c r="D646" s="3"/>
      <c r="E646" s="3"/>
      <c r="F646" s="3"/>
      <c r="G646" s="3"/>
      <c r="H646" s="3"/>
      <c r="I646" s="3"/>
    </row>
    <row r="647" spans="1:9" x14ac:dyDescent="0.25">
      <c r="A647" s="3"/>
      <c r="B647" s="3"/>
      <c r="C647" s="3"/>
      <c r="D647" s="3"/>
      <c r="E647" s="3"/>
      <c r="F647" s="3"/>
      <c r="G647" s="3"/>
      <c r="H647" s="3"/>
      <c r="I647" s="3"/>
    </row>
    <row r="648" spans="1:9" x14ac:dyDescent="0.25">
      <c r="A648" s="3"/>
      <c r="B648" s="3"/>
      <c r="C648" s="3"/>
      <c r="D648" s="3"/>
      <c r="E648" s="3"/>
      <c r="F648" s="3"/>
      <c r="G648" s="3"/>
      <c r="H648" s="3"/>
      <c r="I648" s="3"/>
    </row>
    <row r="649" spans="1:9" x14ac:dyDescent="0.25">
      <c r="A649" s="3"/>
      <c r="B649" s="3"/>
      <c r="C649" s="3"/>
      <c r="D649" s="3"/>
      <c r="E649" s="3"/>
      <c r="F649" s="3"/>
      <c r="G649" s="3"/>
      <c r="H649" s="3"/>
      <c r="I649" s="3"/>
    </row>
    <row r="650" spans="1:9" x14ac:dyDescent="0.25">
      <c r="A650" s="3"/>
      <c r="B650" s="3"/>
      <c r="C650" s="3"/>
      <c r="D650" s="3"/>
      <c r="E650" s="3"/>
      <c r="F650" s="3"/>
      <c r="G650" s="3"/>
      <c r="H650" s="3"/>
      <c r="I650" s="3"/>
    </row>
    <row r="651" spans="1:9" x14ac:dyDescent="0.25">
      <c r="A651" s="3"/>
      <c r="B651" s="3"/>
      <c r="C651" s="3"/>
      <c r="D651" s="3"/>
      <c r="E651" s="3"/>
      <c r="F651" s="3"/>
      <c r="G651" s="3"/>
      <c r="H651" s="3"/>
      <c r="I651" s="3"/>
    </row>
    <row r="652" spans="1:9" x14ac:dyDescent="0.25">
      <c r="A652" s="3"/>
      <c r="B652" s="3"/>
      <c r="C652" s="3"/>
      <c r="D652" s="3"/>
      <c r="E652" s="3"/>
      <c r="F652" s="3"/>
      <c r="G652" s="3"/>
      <c r="H652" s="3"/>
      <c r="I652" s="3"/>
    </row>
    <row r="653" spans="1:9" x14ac:dyDescent="0.25">
      <c r="A653" s="3"/>
      <c r="B653" s="3"/>
      <c r="C653" s="3"/>
      <c r="D653" s="3"/>
      <c r="E653" s="3"/>
      <c r="F653" s="3"/>
      <c r="G653" s="3"/>
      <c r="H653" s="3"/>
      <c r="I653" s="3"/>
    </row>
    <row r="654" spans="1:9" x14ac:dyDescent="0.25">
      <c r="A654" s="3"/>
      <c r="B654" s="3"/>
      <c r="C654" s="3"/>
      <c r="D654" s="3"/>
      <c r="E654" s="3"/>
      <c r="F654" s="3"/>
      <c r="G654" s="3"/>
      <c r="H654" s="3"/>
      <c r="I654" s="3"/>
    </row>
    <row r="655" spans="1:9" x14ac:dyDescent="0.25">
      <c r="A655" s="3"/>
      <c r="B655" s="3"/>
      <c r="C655" s="3"/>
      <c r="D655" s="3"/>
      <c r="E655" s="3"/>
      <c r="F655" s="3"/>
      <c r="G655" s="3"/>
      <c r="H655" s="3"/>
      <c r="I655" s="3"/>
    </row>
    <row r="656" spans="1:9" x14ac:dyDescent="0.25">
      <c r="A656" s="3"/>
      <c r="B656" s="3"/>
      <c r="C656" s="3"/>
      <c r="D656" s="3"/>
      <c r="E656" s="3"/>
      <c r="F656" s="3"/>
      <c r="G656" s="3"/>
      <c r="H656" s="3"/>
      <c r="I656" s="3"/>
    </row>
    <row r="657" spans="1:9" x14ac:dyDescent="0.25">
      <c r="A657" s="3"/>
      <c r="B657" s="3"/>
      <c r="C657" s="3"/>
      <c r="D657" s="3"/>
      <c r="E657" s="3"/>
      <c r="F657" s="3"/>
      <c r="G657" s="3"/>
      <c r="H657" s="3"/>
      <c r="I657" s="3"/>
    </row>
    <row r="658" spans="1:9" x14ac:dyDescent="0.25">
      <c r="A658" s="3"/>
      <c r="B658" s="3"/>
      <c r="C658" s="3"/>
      <c r="D658" s="3"/>
      <c r="E658" s="3"/>
      <c r="F658" s="3"/>
      <c r="G658" s="3"/>
      <c r="H658" s="3"/>
      <c r="I658" s="3"/>
    </row>
    <row r="659" spans="1:9" x14ac:dyDescent="0.25">
      <c r="A659" s="3"/>
      <c r="B659" s="3"/>
      <c r="C659" s="3"/>
      <c r="D659" s="3"/>
      <c r="E659" s="3"/>
      <c r="F659" s="3"/>
      <c r="G659" s="3"/>
      <c r="H659" s="3"/>
      <c r="I659" s="3"/>
    </row>
    <row r="660" spans="1:9" x14ac:dyDescent="0.25">
      <c r="A660" s="3"/>
      <c r="B660" s="3"/>
      <c r="C660" s="3"/>
      <c r="D660" s="3"/>
      <c r="E660" s="3"/>
      <c r="F660" s="3"/>
      <c r="G660" s="3"/>
      <c r="H660" s="3"/>
      <c r="I660" s="3"/>
    </row>
    <row r="661" spans="1:9" x14ac:dyDescent="0.25">
      <c r="A661" s="3"/>
      <c r="B661" s="3"/>
      <c r="C661" s="3"/>
      <c r="D661" s="3"/>
      <c r="E661" s="3"/>
      <c r="F661" s="3"/>
      <c r="G661" s="3"/>
      <c r="H661" s="3"/>
      <c r="I661" s="3"/>
    </row>
    <row r="662" spans="1:9" x14ac:dyDescent="0.25">
      <c r="A662" s="3"/>
      <c r="B662" s="3"/>
      <c r="C662" s="3"/>
      <c r="D662" s="3"/>
      <c r="E662" s="3"/>
      <c r="F662" s="3"/>
      <c r="G662" s="3"/>
      <c r="H662" s="3"/>
      <c r="I662" s="3"/>
    </row>
    <row r="663" spans="1:9" x14ac:dyDescent="0.25">
      <c r="A663" s="3"/>
      <c r="B663" s="3"/>
      <c r="C663" s="3"/>
      <c r="D663" s="3"/>
      <c r="E663" s="3"/>
      <c r="F663" s="3"/>
      <c r="G663" s="3"/>
      <c r="H663" s="3"/>
      <c r="I663" s="3"/>
    </row>
    <row r="664" spans="1:9" x14ac:dyDescent="0.25">
      <c r="A664" s="3"/>
      <c r="B664" s="3"/>
      <c r="C664" s="3"/>
      <c r="D664" s="3"/>
      <c r="E664" s="3"/>
      <c r="F664" s="3"/>
      <c r="G664" s="3"/>
      <c r="H664" s="3"/>
      <c r="I664" s="3"/>
    </row>
    <row r="665" spans="1:9" x14ac:dyDescent="0.25">
      <c r="A665" s="3"/>
      <c r="B665" s="3"/>
      <c r="C665" s="3"/>
      <c r="D665" s="3"/>
      <c r="E665" s="3"/>
      <c r="F665" s="3"/>
      <c r="G665" s="3"/>
      <c r="H665" s="3"/>
      <c r="I665" s="3"/>
    </row>
    <row r="666" spans="1:9" x14ac:dyDescent="0.25">
      <c r="A666" s="3"/>
      <c r="B666" s="3"/>
      <c r="C666" s="3"/>
      <c r="D666" s="3"/>
      <c r="E666" s="3"/>
      <c r="F666" s="3"/>
      <c r="G666" s="3"/>
      <c r="H666" s="3"/>
      <c r="I666" s="3"/>
    </row>
    <row r="667" spans="1:9" x14ac:dyDescent="0.25">
      <c r="A667" s="3"/>
      <c r="B667" s="3"/>
      <c r="C667" s="3"/>
      <c r="D667" s="3"/>
      <c r="E667" s="3"/>
      <c r="F667" s="3"/>
      <c r="G667" s="3"/>
      <c r="H667" s="3"/>
      <c r="I667" s="3"/>
    </row>
    <row r="668" spans="1:9" x14ac:dyDescent="0.25">
      <c r="A668" s="3"/>
      <c r="B668" s="3"/>
      <c r="C668" s="3"/>
      <c r="D668" s="3"/>
      <c r="E668" s="3"/>
      <c r="F668" s="3"/>
      <c r="G668" s="3"/>
      <c r="H668" s="3"/>
      <c r="I668" s="3"/>
    </row>
    <row r="669" spans="1:9" x14ac:dyDescent="0.25">
      <c r="A669" s="3"/>
      <c r="B669" s="3"/>
      <c r="C669" s="3"/>
      <c r="D669" s="3"/>
      <c r="E669" s="3"/>
      <c r="F669" s="3"/>
      <c r="G669" s="3"/>
      <c r="H669" s="3"/>
      <c r="I669" s="3"/>
    </row>
    <row r="670" spans="1:9" x14ac:dyDescent="0.25">
      <c r="A670" s="3"/>
      <c r="B670" s="3"/>
      <c r="C670" s="3"/>
      <c r="D670" s="3"/>
      <c r="E670" s="3"/>
      <c r="F670" s="3"/>
      <c r="G670" s="3"/>
      <c r="H670" s="3"/>
      <c r="I670" s="3"/>
    </row>
    <row r="671" spans="1:9" x14ac:dyDescent="0.25">
      <c r="A671" s="3"/>
      <c r="B671" s="3"/>
      <c r="C671" s="3"/>
      <c r="D671" s="3"/>
      <c r="E671" s="3"/>
      <c r="F671" s="3"/>
      <c r="G671" s="3"/>
      <c r="H671" s="3"/>
      <c r="I671" s="3"/>
    </row>
    <row r="672" spans="1:9" x14ac:dyDescent="0.25">
      <c r="A672" s="3"/>
      <c r="B672" s="3"/>
      <c r="C672" s="3"/>
      <c r="D672" s="3"/>
      <c r="E672" s="3"/>
      <c r="F672" s="3"/>
      <c r="G672" s="3"/>
      <c r="H672" s="3"/>
      <c r="I672" s="3"/>
    </row>
    <row r="673" spans="1:9" x14ac:dyDescent="0.25">
      <c r="A673" s="3"/>
      <c r="B673" s="3"/>
      <c r="C673" s="3"/>
      <c r="D673" s="3"/>
      <c r="E673" s="3"/>
      <c r="F673" s="3"/>
      <c r="G673" s="3"/>
      <c r="H673" s="3"/>
      <c r="I673" s="3"/>
    </row>
    <row r="674" spans="1:9" x14ac:dyDescent="0.25">
      <c r="A674" s="3"/>
      <c r="B674" s="3"/>
      <c r="C674" s="3"/>
      <c r="D674" s="3"/>
      <c r="E674" s="3"/>
      <c r="F674" s="3"/>
      <c r="G674" s="3"/>
      <c r="H674" s="3"/>
      <c r="I674" s="3"/>
    </row>
    <row r="675" spans="1:9" x14ac:dyDescent="0.25">
      <c r="A675" s="3"/>
      <c r="B675" s="3"/>
      <c r="C675" s="3"/>
      <c r="D675" s="3"/>
      <c r="E675" s="3"/>
      <c r="F675" s="3"/>
      <c r="G675" s="3"/>
      <c r="H675" s="3"/>
      <c r="I675" s="3"/>
    </row>
    <row r="676" spans="1:9" x14ac:dyDescent="0.25">
      <c r="A676" s="3"/>
      <c r="B676" s="3"/>
      <c r="C676" s="3"/>
      <c r="D676" s="3"/>
      <c r="E676" s="3"/>
      <c r="F676" s="3"/>
      <c r="G676" s="3"/>
      <c r="H676" s="3"/>
      <c r="I676" s="3"/>
    </row>
    <row r="677" spans="1:9" x14ac:dyDescent="0.25">
      <c r="A677" s="3"/>
      <c r="B677" s="3"/>
      <c r="C677" s="3"/>
      <c r="D677" s="3"/>
      <c r="E677" s="3"/>
      <c r="F677" s="3"/>
      <c r="G677" s="3"/>
      <c r="H677" s="3"/>
      <c r="I677" s="3"/>
    </row>
    <row r="678" spans="1:9" x14ac:dyDescent="0.25">
      <c r="A678" s="3"/>
      <c r="B678" s="3"/>
      <c r="C678" s="3"/>
      <c r="D678" s="3"/>
      <c r="E678" s="3"/>
      <c r="F678" s="3"/>
      <c r="G678" s="3"/>
      <c r="H678" s="3"/>
      <c r="I678" s="3"/>
    </row>
    <row r="679" spans="1:9" x14ac:dyDescent="0.25">
      <c r="A679" s="3"/>
      <c r="B679" s="3"/>
      <c r="C679" s="3"/>
      <c r="D679" s="3"/>
      <c r="E679" s="3"/>
      <c r="F679" s="3"/>
      <c r="G679" s="3"/>
      <c r="H679" s="3"/>
      <c r="I679" s="3"/>
    </row>
    <row r="680" spans="1:9" x14ac:dyDescent="0.25">
      <c r="A680" s="3"/>
      <c r="B680" s="3"/>
      <c r="C680" s="3"/>
      <c r="D680" s="3"/>
      <c r="E680" s="3"/>
      <c r="F680" s="3"/>
      <c r="G680" s="3"/>
      <c r="H680" s="3"/>
      <c r="I680" s="3"/>
    </row>
    <row r="681" spans="1:9" x14ac:dyDescent="0.25">
      <c r="A681" s="3"/>
      <c r="B681" s="3"/>
      <c r="C681" s="3"/>
      <c r="D681" s="3"/>
      <c r="E681" s="3"/>
      <c r="F681" s="3"/>
      <c r="G681" s="3"/>
      <c r="H681" s="3"/>
      <c r="I681" s="3"/>
    </row>
    <row r="682" spans="1:9" x14ac:dyDescent="0.25">
      <c r="A682" s="3"/>
      <c r="B682" s="3"/>
      <c r="C682" s="3"/>
      <c r="D682" s="3"/>
      <c r="E682" s="3"/>
      <c r="F682" s="3"/>
      <c r="G682" s="3"/>
      <c r="H682" s="3"/>
      <c r="I682" s="3"/>
    </row>
    <row r="683" spans="1:9" x14ac:dyDescent="0.25">
      <c r="A683" s="3"/>
      <c r="B683" s="3"/>
      <c r="C683" s="3"/>
      <c r="D683" s="3"/>
      <c r="E683" s="3"/>
      <c r="F683" s="3"/>
      <c r="G683" s="3"/>
      <c r="H683" s="3"/>
      <c r="I683" s="3"/>
    </row>
    <row r="684" spans="1:9" x14ac:dyDescent="0.25">
      <c r="A684" s="3"/>
      <c r="B684" s="3"/>
      <c r="C684" s="3"/>
      <c r="D684" s="3"/>
      <c r="E684" s="3"/>
      <c r="F684" s="3"/>
      <c r="G684" s="3"/>
      <c r="H684" s="3"/>
      <c r="I684" s="3"/>
    </row>
    <row r="685" spans="1:9" x14ac:dyDescent="0.25">
      <c r="A685" s="3"/>
      <c r="B685" s="3"/>
      <c r="C685" s="3"/>
      <c r="D685" s="3"/>
      <c r="E685" s="3"/>
      <c r="F685" s="3"/>
      <c r="G685" s="3"/>
      <c r="H685" s="3"/>
      <c r="I685" s="3"/>
    </row>
    <row r="686" spans="1:9" x14ac:dyDescent="0.25">
      <c r="A686" s="3"/>
      <c r="B686" s="3"/>
      <c r="C686" s="3"/>
      <c r="D686" s="3"/>
      <c r="E686" s="3"/>
      <c r="F686" s="3"/>
      <c r="G686" s="3"/>
      <c r="H686" s="3"/>
      <c r="I686" s="3"/>
    </row>
    <row r="687" spans="1:9" x14ac:dyDescent="0.25">
      <c r="A687" s="3"/>
      <c r="B687" s="3"/>
      <c r="C687" s="3"/>
      <c r="D687" s="3"/>
      <c r="E687" s="3"/>
      <c r="F687" s="3"/>
      <c r="G687" s="3"/>
      <c r="H687" s="3"/>
      <c r="I687" s="3"/>
    </row>
    <row r="688" spans="1:9" x14ac:dyDescent="0.25">
      <c r="A688" s="3"/>
      <c r="B688" s="3"/>
      <c r="C688" s="3"/>
      <c r="D688" s="3"/>
      <c r="E688" s="3"/>
      <c r="F688" s="3"/>
      <c r="G688" s="3"/>
      <c r="H688" s="3"/>
      <c r="I688" s="3"/>
    </row>
    <row r="689" spans="1:9" x14ac:dyDescent="0.25">
      <c r="A689" s="3"/>
      <c r="B689" s="3"/>
      <c r="C689" s="3"/>
      <c r="D689" s="3"/>
      <c r="E689" s="3"/>
      <c r="F689" s="3"/>
      <c r="G689" s="3"/>
      <c r="H689" s="3"/>
      <c r="I689" s="3"/>
    </row>
    <row r="690" spans="1:9" x14ac:dyDescent="0.25">
      <c r="A690" s="3"/>
      <c r="B690" s="3"/>
      <c r="C690" s="3"/>
      <c r="D690" s="3"/>
      <c r="E690" s="3"/>
      <c r="F690" s="3"/>
      <c r="G690" s="3"/>
      <c r="H690" s="3"/>
      <c r="I690" s="3"/>
    </row>
    <row r="691" spans="1:9" x14ac:dyDescent="0.25">
      <c r="A691" s="3"/>
      <c r="B691" s="3"/>
      <c r="C691" s="3"/>
      <c r="D691" s="3"/>
      <c r="E691" s="3"/>
      <c r="F691" s="3"/>
      <c r="G691" s="3"/>
      <c r="H691" s="3"/>
      <c r="I691" s="3"/>
    </row>
    <row r="692" spans="1:9" x14ac:dyDescent="0.25">
      <c r="A692" s="3"/>
      <c r="B692" s="3"/>
      <c r="C692" s="3"/>
      <c r="D692" s="3"/>
      <c r="E692" s="3"/>
      <c r="F692" s="3"/>
      <c r="G692" s="3"/>
      <c r="H692" s="3"/>
      <c r="I692" s="3"/>
    </row>
    <row r="693" spans="1:9" x14ac:dyDescent="0.25">
      <c r="A693" s="3"/>
      <c r="B693" s="3"/>
      <c r="C693" s="3"/>
      <c r="D693" s="3"/>
      <c r="E693" s="3"/>
      <c r="F693" s="3"/>
      <c r="G693" s="3"/>
      <c r="H693" s="3"/>
      <c r="I693" s="3"/>
    </row>
    <row r="694" spans="1:9" x14ac:dyDescent="0.25">
      <c r="A694" s="3"/>
      <c r="B694" s="3"/>
      <c r="C694" s="3"/>
      <c r="D694" s="3"/>
      <c r="E694" s="3"/>
      <c r="F694" s="3"/>
      <c r="G694" s="3"/>
      <c r="H694" s="3"/>
      <c r="I694" s="3"/>
    </row>
    <row r="695" spans="1:9" x14ac:dyDescent="0.25">
      <c r="A695" s="3"/>
      <c r="B695" s="3"/>
      <c r="C695" s="3"/>
      <c r="D695" s="3"/>
      <c r="E695" s="3"/>
      <c r="F695" s="3"/>
      <c r="G695" s="3"/>
      <c r="H695" s="3"/>
      <c r="I695" s="3"/>
    </row>
    <row r="696" spans="1:9" x14ac:dyDescent="0.25">
      <c r="A696" s="3"/>
      <c r="B696" s="3"/>
      <c r="C696" s="3"/>
      <c r="D696" s="3"/>
      <c r="E696" s="3"/>
      <c r="F696" s="3"/>
      <c r="G696" s="3"/>
      <c r="H696" s="3"/>
      <c r="I696" s="3"/>
    </row>
    <row r="697" spans="1:9" x14ac:dyDescent="0.25">
      <c r="A697" s="3"/>
      <c r="B697" s="3"/>
      <c r="C697" s="3"/>
      <c r="D697" s="3"/>
      <c r="E697" s="3"/>
      <c r="F697" s="3"/>
      <c r="G697" s="3"/>
      <c r="H697" s="3"/>
      <c r="I697" s="3"/>
    </row>
    <row r="698" spans="1:9" x14ac:dyDescent="0.25">
      <c r="A698" s="3"/>
      <c r="B698" s="3"/>
      <c r="C698" s="3"/>
      <c r="D698" s="3"/>
      <c r="E698" s="3"/>
      <c r="F698" s="3"/>
      <c r="G698" s="3"/>
      <c r="H698" s="3"/>
      <c r="I698" s="3"/>
    </row>
    <row r="699" spans="1:9" x14ac:dyDescent="0.25">
      <c r="A699" s="3"/>
      <c r="B699" s="3"/>
      <c r="C699" s="3"/>
      <c r="D699" s="3"/>
      <c r="E699" s="3"/>
      <c r="F699" s="3"/>
      <c r="G699" s="3"/>
      <c r="H699" s="3"/>
      <c r="I699" s="3"/>
    </row>
    <row r="700" spans="1:9" x14ac:dyDescent="0.25">
      <c r="A700" s="3"/>
      <c r="B700" s="3"/>
      <c r="C700" s="3"/>
      <c r="D700" s="3"/>
      <c r="E700" s="3"/>
      <c r="F700" s="3"/>
      <c r="G700" s="3"/>
      <c r="H700" s="3"/>
      <c r="I700" s="3"/>
    </row>
    <row r="701" spans="1:9" x14ac:dyDescent="0.25">
      <c r="A701" s="3"/>
      <c r="B701" s="3"/>
      <c r="C701" s="3"/>
      <c r="D701" s="3"/>
      <c r="E701" s="3"/>
      <c r="F701" s="3"/>
      <c r="G701" s="3"/>
      <c r="H701" s="3"/>
      <c r="I701" s="3"/>
    </row>
    <row r="702" spans="1:9" x14ac:dyDescent="0.25">
      <c r="A702" s="3"/>
      <c r="B702" s="3"/>
      <c r="C702" s="3"/>
      <c r="D702" s="3"/>
      <c r="E702" s="3"/>
      <c r="F702" s="3"/>
      <c r="G702" s="3"/>
      <c r="H702" s="3"/>
      <c r="I702" s="3"/>
    </row>
    <row r="703" spans="1:9" x14ac:dyDescent="0.25">
      <c r="A703" s="3"/>
      <c r="B703" s="3"/>
      <c r="C703" s="3"/>
      <c r="D703" s="3"/>
      <c r="E703" s="3"/>
      <c r="F703" s="3"/>
      <c r="G703" s="3"/>
      <c r="H703" s="3"/>
      <c r="I703" s="3"/>
    </row>
    <row r="704" spans="1:9" x14ac:dyDescent="0.25">
      <c r="A704" s="3"/>
      <c r="B704" s="3"/>
      <c r="C704" s="3"/>
      <c r="D704" s="3"/>
      <c r="E704" s="3"/>
      <c r="F704" s="3"/>
      <c r="G704" s="3"/>
      <c r="H704" s="3"/>
      <c r="I704" s="3"/>
    </row>
    <row r="705" spans="1:9" x14ac:dyDescent="0.25">
      <c r="A705" s="3"/>
      <c r="B705" s="3"/>
      <c r="C705" s="3"/>
      <c r="D705" s="3"/>
      <c r="E705" s="3"/>
      <c r="F705" s="3"/>
      <c r="G705" s="3"/>
      <c r="H705" s="3"/>
      <c r="I705" s="3"/>
    </row>
    <row r="706" spans="1:9" x14ac:dyDescent="0.25">
      <c r="A706" s="3"/>
      <c r="B706" s="3"/>
      <c r="C706" s="3"/>
      <c r="D706" s="3"/>
      <c r="E706" s="3"/>
      <c r="F706" s="3"/>
      <c r="G706" s="3"/>
      <c r="H706" s="3"/>
      <c r="I706" s="3"/>
    </row>
    <row r="707" spans="1:9" x14ac:dyDescent="0.25">
      <c r="A707" s="3"/>
      <c r="B707" s="3"/>
      <c r="C707" s="3"/>
      <c r="D707" s="3"/>
      <c r="E707" s="3"/>
      <c r="F707" s="3"/>
      <c r="G707" s="3"/>
      <c r="H707" s="3"/>
      <c r="I707" s="3"/>
    </row>
    <row r="708" spans="1:9" x14ac:dyDescent="0.25">
      <c r="A708" s="3"/>
      <c r="B708" s="3"/>
      <c r="C708" s="3"/>
      <c r="D708" s="3"/>
      <c r="E708" s="3"/>
      <c r="F708" s="3"/>
      <c r="G708" s="3"/>
      <c r="H708" s="3"/>
      <c r="I708" s="3"/>
    </row>
    <row r="709" spans="1:9" x14ac:dyDescent="0.25">
      <c r="B709" s="3"/>
      <c r="C709" s="3"/>
      <c r="D709" s="3"/>
      <c r="E709" s="3"/>
      <c r="F709" s="3"/>
      <c r="G709" s="3"/>
      <c r="H709" s="3"/>
      <c r="I709" s="3"/>
    </row>
    <row r="710" spans="1:9" x14ac:dyDescent="0.25">
      <c r="B710" s="3"/>
      <c r="C710" s="3"/>
      <c r="D710" s="3"/>
      <c r="E710" s="3"/>
      <c r="F710" s="3"/>
      <c r="G710" s="3"/>
      <c r="H710" s="3"/>
      <c r="I710" s="3"/>
    </row>
    <row r="711" spans="1:9" x14ac:dyDescent="0.25">
      <c r="B711" s="3"/>
      <c r="C711" s="3"/>
      <c r="D711" s="3"/>
      <c r="E711" s="3"/>
      <c r="F711" s="3"/>
      <c r="G711" s="3"/>
      <c r="H711" s="3"/>
      <c r="I711" s="3"/>
    </row>
    <row r="712" spans="1:9" x14ac:dyDescent="0.25">
      <c r="B712" s="3"/>
      <c r="C712" s="3"/>
      <c r="D712" s="3"/>
      <c r="E712" s="3"/>
      <c r="F712" s="3"/>
      <c r="G712" s="3"/>
      <c r="H712" s="3"/>
      <c r="I712" s="3"/>
    </row>
    <row r="713" spans="1:9" x14ac:dyDescent="0.25">
      <c r="B713" s="3"/>
      <c r="C713" s="3"/>
      <c r="D713" s="3"/>
      <c r="E713" s="3"/>
      <c r="F713" s="3"/>
      <c r="G713" s="3"/>
      <c r="H713" s="3"/>
      <c r="I713" s="3"/>
    </row>
  </sheetData>
  <mergeCells count="5">
    <mergeCell ref="A8:F8"/>
    <mergeCell ref="A63:B63"/>
    <mergeCell ref="C63:D63"/>
    <mergeCell ref="C64:D64"/>
    <mergeCell ref="A64:B64"/>
  </mergeCells>
  <phoneticPr fontId="0" type="noConversion"/>
  <printOptions horizontalCentered="1" verticalCentered="1"/>
  <pageMargins left="0.5" right="0" top="0.35" bottom="0.05" header="0" footer="0"/>
  <pageSetup scale="94" orientation="portrait" horizontalDpi="360" verticalDpi="360"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pageSetUpPr autoPageBreaks="0" fitToPage="1"/>
  </sheetPr>
  <dimension ref="A1:J713"/>
  <sheetViews>
    <sheetView showGridLines="0" showZeros="0" workbookViewId="0"/>
  </sheetViews>
  <sheetFormatPr baseColWidth="10" defaultColWidth="8.88671875" defaultRowHeight="13.2" x14ac:dyDescent="0.25"/>
  <cols>
    <col min="1" max="1" width="21.33203125" customWidth="1"/>
    <col min="2" max="2" width="9.5546875" customWidth="1"/>
    <col min="3" max="3" width="13.88671875" customWidth="1"/>
    <col min="4" max="4" width="11.6640625" customWidth="1"/>
    <col min="5" max="5" width="10.44140625" customWidth="1"/>
    <col min="6" max="6" width="10.5546875" customWidth="1"/>
    <col min="7" max="7" width="4" customWidth="1"/>
    <col min="8" max="8" width="5.88671875" customWidth="1"/>
    <col min="9" max="9" width="9.44140625" customWidth="1"/>
    <col min="10" max="10" width="9.88671875" customWidth="1"/>
  </cols>
  <sheetData>
    <row r="1" spans="1:10" ht="14.25" customHeight="1" x14ac:dyDescent="0.25">
      <c r="A1" s="8"/>
      <c r="B1" s="9"/>
      <c r="C1" s="9"/>
      <c r="D1" s="9"/>
      <c r="E1" s="9"/>
      <c r="F1" s="9"/>
      <c r="G1" s="9"/>
      <c r="H1" s="9"/>
      <c r="I1" s="9"/>
      <c r="J1" s="10"/>
    </row>
    <row r="2" spans="1:10" ht="42" customHeight="1" thickBot="1" x14ac:dyDescent="0.35">
      <c r="A2" s="186"/>
      <c r="B2" s="48"/>
      <c r="C2" s="187"/>
      <c r="D2" s="50"/>
      <c r="E2" s="51"/>
      <c r="F2" s="52"/>
      <c r="G2" s="53"/>
      <c r="H2" s="53"/>
      <c r="I2" s="53"/>
      <c r="J2" s="54" t="str">
        <f>"EXTRA OBM-SBM PROPERTIES REPORT No. "&amp;[1]IFE!B166&amp;" "</f>
        <v xml:space="preserve">EXTRA OBM-SBM PROPERTIES REPORT No. 9 </v>
      </c>
    </row>
    <row r="3" spans="1:10" ht="9.9" customHeight="1" x14ac:dyDescent="0.25">
      <c r="A3" s="55" t="s">
        <v>11</v>
      </c>
      <c r="B3" s="56" t="str">
        <f xml:space="preserve"> [1]IFE!B6</f>
        <v>Cardon IV</v>
      </c>
      <c r="C3" s="57"/>
      <c r="D3" s="58" t="s">
        <v>13</v>
      </c>
      <c r="E3" s="59" t="str">
        <f xml:space="preserve"> [1]IFE!B9</f>
        <v>Golfo de Venezuela</v>
      </c>
      <c r="F3" s="4"/>
      <c r="G3" s="4"/>
      <c r="H3" s="58" t="s">
        <v>37</v>
      </c>
      <c r="I3" s="152" t="str">
        <f>[1]IFE!B120&amp;" "&amp;[1]IFE!B30&amp;" /"</f>
        <v>563 pies /</v>
      </c>
      <c r="J3" s="151" t="str">
        <f>[1]IFE!B121&amp;" "&amp;[1]IFE!B30</f>
        <v>563 pies</v>
      </c>
    </row>
    <row r="4" spans="1:10" ht="9.9" customHeight="1" x14ac:dyDescent="0.25">
      <c r="A4" s="61" t="s">
        <v>12</v>
      </c>
      <c r="B4" s="62" t="str">
        <f xml:space="preserve"> [1]IFE!B125</f>
        <v>Gerrit Ham / Jhony Quintero</v>
      </c>
      <c r="C4" s="63"/>
      <c r="D4" s="64" t="s">
        <v>38</v>
      </c>
      <c r="E4" s="62" t="str">
        <f>[1]IFE!B10</f>
        <v>Exploratory</v>
      </c>
      <c r="H4" s="64" t="s">
        <v>5</v>
      </c>
      <c r="I4" s="153">
        <f>[1]IFE!B119</f>
        <v>39989</v>
      </c>
      <c r="J4" s="244"/>
    </row>
    <row r="5" spans="1:10" ht="9.9" customHeight="1" x14ac:dyDescent="0.25">
      <c r="A5" s="61" t="s">
        <v>7</v>
      </c>
      <c r="B5" s="62" t="str">
        <f xml:space="preserve"> [1]IFE!B8</f>
        <v>Perla-1X</v>
      </c>
      <c r="C5" s="63"/>
      <c r="D5" s="64" t="s">
        <v>16</v>
      </c>
      <c r="E5" s="62" t="str">
        <f>[1]IFE!B11</f>
        <v>Offshore</v>
      </c>
      <c r="H5" s="64" t="s">
        <v>14</v>
      </c>
      <c r="I5" s="153">
        <f>[1]IFE!B5</f>
        <v>39981</v>
      </c>
      <c r="J5" s="244"/>
    </row>
    <row r="6" spans="1:10" ht="11.1" customHeight="1" x14ac:dyDescent="0.25">
      <c r="A6" s="61" t="s">
        <v>15</v>
      </c>
      <c r="B6" s="62" t="str">
        <f xml:space="preserve"> [1]IFE!B15</f>
        <v>Ensco</v>
      </c>
      <c r="C6" s="63"/>
      <c r="D6" s="64" t="s">
        <v>107</v>
      </c>
      <c r="E6" s="65" t="str">
        <f>[1]IFE!B16&amp;" "&amp;[1]IFE!B30</f>
        <v>202 pies</v>
      </c>
      <c r="G6" s="66"/>
      <c r="H6" s="67" t="s">
        <v>4</v>
      </c>
      <c r="I6" s="155" t="str">
        <f>[1]IFE!B124</f>
        <v>Agua de mar / HI VIS</v>
      </c>
      <c r="J6" s="244"/>
    </row>
    <row r="7" spans="1:10" ht="11.1" customHeight="1" thickBot="1" x14ac:dyDescent="0.3">
      <c r="A7" s="68" t="s">
        <v>12</v>
      </c>
      <c r="B7" s="69" t="str">
        <f>[1]IFE!B126</f>
        <v>Ricky Otwell</v>
      </c>
      <c r="C7" s="70"/>
      <c r="D7" s="71" t="s">
        <v>237</v>
      </c>
      <c r="E7" s="69">
        <f>[1]IFE!Z981</f>
        <v>68</v>
      </c>
      <c r="F7" s="1"/>
      <c r="H7" s="64" t="s">
        <v>17</v>
      </c>
      <c r="I7" s="534" t="str">
        <f xml:space="preserve"> [1]IFE!B123</f>
        <v>Bajando Tuberia</v>
      </c>
      <c r="J7" s="535"/>
    </row>
    <row r="8" spans="1:10" ht="11.1" customHeight="1" thickBot="1" x14ac:dyDescent="0.3">
      <c r="A8" s="735" t="s">
        <v>240</v>
      </c>
      <c r="B8" s="736"/>
      <c r="C8" s="736"/>
      <c r="D8" s="736"/>
      <c r="E8" s="736"/>
      <c r="F8" s="737"/>
      <c r="G8" s="536"/>
      <c r="H8" s="537"/>
      <c r="I8" s="537"/>
      <c r="J8" s="240"/>
    </row>
    <row r="9" spans="1:10" ht="11.1" customHeight="1" x14ac:dyDescent="0.25">
      <c r="A9" s="586" t="s">
        <v>47</v>
      </c>
      <c r="B9" s="587"/>
      <c r="C9" s="83" t="str">
        <f>CONCATENATE(TEXT([1]IFE!C77," ")&amp;" "&amp;TEXT([1]IFE!C78,"H:MM"))</f>
        <v>TK  1 12:00</v>
      </c>
      <c r="D9" s="83" t="str">
        <f>CONCATENATE(TEXT([1]IFE!D77," ")&amp;" "&amp;TEXT([1]IFE!D78,"H:MM"))</f>
        <v xml:space="preserve">  0:00</v>
      </c>
      <c r="E9" s="83" t="str">
        <f>CONCATENATE(TEXT([1]IFE!E77," ")&amp;" "&amp;TEXT([1]IFE!E78,"H:MM"))</f>
        <v>TK  3 12:00</v>
      </c>
      <c r="F9" s="538" t="str">
        <f>CONCATENATE(TEXT([1]IFE!F77," ")&amp;" "&amp;TEXT([1]IFE!F78,"H:MM"))</f>
        <v>TK  3 0:00</v>
      </c>
      <c r="G9" s="539"/>
      <c r="H9" s="540"/>
      <c r="I9" s="541"/>
      <c r="J9" s="542"/>
    </row>
    <row r="10" spans="1:10" ht="9.9" customHeight="1" x14ac:dyDescent="0.25">
      <c r="A10" s="588">
        <f>[1]IFE!J2801</f>
        <v>0</v>
      </c>
      <c r="B10" s="589">
        <f>[1]IFE!K2801</f>
        <v>0</v>
      </c>
      <c r="C10" s="6">
        <f>[1]IFE!B2801</f>
        <v>0</v>
      </c>
      <c r="D10" s="6">
        <f>[1]IFE!C2801</f>
        <v>0</v>
      </c>
      <c r="E10" s="6">
        <f>[1]IFE!D2801</f>
        <v>0</v>
      </c>
      <c r="F10" s="6">
        <f>[1]IFE!E2801</f>
        <v>0</v>
      </c>
      <c r="G10" s="543"/>
      <c r="H10" s="544"/>
      <c r="I10" s="545"/>
      <c r="J10" s="546"/>
    </row>
    <row r="11" spans="1:10" ht="9.9" customHeight="1" x14ac:dyDescent="0.25">
      <c r="A11" s="588">
        <f>[1]IFE!J2802</f>
        <v>0</v>
      </c>
      <c r="B11" s="589">
        <f>[1]IFE!K2802</f>
        <v>0</v>
      </c>
      <c r="C11" s="6">
        <f>[1]IFE!B2802</f>
        <v>0</v>
      </c>
      <c r="D11" s="6">
        <f>[1]IFE!C2802</f>
        <v>0</v>
      </c>
      <c r="E11" s="6">
        <f>[1]IFE!D2802</f>
        <v>0</v>
      </c>
      <c r="F11" s="6">
        <f>[1]IFE!E2802</f>
        <v>0</v>
      </c>
      <c r="G11" s="539"/>
      <c r="H11" s="544"/>
      <c r="I11" s="545"/>
      <c r="J11" s="546"/>
    </row>
    <row r="12" spans="1:10" ht="9.9" customHeight="1" x14ac:dyDescent="0.25">
      <c r="A12" s="588">
        <f>[1]IFE!J2803</f>
        <v>0</v>
      </c>
      <c r="B12" s="589">
        <f>[1]IFE!K2803</f>
        <v>0</v>
      </c>
      <c r="C12" s="6">
        <f>[1]IFE!B2803</f>
        <v>0</v>
      </c>
      <c r="D12" s="6">
        <f>[1]IFE!C2803</f>
        <v>0</v>
      </c>
      <c r="E12" s="6">
        <f>[1]IFE!D2803</f>
        <v>0</v>
      </c>
      <c r="F12" s="6">
        <f>[1]IFE!E2803</f>
        <v>0</v>
      </c>
      <c r="G12" s="547"/>
      <c r="H12" s="548"/>
      <c r="I12" s="164"/>
      <c r="J12" s="549"/>
    </row>
    <row r="13" spans="1:10" ht="9.9" customHeight="1" x14ac:dyDescent="0.25">
      <c r="A13" s="588">
        <f>[1]IFE!J2804</f>
        <v>0</v>
      </c>
      <c r="B13" s="589">
        <f>[1]IFE!K2804</f>
        <v>0</v>
      </c>
      <c r="C13" s="6">
        <f>[1]IFE!B2804</f>
        <v>0</v>
      </c>
      <c r="D13" s="6">
        <f>[1]IFE!C2804</f>
        <v>0</v>
      </c>
      <c r="E13" s="6">
        <f>[1]IFE!D2804</f>
        <v>0</v>
      </c>
      <c r="F13" s="6">
        <f>[1]IFE!E2804</f>
        <v>0</v>
      </c>
      <c r="G13" s="543"/>
      <c r="H13" s="544"/>
      <c r="I13" s="550"/>
      <c r="J13" s="551"/>
    </row>
    <row r="14" spans="1:10" ht="9.9" customHeight="1" x14ac:dyDescent="0.25">
      <c r="A14" s="588">
        <f>[1]IFE!J2805</f>
        <v>0</v>
      </c>
      <c r="B14" s="589">
        <f>[1]IFE!K2805</f>
        <v>0</v>
      </c>
      <c r="C14" s="6">
        <f>[1]IFE!B2805</f>
        <v>0</v>
      </c>
      <c r="D14" s="6">
        <f>[1]IFE!C2805</f>
        <v>0</v>
      </c>
      <c r="E14" s="6">
        <f>[1]IFE!D2805</f>
        <v>0</v>
      </c>
      <c r="F14" s="6">
        <f>[1]IFE!E2805</f>
        <v>0</v>
      </c>
      <c r="G14" s="552"/>
      <c r="H14" s="544"/>
      <c r="I14" s="41"/>
      <c r="J14" s="551"/>
    </row>
    <row r="15" spans="1:10" ht="9.9" customHeight="1" x14ac:dyDescent="0.25">
      <c r="A15" s="588">
        <f>[1]IFE!J2806</f>
        <v>0</v>
      </c>
      <c r="B15" s="589">
        <f>[1]IFE!K2806</f>
        <v>0</v>
      </c>
      <c r="C15" s="6">
        <f>[1]IFE!B2806</f>
        <v>0</v>
      </c>
      <c r="D15" s="6">
        <f>[1]IFE!C2806</f>
        <v>0</v>
      </c>
      <c r="E15" s="6">
        <f>[1]IFE!D2806</f>
        <v>0</v>
      </c>
      <c r="F15" s="6">
        <f>[1]IFE!E2806</f>
        <v>0</v>
      </c>
      <c r="G15" s="543"/>
      <c r="H15" s="544"/>
      <c r="I15" s="553"/>
      <c r="J15" s="40"/>
    </row>
    <row r="16" spans="1:10" ht="9.9" customHeight="1" x14ac:dyDescent="0.25">
      <c r="A16" s="588">
        <f>[1]IFE!J2807</f>
        <v>0</v>
      </c>
      <c r="B16" s="589">
        <f>[1]IFE!K2807</f>
        <v>0</v>
      </c>
      <c r="C16" s="6">
        <f>[1]IFE!B2807</f>
        <v>0</v>
      </c>
      <c r="D16" s="6">
        <f>[1]IFE!C2807</f>
        <v>0</v>
      </c>
      <c r="E16" s="6">
        <f>[1]IFE!D2807</f>
        <v>0</v>
      </c>
      <c r="F16" s="6">
        <f>[1]IFE!E2807</f>
        <v>0</v>
      </c>
      <c r="G16" s="552"/>
      <c r="H16" s="544"/>
      <c r="I16" s="553"/>
      <c r="J16" s="40"/>
    </row>
    <row r="17" spans="1:10" ht="9.9" customHeight="1" x14ac:dyDescent="0.25">
      <c r="A17" s="588">
        <f>[1]IFE!J2808</f>
        <v>0</v>
      </c>
      <c r="B17" s="589">
        <f>[1]IFE!K2808</f>
        <v>0</v>
      </c>
      <c r="C17" s="6">
        <f>[1]IFE!B2808</f>
        <v>0</v>
      </c>
      <c r="D17" s="6">
        <f>[1]IFE!C2808</f>
        <v>0</v>
      </c>
      <c r="E17" s="6">
        <f>[1]IFE!D2808</f>
        <v>0</v>
      </c>
      <c r="F17" s="6">
        <f>[1]IFE!E2808</f>
        <v>0</v>
      </c>
      <c r="G17" s="554"/>
      <c r="H17" s="555"/>
      <c r="I17" s="555"/>
      <c r="J17" s="556"/>
    </row>
    <row r="18" spans="1:10" ht="9.9" customHeight="1" x14ac:dyDescent="0.25">
      <c r="A18" s="588">
        <f>[1]IFE!J2809</f>
        <v>0</v>
      </c>
      <c r="B18" s="589">
        <f>[1]IFE!K2809</f>
        <v>0</v>
      </c>
      <c r="C18" s="6">
        <f>[1]IFE!B2809</f>
        <v>0</v>
      </c>
      <c r="D18" s="6">
        <f>[1]IFE!C2809</f>
        <v>0</v>
      </c>
      <c r="E18" s="6">
        <f>[1]IFE!D2809</f>
        <v>0</v>
      </c>
      <c r="F18" s="6">
        <f>[1]IFE!E2809</f>
        <v>0</v>
      </c>
      <c r="G18" s="557"/>
      <c r="H18" s="558"/>
      <c r="I18" s="559"/>
      <c r="J18" s="560"/>
    </row>
    <row r="19" spans="1:10" ht="9.9" customHeight="1" x14ac:dyDescent="0.25">
      <c r="A19" s="588">
        <f>[1]IFE!J2810</f>
        <v>0</v>
      </c>
      <c r="B19" s="589">
        <f>[1]IFE!K2810</f>
        <v>0</v>
      </c>
      <c r="C19" s="6">
        <f>[1]IFE!B2810</f>
        <v>0</v>
      </c>
      <c r="D19" s="6">
        <f>[1]IFE!C2810</f>
        <v>0</v>
      </c>
      <c r="E19" s="6">
        <f>[1]IFE!D2810</f>
        <v>0</v>
      </c>
      <c r="F19" s="6">
        <f>[1]IFE!E2810</f>
        <v>0</v>
      </c>
      <c r="G19" s="561"/>
      <c r="H19" s="562"/>
      <c r="I19" s="41"/>
      <c r="J19" s="563"/>
    </row>
    <row r="20" spans="1:10" ht="9.9" customHeight="1" x14ac:dyDescent="0.25">
      <c r="A20" s="588">
        <f>[1]IFE!J2811</f>
        <v>0</v>
      </c>
      <c r="B20" s="589">
        <f>[1]IFE!K2811</f>
        <v>0</v>
      </c>
      <c r="C20" s="6">
        <f>[1]IFE!B2811</f>
        <v>0</v>
      </c>
      <c r="D20" s="6">
        <f>[1]IFE!C2811</f>
        <v>0</v>
      </c>
      <c r="E20" s="6">
        <f>[1]IFE!D2811</f>
        <v>0</v>
      </c>
      <c r="F20" s="6">
        <f>[1]IFE!E2811</f>
        <v>0</v>
      </c>
      <c r="G20" s="561"/>
      <c r="H20" s="562"/>
      <c r="I20" s="41"/>
      <c r="J20" s="563"/>
    </row>
    <row r="21" spans="1:10" ht="9.9" customHeight="1" x14ac:dyDescent="0.25">
      <c r="A21" s="588">
        <f>[1]IFE!J2812</f>
        <v>0</v>
      </c>
      <c r="B21" s="589">
        <f>[1]IFE!K2812</f>
        <v>0</v>
      </c>
      <c r="C21" s="6">
        <f>[1]IFE!B2812</f>
        <v>0</v>
      </c>
      <c r="D21" s="6">
        <f>[1]IFE!C2812</f>
        <v>0</v>
      </c>
      <c r="E21" s="6">
        <f>[1]IFE!D2812</f>
        <v>0</v>
      </c>
      <c r="F21" s="6">
        <f>[1]IFE!E2812</f>
        <v>0</v>
      </c>
      <c r="G21" s="561"/>
      <c r="H21" s="562"/>
      <c r="I21" s="41"/>
      <c r="J21" s="563"/>
    </row>
    <row r="22" spans="1:10" ht="9.9" customHeight="1" x14ac:dyDescent="0.25">
      <c r="A22" s="588">
        <f>[1]IFE!J2813</f>
        <v>0</v>
      </c>
      <c r="B22" s="589">
        <f>[1]IFE!K2813</f>
        <v>0</v>
      </c>
      <c r="C22" s="6">
        <f>[1]IFE!B2813</f>
        <v>0</v>
      </c>
      <c r="D22" s="6">
        <f>[1]IFE!C2813</f>
        <v>0</v>
      </c>
      <c r="E22" s="6">
        <f>[1]IFE!D2813</f>
        <v>0</v>
      </c>
      <c r="F22" s="6">
        <f>[1]IFE!E2813</f>
        <v>0</v>
      </c>
      <c r="G22" s="561"/>
      <c r="H22" s="562"/>
      <c r="I22" s="41"/>
      <c r="J22" s="563"/>
    </row>
    <row r="23" spans="1:10" ht="9.9" customHeight="1" x14ac:dyDescent="0.25">
      <c r="A23" s="588">
        <f>[1]IFE!J2814</f>
        <v>0</v>
      </c>
      <c r="B23" s="589">
        <f>[1]IFE!K2814</f>
        <v>0</v>
      </c>
      <c r="C23" s="6">
        <f>[1]IFE!B2814</f>
        <v>0</v>
      </c>
      <c r="D23" s="6">
        <f>[1]IFE!C2814</f>
        <v>0</v>
      </c>
      <c r="E23" s="6">
        <f>[1]IFE!D2814</f>
        <v>0</v>
      </c>
      <c r="F23" s="6">
        <f>[1]IFE!E2814</f>
        <v>0</v>
      </c>
      <c r="G23" s="561"/>
      <c r="H23" s="562"/>
      <c r="I23" s="41"/>
      <c r="J23" s="563"/>
    </row>
    <row r="24" spans="1:10" ht="9.9" customHeight="1" x14ac:dyDescent="0.25">
      <c r="A24" s="588">
        <f>[1]IFE!J2815</f>
        <v>0</v>
      </c>
      <c r="B24" s="589">
        <f>[1]IFE!K2815</f>
        <v>0</v>
      </c>
      <c r="C24" s="6">
        <f>[1]IFE!B2815</f>
        <v>0</v>
      </c>
      <c r="D24" s="6">
        <f>[1]IFE!C2815</f>
        <v>0</v>
      </c>
      <c r="E24" s="6">
        <f>[1]IFE!D2815</f>
        <v>0</v>
      </c>
      <c r="F24" s="6">
        <f>[1]IFE!E2815</f>
        <v>0</v>
      </c>
      <c r="G24" s="561"/>
      <c r="H24" s="562"/>
      <c r="I24" s="41"/>
      <c r="J24" s="563"/>
    </row>
    <row r="25" spans="1:10" ht="9.9" customHeight="1" x14ac:dyDescent="0.25">
      <c r="A25" s="588">
        <f>[1]IFE!J2816</f>
        <v>0</v>
      </c>
      <c r="B25" s="589">
        <f>[1]IFE!K2816</f>
        <v>0</v>
      </c>
      <c r="C25" s="6">
        <f>[1]IFE!B2816</f>
        <v>0</v>
      </c>
      <c r="D25" s="6">
        <f>[1]IFE!C2816</f>
        <v>0</v>
      </c>
      <c r="E25" s="6">
        <f>[1]IFE!D2816</f>
        <v>0</v>
      </c>
      <c r="F25" s="6">
        <f>[1]IFE!E2816</f>
        <v>0</v>
      </c>
      <c r="G25" s="561"/>
      <c r="H25" s="562"/>
      <c r="I25" s="41"/>
      <c r="J25" s="563"/>
    </row>
    <row r="26" spans="1:10" ht="9.9" customHeight="1" x14ac:dyDescent="0.25">
      <c r="A26" s="588">
        <f>[1]IFE!J2817</f>
        <v>0</v>
      </c>
      <c r="B26" s="589">
        <f>[1]IFE!K2817</f>
        <v>0</v>
      </c>
      <c r="C26" s="6">
        <f>[1]IFE!B2817</f>
        <v>0</v>
      </c>
      <c r="D26" s="6">
        <f>[1]IFE!C2817</f>
        <v>0</v>
      </c>
      <c r="E26" s="6">
        <f>[1]IFE!D2817</f>
        <v>0</v>
      </c>
      <c r="F26" s="6">
        <f>[1]IFE!E2817</f>
        <v>0</v>
      </c>
      <c r="G26" s="561"/>
      <c r="H26" s="562"/>
      <c r="I26" s="41"/>
      <c r="J26" s="563"/>
    </row>
    <row r="27" spans="1:10" ht="9.9" customHeight="1" x14ac:dyDescent="0.25">
      <c r="A27" s="588">
        <f>[1]IFE!J2818</f>
        <v>0</v>
      </c>
      <c r="B27" s="589">
        <f>[1]IFE!K2818</f>
        <v>0</v>
      </c>
      <c r="C27" s="6">
        <f>[1]IFE!B2818</f>
        <v>0</v>
      </c>
      <c r="D27" s="6">
        <f>[1]IFE!C2818</f>
        <v>0</v>
      </c>
      <c r="E27" s="6">
        <f>[1]IFE!D2818</f>
        <v>0</v>
      </c>
      <c r="F27" s="6">
        <f>[1]IFE!E2818</f>
        <v>0</v>
      </c>
      <c r="G27" s="561"/>
      <c r="H27" s="562"/>
      <c r="I27" s="41"/>
      <c r="J27" s="563"/>
    </row>
    <row r="28" spans="1:10" ht="9.9" customHeight="1" x14ac:dyDescent="0.25">
      <c r="A28" s="588">
        <f>[1]IFE!J2819</f>
        <v>0</v>
      </c>
      <c r="B28" s="589">
        <f>[1]IFE!K2819</f>
        <v>0</v>
      </c>
      <c r="C28" s="6">
        <f>[1]IFE!B2819</f>
        <v>0</v>
      </c>
      <c r="D28" s="6">
        <f>[1]IFE!C2819</f>
        <v>0</v>
      </c>
      <c r="E28" s="6">
        <f>[1]IFE!D2819</f>
        <v>0</v>
      </c>
      <c r="F28" s="6">
        <f>[1]IFE!E2819</f>
        <v>0</v>
      </c>
      <c r="G28" s="561"/>
      <c r="H28" s="562"/>
      <c r="I28" s="41"/>
      <c r="J28" s="563"/>
    </row>
    <row r="29" spans="1:10" ht="9.9" customHeight="1" x14ac:dyDescent="0.25">
      <c r="A29" s="588">
        <f>[1]IFE!J2820</f>
        <v>0</v>
      </c>
      <c r="B29" s="589">
        <f>[1]IFE!K2820</f>
        <v>0</v>
      </c>
      <c r="C29" s="6">
        <f>[1]IFE!B2820</f>
        <v>0</v>
      </c>
      <c r="D29" s="6">
        <f>[1]IFE!C2820</f>
        <v>0</v>
      </c>
      <c r="E29" s="6">
        <f>[1]IFE!D2820</f>
        <v>0</v>
      </c>
      <c r="F29" s="6">
        <f>[1]IFE!E2820</f>
        <v>0</v>
      </c>
      <c r="G29" s="561"/>
      <c r="H29" s="562"/>
      <c r="I29" s="41"/>
      <c r="J29" s="563"/>
    </row>
    <row r="30" spans="1:10" ht="9.9" customHeight="1" x14ac:dyDescent="0.25">
      <c r="A30" s="588">
        <f>[1]IFE!J2821</f>
        <v>0</v>
      </c>
      <c r="B30" s="589">
        <f>[1]IFE!K2821</f>
        <v>0</v>
      </c>
      <c r="C30" s="6">
        <f>[1]IFE!B2821</f>
        <v>0</v>
      </c>
      <c r="D30" s="6">
        <f>[1]IFE!C2821</f>
        <v>0</v>
      </c>
      <c r="E30" s="6">
        <f>[1]IFE!D2821</f>
        <v>0</v>
      </c>
      <c r="F30" s="6">
        <f>[1]IFE!E2821</f>
        <v>0</v>
      </c>
      <c r="G30" s="561"/>
      <c r="H30" s="562"/>
      <c r="I30" s="41"/>
      <c r="J30" s="563"/>
    </row>
    <row r="31" spans="1:10" ht="9.9" customHeight="1" x14ac:dyDescent="0.25">
      <c r="A31" s="588">
        <f>[1]IFE!J2822</f>
        <v>0</v>
      </c>
      <c r="B31" s="589">
        <f>[1]IFE!K2822</f>
        <v>0</v>
      </c>
      <c r="C31" s="6">
        <f>[1]IFE!B2822</f>
        <v>0</v>
      </c>
      <c r="D31" s="6">
        <f>[1]IFE!C2822</f>
        <v>0</v>
      </c>
      <c r="E31" s="6">
        <f>[1]IFE!D2822</f>
        <v>0</v>
      </c>
      <c r="F31" s="6">
        <f>[1]IFE!E2822</f>
        <v>0</v>
      </c>
      <c r="G31" s="561"/>
      <c r="H31" s="562"/>
      <c r="I31" s="41"/>
      <c r="J31" s="563"/>
    </row>
    <row r="32" spans="1:10" ht="9" customHeight="1" x14ac:dyDescent="0.25">
      <c r="A32" s="588">
        <f>[1]IFE!J2823</f>
        <v>0</v>
      </c>
      <c r="B32" s="589">
        <f>[1]IFE!K2823</f>
        <v>0</v>
      </c>
      <c r="C32" s="6">
        <f>[1]IFE!B2823</f>
        <v>0</v>
      </c>
      <c r="D32" s="6">
        <f>[1]IFE!C2823</f>
        <v>0</v>
      </c>
      <c r="E32" s="6">
        <f>[1]IFE!D2823</f>
        <v>0</v>
      </c>
      <c r="F32" s="6">
        <f>[1]IFE!E2823</f>
        <v>0</v>
      </c>
      <c r="G32" s="561"/>
      <c r="H32" s="562"/>
      <c r="I32" s="41"/>
      <c r="J32" s="563"/>
    </row>
    <row r="33" spans="1:10" ht="9.9" customHeight="1" x14ac:dyDescent="0.25">
      <c r="A33" s="588">
        <f>[1]IFE!J2824</f>
        <v>0</v>
      </c>
      <c r="B33" s="589">
        <f>[1]IFE!K2824</f>
        <v>0</v>
      </c>
      <c r="C33" s="6">
        <f>[1]IFE!B2824</f>
        <v>0</v>
      </c>
      <c r="D33" s="6">
        <f>[1]IFE!C2824</f>
        <v>0</v>
      </c>
      <c r="E33" s="6">
        <f>[1]IFE!D2824</f>
        <v>0</v>
      </c>
      <c r="F33" s="6">
        <f>[1]IFE!E2824</f>
        <v>0</v>
      </c>
      <c r="G33" s="561"/>
      <c r="H33" s="562"/>
      <c r="I33" s="41"/>
      <c r="J33" s="563"/>
    </row>
    <row r="34" spans="1:10" ht="9.9" customHeight="1" x14ac:dyDescent="0.25">
      <c r="A34" s="588">
        <f>[1]IFE!J2825</f>
        <v>0</v>
      </c>
      <c r="B34" s="589">
        <f>[1]IFE!K2825</f>
        <v>0</v>
      </c>
      <c r="C34" s="6">
        <f>[1]IFE!B2825</f>
        <v>0</v>
      </c>
      <c r="D34" s="6">
        <f>[1]IFE!C2825</f>
        <v>0</v>
      </c>
      <c r="E34" s="6">
        <f>[1]IFE!D2825</f>
        <v>0</v>
      </c>
      <c r="F34" s="6">
        <f>[1]IFE!E2825</f>
        <v>0</v>
      </c>
      <c r="G34" s="564"/>
      <c r="H34" s="553"/>
      <c r="I34" s="553"/>
      <c r="J34" s="40"/>
    </row>
    <row r="35" spans="1:10" ht="9.9" customHeight="1" x14ac:dyDescent="0.25">
      <c r="A35" s="588">
        <f>[1]IFE!J2826</f>
        <v>0</v>
      </c>
      <c r="B35" s="589">
        <f>[1]IFE!K2826</f>
        <v>0</v>
      </c>
      <c r="C35" s="6">
        <f>[1]IFE!B2826</f>
        <v>0</v>
      </c>
      <c r="D35" s="6">
        <f>[1]IFE!C2826</f>
        <v>0</v>
      </c>
      <c r="E35" s="6">
        <f>[1]IFE!D2826</f>
        <v>0</v>
      </c>
      <c r="F35" s="6">
        <f>[1]IFE!E2826</f>
        <v>0</v>
      </c>
      <c r="G35" s="118"/>
      <c r="H35" s="565"/>
      <c r="I35" s="566"/>
      <c r="J35" s="567"/>
    </row>
    <row r="36" spans="1:10" ht="9.9" customHeight="1" x14ac:dyDescent="0.25">
      <c r="A36" s="588">
        <f>[1]IFE!J2827</f>
        <v>0</v>
      </c>
      <c r="B36" s="589">
        <f>[1]IFE!K2827</f>
        <v>0</v>
      </c>
      <c r="C36" s="6">
        <f>[1]IFE!B2827</f>
        <v>0</v>
      </c>
      <c r="D36" s="6">
        <f>[1]IFE!C2827</f>
        <v>0</v>
      </c>
      <c r="E36" s="6">
        <f>[1]IFE!D2827</f>
        <v>0</v>
      </c>
      <c r="F36" s="6">
        <f>[1]IFE!E2827</f>
        <v>0</v>
      </c>
      <c r="G36" s="568"/>
      <c r="H36" s="569"/>
      <c r="I36" s="545"/>
      <c r="J36" s="570"/>
    </row>
    <row r="37" spans="1:10" ht="9.9" customHeight="1" x14ac:dyDescent="0.25">
      <c r="A37" s="588">
        <f>[1]IFE!J2828</f>
        <v>0</v>
      </c>
      <c r="B37" s="589">
        <f>[1]IFE!K2828</f>
        <v>0</v>
      </c>
      <c r="C37" s="6">
        <f>[1]IFE!B2828</f>
        <v>0</v>
      </c>
      <c r="D37" s="6">
        <f>[1]IFE!C2828</f>
        <v>0</v>
      </c>
      <c r="E37" s="6">
        <f>[1]IFE!D2828</f>
        <v>0</v>
      </c>
      <c r="F37" s="6">
        <f>[1]IFE!E2828</f>
        <v>0</v>
      </c>
      <c r="G37" s="568"/>
      <c r="H37" s="569"/>
      <c r="I37" s="545"/>
      <c r="J37" s="570"/>
    </row>
    <row r="38" spans="1:10" ht="9.9" customHeight="1" x14ac:dyDescent="0.25">
      <c r="A38" s="588">
        <f>[1]IFE!J2829</f>
        <v>0</v>
      </c>
      <c r="B38" s="589">
        <f>[1]IFE!K2829</f>
        <v>0</v>
      </c>
      <c r="C38" s="6">
        <f>[1]IFE!B2829</f>
        <v>0</v>
      </c>
      <c r="D38" s="6">
        <f>[1]IFE!C2829</f>
        <v>0</v>
      </c>
      <c r="E38" s="6">
        <f>[1]IFE!D2829</f>
        <v>0</v>
      </c>
      <c r="F38" s="6">
        <f>[1]IFE!E2829</f>
        <v>0</v>
      </c>
      <c r="G38" s="568"/>
      <c r="H38" s="569"/>
      <c r="I38" s="545"/>
      <c r="J38" s="570"/>
    </row>
    <row r="39" spans="1:10" ht="9.9" customHeight="1" x14ac:dyDescent="0.25">
      <c r="A39" s="588">
        <f>[1]IFE!J2830</f>
        <v>0</v>
      </c>
      <c r="B39" s="589">
        <f>[1]IFE!K2830</f>
        <v>0</v>
      </c>
      <c r="C39" s="6">
        <f>[1]IFE!B2830</f>
        <v>0</v>
      </c>
      <c r="D39" s="6">
        <f>[1]IFE!C2830</f>
        <v>0</v>
      </c>
      <c r="E39" s="6">
        <f>[1]IFE!D2830</f>
        <v>0</v>
      </c>
      <c r="F39" s="6">
        <f>[1]IFE!E2830</f>
        <v>0</v>
      </c>
      <c r="G39" s="568"/>
      <c r="H39" s="569"/>
      <c r="I39" s="545"/>
      <c r="J39" s="570"/>
    </row>
    <row r="40" spans="1:10" ht="9.9" customHeight="1" x14ac:dyDescent="0.25">
      <c r="A40" s="588">
        <f>[1]IFE!J2831</f>
        <v>0</v>
      </c>
      <c r="B40" s="589">
        <f>[1]IFE!K2831</f>
        <v>0</v>
      </c>
      <c r="C40" s="6">
        <f>[1]IFE!B2831</f>
        <v>0</v>
      </c>
      <c r="D40" s="6">
        <f>[1]IFE!C2831</f>
        <v>0</v>
      </c>
      <c r="E40" s="6">
        <f>[1]IFE!D2831</f>
        <v>0</v>
      </c>
      <c r="F40" s="6">
        <f>[1]IFE!E2831</f>
        <v>0</v>
      </c>
      <c r="G40" s="568"/>
      <c r="H40" s="569"/>
      <c r="I40" s="545"/>
      <c r="J40" s="570"/>
    </row>
    <row r="41" spans="1:10" ht="9.9" customHeight="1" x14ac:dyDescent="0.25">
      <c r="A41" s="588">
        <f>[1]IFE!J2832</f>
        <v>0</v>
      </c>
      <c r="B41" s="589">
        <f>[1]IFE!K2832</f>
        <v>0</v>
      </c>
      <c r="C41" s="6">
        <f>[1]IFE!B2832</f>
        <v>0</v>
      </c>
      <c r="D41" s="6">
        <f>[1]IFE!C2832</f>
        <v>0</v>
      </c>
      <c r="E41" s="6">
        <f>[1]IFE!D2832</f>
        <v>0</v>
      </c>
      <c r="F41" s="6">
        <f>[1]IFE!E2832</f>
        <v>0</v>
      </c>
      <c r="G41" s="568"/>
      <c r="H41" s="569"/>
      <c r="I41" s="545"/>
      <c r="J41" s="570"/>
    </row>
    <row r="42" spans="1:10" ht="9.9" customHeight="1" x14ac:dyDescent="0.25">
      <c r="A42" s="588">
        <f>[1]IFE!J2833</f>
        <v>0</v>
      </c>
      <c r="B42" s="589">
        <f>[1]IFE!K2833</f>
        <v>0</v>
      </c>
      <c r="C42" s="6">
        <f>[1]IFE!B2833</f>
        <v>0</v>
      </c>
      <c r="D42" s="6">
        <f>[1]IFE!C2833</f>
        <v>0</v>
      </c>
      <c r="E42" s="6">
        <f>[1]IFE!D2833</f>
        <v>0</v>
      </c>
      <c r="F42" s="6">
        <f>[1]IFE!E2833</f>
        <v>0</v>
      </c>
      <c r="G42" s="568"/>
      <c r="H42" s="569"/>
      <c r="I42" s="545"/>
      <c r="J42" s="570"/>
    </row>
    <row r="43" spans="1:10" ht="9.9" customHeight="1" x14ac:dyDescent="0.25">
      <c r="A43" s="588">
        <f>[1]IFE!J2834</f>
        <v>0</v>
      </c>
      <c r="B43" s="589">
        <f>[1]IFE!K2834</f>
        <v>0</v>
      </c>
      <c r="C43" s="6">
        <f>[1]IFE!B2834</f>
        <v>0</v>
      </c>
      <c r="D43" s="6">
        <f>[1]IFE!C2834</f>
        <v>0</v>
      </c>
      <c r="E43" s="6">
        <f>[1]IFE!D2834</f>
        <v>0</v>
      </c>
      <c r="F43" s="6">
        <f>[1]IFE!E2834</f>
        <v>0</v>
      </c>
      <c r="G43" s="568"/>
      <c r="H43" s="569"/>
      <c r="I43" s="545"/>
      <c r="J43" s="570"/>
    </row>
    <row r="44" spans="1:10" ht="11.1" customHeight="1" x14ac:dyDescent="0.25">
      <c r="A44" s="588">
        <f>[1]IFE!J2835</f>
        <v>0</v>
      </c>
      <c r="B44" s="589">
        <f>[1]IFE!K2835</f>
        <v>0</v>
      </c>
      <c r="C44" s="6">
        <f>[1]IFE!B2835</f>
        <v>0</v>
      </c>
      <c r="D44" s="6">
        <f>[1]IFE!C2835</f>
        <v>0</v>
      </c>
      <c r="E44" s="6">
        <f>[1]IFE!D2835</f>
        <v>0</v>
      </c>
      <c r="F44" s="6">
        <f>[1]IFE!E2835</f>
        <v>0</v>
      </c>
      <c r="G44" s="568"/>
      <c r="H44" s="569"/>
      <c r="I44" s="545"/>
      <c r="J44" s="570"/>
    </row>
    <row r="45" spans="1:10" ht="11.1" customHeight="1" x14ac:dyDescent="0.25">
      <c r="A45" s="588">
        <f>[1]IFE!J2836</f>
        <v>0</v>
      </c>
      <c r="B45" s="589">
        <f>[1]IFE!K2836</f>
        <v>0</v>
      </c>
      <c r="C45" s="6">
        <f>[1]IFE!B2836</f>
        <v>0</v>
      </c>
      <c r="D45" s="6">
        <f>[1]IFE!C2836</f>
        <v>0</v>
      </c>
      <c r="E45" s="6">
        <f>[1]IFE!D2836</f>
        <v>0</v>
      </c>
      <c r="F45" s="6">
        <f>[1]IFE!E2836</f>
        <v>0</v>
      </c>
      <c r="G45" s="568"/>
      <c r="H45" s="569"/>
      <c r="I45" s="545"/>
      <c r="J45" s="570"/>
    </row>
    <row r="46" spans="1:10" ht="11.1" customHeight="1" x14ac:dyDescent="0.25">
      <c r="A46" s="588">
        <f>[1]IFE!J2837</f>
        <v>0</v>
      </c>
      <c r="B46" s="589">
        <f>[1]IFE!K2837</f>
        <v>0</v>
      </c>
      <c r="C46" s="6">
        <f>[1]IFE!B2837</f>
        <v>0</v>
      </c>
      <c r="D46" s="6">
        <f>[1]IFE!C2837</f>
        <v>0</v>
      </c>
      <c r="E46" s="6">
        <f>[1]IFE!D2837</f>
        <v>0</v>
      </c>
      <c r="F46" s="6">
        <f>[1]IFE!E2837</f>
        <v>0</v>
      </c>
      <c r="G46" s="568"/>
      <c r="H46" s="571"/>
      <c r="I46" s="545"/>
      <c r="J46" s="570"/>
    </row>
    <row r="47" spans="1:10" ht="11.1" customHeight="1" x14ac:dyDescent="0.25">
      <c r="A47" s="588">
        <f>[1]IFE!J2838</f>
        <v>0</v>
      </c>
      <c r="B47" s="589">
        <f>[1]IFE!K2838</f>
        <v>0</v>
      </c>
      <c r="C47" s="6">
        <f>[1]IFE!B2838</f>
        <v>0</v>
      </c>
      <c r="D47" s="6">
        <f>[1]IFE!C2838</f>
        <v>0</v>
      </c>
      <c r="E47" s="6">
        <f>[1]IFE!D2838</f>
        <v>0</v>
      </c>
      <c r="F47" s="6">
        <f>[1]IFE!E2838</f>
        <v>0</v>
      </c>
      <c r="G47" s="564"/>
      <c r="H47" s="572"/>
      <c r="I47" s="572"/>
      <c r="J47" s="573"/>
    </row>
    <row r="48" spans="1:10" ht="11.1" customHeight="1" x14ac:dyDescent="0.25">
      <c r="A48" s="588">
        <f>[1]IFE!J2839</f>
        <v>0</v>
      </c>
      <c r="B48" s="589">
        <f>[1]IFE!K2839</f>
        <v>0</v>
      </c>
      <c r="C48" s="6">
        <f>[1]IFE!B2839</f>
        <v>0</v>
      </c>
      <c r="D48" s="6">
        <f>[1]IFE!C2839</f>
        <v>0</v>
      </c>
      <c r="E48" s="6">
        <f>[1]IFE!D2839</f>
        <v>0</v>
      </c>
      <c r="F48" s="6">
        <f>[1]IFE!E2839</f>
        <v>0</v>
      </c>
      <c r="G48" s="543"/>
      <c r="H48" s="553"/>
      <c r="I48" s="553"/>
      <c r="J48" s="574"/>
    </row>
    <row r="49" spans="1:10" ht="11.1" customHeight="1" x14ac:dyDescent="0.25">
      <c r="A49" s="588">
        <f>[1]IFE!J2840</f>
        <v>0</v>
      </c>
      <c r="B49" s="589">
        <f>[1]IFE!K2840</f>
        <v>0</v>
      </c>
      <c r="C49" s="6">
        <f>[1]IFE!B2840</f>
        <v>0</v>
      </c>
      <c r="D49" s="6">
        <f>[1]IFE!C2840</f>
        <v>0</v>
      </c>
      <c r="E49" s="6">
        <f>[1]IFE!D2840</f>
        <v>0</v>
      </c>
      <c r="F49" s="6">
        <f>[1]IFE!E2840</f>
        <v>0</v>
      </c>
      <c r="G49" s="543"/>
      <c r="H49" s="553"/>
      <c r="I49" s="553"/>
      <c r="J49" s="575"/>
    </row>
    <row r="50" spans="1:10" ht="11.1" customHeight="1" x14ac:dyDescent="0.25">
      <c r="A50" s="588">
        <f>[1]IFE!J2841</f>
        <v>0</v>
      </c>
      <c r="B50" s="589">
        <f>[1]IFE!K2841</f>
        <v>0</v>
      </c>
      <c r="C50" s="6">
        <f>[1]IFE!B2841</f>
        <v>0</v>
      </c>
      <c r="D50" s="6">
        <f>[1]IFE!C2841</f>
        <v>0</v>
      </c>
      <c r="E50" s="6">
        <f>[1]IFE!D2841</f>
        <v>0</v>
      </c>
      <c r="F50" s="6">
        <f>[1]IFE!E2841</f>
        <v>0</v>
      </c>
      <c r="G50" s="543"/>
      <c r="H50" s="553"/>
      <c r="I50" s="553"/>
      <c r="J50" s="575"/>
    </row>
    <row r="51" spans="1:10" ht="11.1" customHeight="1" x14ac:dyDescent="0.25">
      <c r="A51" s="588">
        <f>[1]IFE!J2842</f>
        <v>0</v>
      </c>
      <c r="B51" s="589">
        <f>[1]IFE!K2842</f>
        <v>0</v>
      </c>
      <c r="C51" s="6">
        <f>[1]IFE!B2842</f>
        <v>0</v>
      </c>
      <c r="D51" s="6">
        <f>[1]IFE!C2842</f>
        <v>0</v>
      </c>
      <c r="E51" s="6">
        <f>[1]IFE!D2842</f>
        <v>0</v>
      </c>
      <c r="F51" s="6">
        <f>[1]IFE!E2842</f>
        <v>0</v>
      </c>
      <c r="G51" s="539"/>
      <c r="H51" s="553"/>
      <c r="I51" s="553"/>
      <c r="J51" s="575"/>
    </row>
    <row r="52" spans="1:10" ht="11.1" customHeight="1" x14ac:dyDescent="0.25">
      <c r="A52" s="588">
        <f>[1]IFE!J2843</f>
        <v>0</v>
      </c>
      <c r="B52" s="589">
        <f>[1]IFE!K2843</f>
        <v>0</v>
      </c>
      <c r="C52" s="6">
        <f>[1]IFE!B2843</f>
        <v>0</v>
      </c>
      <c r="D52" s="6">
        <f>[1]IFE!C2843</f>
        <v>0</v>
      </c>
      <c r="E52" s="6">
        <f>[1]IFE!D2843</f>
        <v>0</v>
      </c>
      <c r="F52" s="6">
        <f>[1]IFE!E2843</f>
        <v>0</v>
      </c>
      <c r="G52" s="554"/>
      <c r="H52" s="555"/>
      <c r="I52" s="555"/>
      <c r="J52" s="556"/>
    </row>
    <row r="53" spans="1:10" ht="11.1" customHeight="1" x14ac:dyDescent="0.25">
      <c r="A53" s="588">
        <f>[1]IFE!J2844</f>
        <v>0</v>
      </c>
      <c r="B53" s="589">
        <f>[1]IFE!K2844</f>
        <v>0</v>
      </c>
      <c r="C53" s="6">
        <f>[1]IFE!B2844</f>
        <v>0</v>
      </c>
      <c r="D53" s="6">
        <f>[1]IFE!C2844</f>
        <v>0</v>
      </c>
      <c r="E53" s="6">
        <f>[1]IFE!D2844</f>
        <v>0</v>
      </c>
      <c r="F53" s="6">
        <f>[1]IFE!E2844</f>
        <v>0</v>
      </c>
      <c r="G53" s="554"/>
      <c r="H53" s="555"/>
      <c r="I53" s="555"/>
      <c r="J53" s="556"/>
    </row>
    <row r="54" spans="1:10" ht="11.1" customHeight="1" x14ac:dyDescent="0.25">
      <c r="A54" s="588">
        <f>[1]IFE!J2845</f>
        <v>0</v>
      </c>
      <c r="B54" s="589">
        <f>[1]IFE!K2845</f>
        <v>0</v>
      </c>
      <c r="C54" s="6">
        <f>[1]IFE!B2845</f>
        <v>0</v>
      </c>
      <c r="D54" s="6">
        <f>[1]IFE!C2845</f>
        <v>0</v>
      </c>
      <c r="E54" s="6">
        <f>[1]IFE!D2845</f>
        <v>0</v>
      </c>
      <c r="F54" s="6">
        <f>[1]IFE!E2845</f>
        <v>0</v>
      </c>
      <c r="G54" s="576"/>
      <c r="H54" s="577"/>
      <c r="I54" s="577"/>
      <c r="J54" s="578"/>
    </row>
    <row r="55" spans="1:10" ht="11.1" customHeight="1" x14ac:dyDescent="0.25">
      <c r="A55" s="588">
        <f>[1]IFE!J2846</f>
        <v>0</v>
      </c>
      <c r="B55" s="589">
        <f>[1]IFE!K2846</f>
        <v>0</v>
      </c>
      <c r="C55" s="6">
        <f>[1]IFE!B2846</f>
        <v>0</v>
      </c>
      <c r="D55" s="6">
        <f>[1]IFE!C2846</f>
        <v>0</v>
      </c>
      <c r="E55" s="6">
        <f>[1]IFE!D2846</f>
        <v>0</v>
      </c>
      <c r="F55" s="6">
        <f>[1]IFE!E2846</f>
        <v>0</v>
      </c>
      <c r="G55" s="579"/>
      <c r="H55" s="555"/>
      <c r="I55" s="555"/>
      <c r="J55" s="556"/>
    </row>
    <row r="56" spans="1:10" ht="11.1" customHeight="1" x14ac:dyDescent="0.25">
      <c r="A56" s="588">
        <f>[1]IFE!J2847</f>
        <v>0</v>
      </c>
      <c r="B56" s="589">
        <f>[1]IFE!K2847</f>
        <v>0</v>
      </c>
      <c r="C56" s="6">
        <f>[1]IFE!B2847</f>
        <v>0</v>
      </c>
      <c r="D56" s="6">
        <f>[1]IFE!C2847</f>
        <v>0</v>
      </c>
      <c r="E56" s="6">
        <f>[1]IFE!D2847</f>
        <v>0</v>
      </c>
      <c r="F56" s="6">
        <f>[1]IFE!E2847</f>
        <v>0</v>
      </c>
      <c r="G56" s="533"/>
      <c r="H56" s="580"/>
      <c r="I56" s="581"/>
      <c r="J56" s="546"/>
    </row>
    <row r="57" spans="1:10" ht="11.1" customHeight="1" x14ac:dyDescent="0.25">
      <c r="A57" s="588">
        <f>[1]IFE!J2848</f>
        <v>0</v>
      </c>
      <c r="B57" s="589">
        <f>[1]IFE!K2848</f>
        <v>0</v>
      </c>
      <c r="C57" s="6">
        <f>[1]IFE!B2848</f>
        <v>0</v>
      </c>
      <c r="D57" s="6">
        <f>[1]IFE!C2848</f>
        <v>0</v>
      </c>
      <c r="E57" s="6">
        <f>[1]IFE!D2848</f>
        <v>0</v>
      </c>
      <c r="F57" s="6">
        <f>[1]IFE!E2848</f>
        <v>0</v>
      </c>
      <c r="G57" s="533"/>
      <c r="H57" s="580"/>
      <c r="I57" s="582"/>
      <c r="J57" s="546"/>
    </row>
    <row r="58" spans="1:10" ht="11.1" customHeight="1" x14ac:dyDescent="0.25">
      <c r="A58" s="588">
        <f>[1]IFE!J2849</f>
        <v>0</v>
      </c>
      <c r="B58" s="589">
        <f>[1]IFE!K2849</f>
        <v>0</v>
      </c>
      <c r="C58" s="6">
        <f>[1]IFE!B2849</f>
        <v>0</v>
      </c>
      <c r="D58" s="6">
        <f>[1]IFE!C2849</f>
        <v>0</v>
      </c>
      <c r="E58" s="6">
        <f>[1]IFE!D2849</f>
        <v>0</v>
      </c>
      <c r="F58" s="6">
        <f>[1]IFE!E2849</f>
        <v>0</v>
      </c>
      <c r="G58" s="533"/>
      <c r="H58" s="580"/>
      <c r="I58" s="582"/>
      <c r="J58" s="546"/>
    </row>
    <row r="59" spans="1:10" ht="11.1" customHeight="1" x14ac:dyDescent="0.25">
      <c r="A59" s="588">
        <f>[1]IFE!J2850</f>
        <v>0</v>
      </c>
      <c r="B59" s="589">
        <f>[1]IFE!K2850</f>
        <v>0</v>
      </c>
      <c r="C59" s="6">
        <f>[1]IFE!B2850</f>
        <v>0</v>
      </c>
      <c r="D59" s="6">
        <f>[1]IFE!C2850</f>
        <v>0</v>
      </c>
      <c r="E59" s="6">
        <f>[1]IFE!D2850</f>
        <v>0</v>
      </c>
      <c r="F59" s="6">
        <f>[1]IFE!E2850</f>
        <v>0</v>
      </c>
      <c r="G59" s="533"/>
      <c r="H59" s="580"/>
      <c r="I59" s="582"/>
      <c r="J59" s="546"/>
    </row>
    <row r="60" spans="1:10" ht="11.1" customHeight="1" x14ac:dyDescent="0.25">
      <c r="A60" s="588">
        <f>[1]IFE!J2851</f>
        <v>0</v>
      </c>
      <c r="B60" s="589">
        <f>[1]IFE!K2851</f>
        <v>0</v>
      </c>
      <c r="C60" s="6">
        <f>[1]IFE!B2851</f>
        <v>0</v>
      </c>
      <c r="D60" s="6">
        <f>[1]IFE!C2851</f>
        <v>0</v>
      </c>
      <c r="E60" s="6">
        <f>[1]IFE!D2851</f>
        <v>0</v>
      </c>
      <c r="F60" s="6">
        <f>[1]IFE!E2851</f>
        <v>0</v>
      </c>
      <c r="G60" s="533"/>
      <c r="H60" s="580"/>
      <c r="I60" s="582"/>
      <c r="J60" s="546"/>
    </row>
    <row r="61" spans="1:10" ht="11.1" customHeight="1" thickBot="1" x14ac:dyDescent="0.3">
      <c r="A61" s="590">
        <f>[1]IFE!J2852</f>
        <v>0</v>
      </c>
      <c r="B61" s="591">
        <f>[1]IFE!K2852</f>
        <v>0</v>
      </c>
      <c r="C61" s="136">
        <f>[1]IFE!B2852</f>
        <v>0</v>
      </c>
      <c r="D61" s="136">
        <f>[1]IFE!C2852</f>
        <v>0</v>
      </c>
      <c r="E61" s="136">
        <f>[1]IFE!D2852</f>
        <v>0</v>
      </c>
      <c r="F61" s="136">
        <f>[1]IFE!E2852</f>
        <v>0</v>
      </c>
      <c r="G61" s="532"/>
      <c r="H61" s="583"/>
      <c r="I61" s="584"/>
      <c r="J61" s="585"/>
    </row>
    <row r="62" spans="1:10" ht="12" customHeight="1" x14ac:dyDescent="0.25">
      <c r="A62" s="472" t="s">
        <v>90</v>
      </c>
      <c r="B62" s="473"/>
      <c r="C62" s="474" t="s">
        <v>129</v>
      </c>
      <c r="D62" s="475"/>
      <c r="E62" s="474" t="s">
        <v>91</v>
      </c>
      <c r="F62" s="476"/>
      <c r="G62" s="474" t="s">
        <v>6</v>
      </c>
      <c r="H62" s="476"/>
      <c r="I62" s="477" t="s">
        <v>92</v>
      </c>
      <c r="J62" s="478"/>
    </row>
    <row r="63" spans="1:10" ht="9.6" customHeight="1" x14ac:dyDescent="0.25">
      <c r="A63" s="738" t="str">
        <f>[1]IFE!$B$127&amp;"  "&amp;[1]IFE!$B$129</f>
        <v>Jesus Villarroel  0</v>
      </c>
      <c r="B63" s="739"/>
      <c r="C63" s="691"/>
      <c r="D63" s="739"/>
      <c r="E63" s="148"/>
      <c r="F63" s="147"/>
      <c r="G63" s="146"/>
      <c r="H63" s="147"/>
      <c r="I63" s="148"/>
      <c r="J63" s="149"/>
    </row>
    <row r="64" spans="1:10" ht="9.6" customHeight="1" thickBot="1" x14ac:dyDescent="0.3">
      <c r="A64" s="741" t="str">
        <f>[1]IFE!$B$128</f>
        <v>Nelson Marcano</v>
      </c>
      <c r="B64" s="740"/>
      <c r="C64" s="693">
        <f>[1]IFE!$D$131</f>
        <v>0</v>
      </c>
      <c r="D64" s="740"/>
      <c r="E64" s="216">
        <f>[1]IFE!B133</f>
        <v>0</v>
      </c>
      <c r="F64" s="140"/>
      <c r="G64" s="281">
        <f xml:space="preserve"> [1]IFE!B134</f>
        <v>5749.32</v>
      </c>
      <c r="H64" s="140"/>
      <c r="I64" s="282">
        <f>[1]IFE!B135</f>
        <v>89939.53</v>
      </c>
      <c r="J64" s="100"/>
    </row>
    <row r="65" spans="1:10" ht="11.1" customHeight="1" x14ac:dyDescent="0.25">
      <c r="A65" s="150"/>
      <c r="B65" s="150"/>
      <c r="C65" s="150"/>
      <c r="D65" s="150"/>
      <c r="E65" s="150"/>
      <c r="F65" s="150"/>
      <c r="G65" s="150"/>
      <c r="H65" s="150"/>
      <c r="I65" s="150"/>
      <c r="J65" s="150"/>
    </row>
    <row r="66" spans="1:10" ht="11.1" customHeight="1" x14ac:dyDescent="0.25">
      <c r="A66" s="150"/>
      <c r="B66" s="150"/>
      <c r="C66" s="150"/>
      <c r="D66" s="150"/>
      <c r="E66" s="150"/>
      <c r="F66" s="150"/>
      <c r="G66" s="150"/>
      <c r="H66" s="150"/>
      <c r="I66" s="150"/>
      <c r="J66" s="150"/>
    </row>
    <row r="67" spans="1:10" x14ac:dyDescent="0.25">
      <c r="A67" s="150"/>
      <c r="B67" s="150"/>
      <c r="C67" s="150"/>
      <c r="D67" s="150"/>
      <c r="E67" s="150"/>
      <c r="F67" s="150"/>
      <c r="G67" s="150"/>
      <c r="H67" s="150"/>
      <c r="I67" s="150"/>
      <c r="J67" s="150"/>
    </row>
    <row r="68" spans="1:10" x14ac:dyDescent="0.25">
      <c r="A68" s="150"/>
      <c r="B68" s="150"/>
      <c r="C68" s="150"/>
      <c r="D68" s="150"/>
      <c r="E68" s="150"/>
      <c r="F68" s="150"/>
      <c r="G68" s="150"/>
      <c r="H68" s="150"/>
      <c r="I68" s="150"/>
      <c r="J68" s="150"/>
    </row>
    <row r="69" spans="1:10" x14ac:dyDescent="0.25">
      <c r="A69" s="150"/>
      <c r="B69" s="150"/>
      <c r="C69" s="150"/>
      <c r="D69" s="150"/>
      <c r="E69" s="150"/>
      <c r="F69" s="150"/>
      <c r="G69" s="150"/>
      <c r="H69" s="150"/>
      <c r="I69" s="150"/>
      <c r="J69" s="150"/>
    </row>
    <row r="70" spans="1:10" x14ac:dyDescent="0.25">
      <c r="A70" s="150"/>
      <c r="B70" s="150"/>
      <c r="C70" s="150"/>
      <c r="D70" s="150"/>
      <c r="E70" s="150"/>
      <c r="F70" s="150"/>
      <c r="G70" s="150"/>
      <c r="H70" s="150"/>
      <c r="I70" s="150"/>
      <c r="J70" s="150"/>
    </row>
    <row r="71" spans="1:10" x14ac:dyDescent="0.25">
      <c r="A71" s="150"/>
      <c r="B71" s="150"/>
      <c r="C71" s="150"/>
      <c r="D71" s="150"/>
      <c r="E71" s="150"/>
      <c r="F71" s="150"/>
      <c r="G71" s="150"/>
      <c r="H71" s="150"/>
      <c r="I71" s="150"/>
      <c r="J71" s="150"/>
    </row>
    <row r="72" spans="1:10" x14ac:dyDescent="0.25">
      <c r="A72" s="150"/>
      <c r="B72" s="150"/>
      <c r="C72" s="150"/>
      <c r="D72" s="150"/>
      <c r="E72" s="150"/>
      <c r="F72" s="150"/>
      <c r="G72" s="150"/>
      <c r="H72" s="150"/>
      <c r="I72" s="150"/>
      <c r="J72" s="150"/>
    </row>
    <row r="73" spans="1:10" x14ac:dyDescent="0.25">
      <c r="A73" s="150"/>
      <c r="B73" s="150"/>
      <c r="C73" s="150"/>
      <c r="D73" s="150"/>
      <c r="E73" s="150"/>
      <c r="F73" s="150"/>
      <c r="G73" s="150"/>
      <c r="H73" s="150"/>
      <c r="I73" s="150"/>
      <c r="J73" s="150"/>
    </row>
    <row r="74" spans="1:10" x14ac:dyDescent="0.25">
      <c r="A74" s="150"/>
      <c r="B74" s="150"/>
      <c r="C74" s="150"/>
      <c r="D74" s="150"/>
      <c r="E74" s="150"/>
      <c r="F74" s="150"/>
      <c r="G74" s="150"/>
      <c r="H74" s="150"/>
      <c r="I74" s="150"/>
      <c r="J74" s="150"/>
    </row>
    <row r="75" spans="1:10" x14ac:dyDescent="0.25">
      <c r="A75" s="150"/>
      <c r="B75" s="150"/>
      <c r="C75" s="150"/>
      <c r="D75" s="150"/>
      <c r="E75" s="150"/>
      <c r="F75" s="150"/>
      <c r="G75" s="150"/>
      <c r="H75" s="150"/>
      <c r="I75" s="150"/>
      <c r="J75" s="150"/>
    </row>
    <row r="76" spans="1:10" x14ac:dyDescent="0.25">
      <c r="A76" s="150"/>
      <c r="B76" s="150"/>
      <c r="C76" s="150"/>
      <c r="D76" s="150"/>
      <c r="E76" s="150"/>
      <c r="F76" s="150"/>
      <c r="G76" s="150"/>
      <c r="H76" s="150"/>
      <c r="I76" s="150"/>
      <c r="J76" s="150"/>
    </row>
    <row r="77" spans="1:10" x14ac:dyDescent="0.25">
      <c r="A77" s="150"/>
      <c r="B77" s="150"/>
      <c r="C77" s="150"/>
      <c r="D77" s="150"/>
      <c r="E77" s="150"/>
      <c r="F77" s="150"/>
      <c r="G77" s="150"/>
      <c r="H77" s="150"/>
      <c r="I77" s="150"/>
      <c r="J77" s="150"/>
    </row>
    <row r="78" spans="1:10" x14ac:dyDescent="0.25">
      <c r="A78" s="150"/>
      <c r="B78" s="150"/>
      <c r="C78" s="150"/>
      <c r="D78" s="150"/>
      <c r="E78" s="150"/>
      <c r="F78" s="150"/>
      <c r="G78" s="150"/>
      <c r="H78" s="150"/>
      <c r="I78" s="150"/>
      <c r="J78" s="150"/>
    </row>
    <row r="79" spans="1:10" x14ac:dyDescent="0.25">
      <c r="A79" s="150"/>
      <c r="B79" s="150"/>
      <c r="C79" s="150"/>
      <c r="D79" s="150"/>
      <c r="E79" s="150"/>
      <c r="F79" s="150"/>
      <c r="G79" s="150"/>
      <c r="H79" s="150"/>
      <c r="I79" s="150"/>
      <c r="J79" s="150"/>
    </row>
    <row r="80" spans="1:10" x14ac:dyDescent="0.25">
      <c r="A80" s="150"/>
      <c r="B80" s="150"/>
      <c r="C80" s="150"/>
      <c r="D80" s="150"/>
      <c r="E80" s="150"/>
      <c r="F80" s="150"/>
      <c r="G80" s="150"/>
      <c r="H80" s="150"/>
      <c r="I80" s="150"/>
      <c r="J80" s="150"/>
    </row>
    <row r="81" spans="1:10" x14ac:dyDescent="0.25">
      <c r="A81" s="150"/>
      <c r="B81" s="150"/>
      <c r="C81" s="150"/>
      <c r="D81" s="150"/>
      <c r="E81" s="150"/>
      <c r="F81" s="150"/>
      <c r="G81" s="150"/>
      <c r="H81" s="150"/>
      <c r="I81" s="150"/>
      <c r="J81" s="150"/>
    </row>
    <row r="82" spans="1:10" x14ac:dyDescent="0.25">
      <c r="A82" s="150"/>
      <c r="B82" s="150"/>
      <c r="C82" s="150"/>
      <c r="D82" s="150"/>
      <c r="E82" s="150"/>
      <c r="F82" s="150"/>
      <c r="G82" s="150"/>
      <c r="H82" s="150"/>
      <c r="I82" s="150"/>
      <c r="J82" s="150"/>
    </row>
    <row r="83" spans="1:10" x14ac:dyDescent="0.25">
      <c r="A83" s="150"/>
      <c r="B83" s="150"/>
      <c r="C83" s="150"/>
      <c r="D83" s="150"/>
      <c r="E83" s="150"/>
      <c r="F83" s="150"/>
      <c r="G83" s="150"/>
      <c r="H83" s="150"/>
      <c r="I83" s="150"/>
      <c r="J83" s="150"/>
    </row>
    <row r="84" spans="1:10" x14ac:dyDescent="0.25">
      <c r="A84" s="150"/>
      <c r="B84" s="150"/>
      <c r="C84" s="150"/>
      <c r="D84" s="150"/>
      <c r="E84" s="150"/>
      <c r="F84" s="150"/>
      <c r="G84" s="150"/>
      <c r="H84" s="150"/>
      <c r="I84" s="150"/>
      <c r="J84" s="150"/>
    </row>
    <row r="85" spans="1:10" x14ac:dyDescent="0.25">
      <c r="A85" s="150"/>
      <c r="B85" s="150"/>
      <c r="C85" s="150"/>
      <c r="D85" s="150"/>
      <c r="E85" s="150"/>
      <c r="F85" s="150"/>
      <c r="G85" s="150"/>
      <c r="H85" s="150"/>
      <c r="I85" s="150"/>
      <c r="J85" s="150"/>
    </row>
    <row r="86" spans="1:10" x14ac:dyDescent="0.25">
      <c r="A86" s="150"/>
      <c r="B86" s="150"/>
      <c r="C86" s="150"/>
      <c r="D86" s="150"/>
      <c r="E86" s="150"/>
      <c r="F86" s="150"/>
      <c r="G86" s="150"/>
      <c r="H86" s="150"/>
      <c r="I86" s="150"/>
      <c r="J86" s="150"/>
    </row>
    <row r="87" spans="1:10" x14ac:dyDescent="0.25">
      <c r="A87" s="150"/>
      <c r="B87" s="150"/>
      <c r="C87" s="150"/>
      <c r="D87" s="150"/>
      <c r="E87" s="150"/>
      <c r="F87" s="150"/>
      <c r="G87" s="150"/>
      <c r="H87" s="150"/>
      <c r="I87" s="150"/>
      <c r="J87" s="150"/>
    </row>
    <row r="88" spans="1:10" x14ac:dyDescent="0.25">
      <c r="A88" s="150"/>
      <c r="B88" s="150"/>
      <c r="C88" s="150"/>
      <c r="D88" s="150"/>
      <c r="E88" s="150"/>
      <c r="F88" s="150"/>
      <c r="G88" s="150"/>
      <c r="H88" s="150"/>
      <c r="I88" s="150"/>
      <c r="J88" s="150"/>
    </row>
    <row r="89" spans="1:10" x14ac:dyDescent="0.25">
      <c r="A89" s="150"/>
      <c r="B89" s="150"/>
      <c r="C89" s="150"/>
      <c r="D89" s="150"/>
      <c r="E89" s="150"/>
      <c r="F89" s="150"/>
      <c r="G89" s="150"/>
      <c r="H89" s="150"/>
      <c r="I89" s="150"/>
      <c r="J89" s="150"/>
    </row>
    <row r="90" spans="1:10" x14ac:dyDescent="0.25">
      <c r="A90" s="150"/>
      <c r="B90" s="150"/>
      <c r="C90" s="150"/>
      <c r="D90" s="150"/>
      <c r="E90" s="150"/>
      <c r="F90" s="150"/>
      <c r="G90" s="150"/>
      <c r="H90" s="150"/>
      <c r="I90" s="150"/>
      <c r="J90" s="150"/>
    </row>
    <row r="91" spans="1:10" x14ac:dyDescent="0.25">
      <c r="A91" s="3"/>
      <c r="B91" s="150"/>
      <c r="C91" s="150"/>
      <c r="D91" s="150"/>
      <c r="E91" s="150"/>
      <c r="F91" s="150"/>
      <c r="G91" s="150"/>
      <c r="H91" s="150"/>
      <c r="I91" s="150"/>
      <c r="J91" s="150"/>
    </row>
    <row r="92" spans="1:10" x14ac:dyDescent="0.25">
      <c r="A92" s="3"/>
      <c r="B92" s="150"/>
      <c r="C92" s="150"/>
      <c r="D92" s="150"/>
      <c r="E92" s="150"/>
      <c r="F92" s="150"/>
      <c r="G92" s="150"/>
      <c r="H92" s="150"/>
      <c r="I92" s="150"/>
      <c r="J92" s="150"/>
    </row>
    <row r="93" spans="1:10" x14ac:dyDescent="0.25">
      <c r="A93" s="3"/>
      <c r="B93" s="150"/>
      <c r="C93" s="150"/>
      <c r="D93" s="150"/>
      <c r="E93" s="150"/>
      <c r="F93" s="150"/>
      <c r="G93" s="150"/>
      <c r="H93" s="150"/>
      <c r="I93" s="150"/>
      <c r="J93" s="150"/>
    </row>
    <row r="94" spans="1:10" x14ac:dyDescent="0.25">
      <c r="A94" s="3"/>
      <c r="B94" s="150"/>
      <c r="C94" s="150"/>
      <c r="D94" s="150"/>
      <c r="E94" s="150"/>
      <c r="F94" s="150"/>
      <c r="G94" s="150"/>
      <c r="H94" s="150"/>
      <c r="I94" s="150"/>
      <c r="J94" s="150"/>
    </row>
    <row r="95" spans="1:10" x14ac:dyDescent="0.25">
      <c r="A95" s="3"/>
      <c r="B95" s="150"/>
      <c r="C95" s="150"/>
      <c r="D95" s="150"/>
      <c r="E95" s="150"/>
      <c r="F95" s="150"/>
      <c r="G95" s="150"/>
      <c r="H95" s="150"/>
      <c r="I95" s="150"/>
      <c r="J95" s="150"/>
    </row>
    <row r="96" spans="1:10" x14ac:dyDescent="0.25">
      <c r="A96" s="3"/>
      <c r="B96" s="3"/>
      <c r="C96" s="3"/>
      <c r="D96" s="3"/>
      <c r="E96" s="3"/>
      <c r="F96" s="3"/>
      <c r="G96" s="3"/>
      <c r="H96" s="3"/>
      <c r="I96" s="3"/>
    </row>
    <row r="97" spans="1:9" x14ac:dyDescent="0.25">
      <c r="A97" s="3"/>
      <c r="B97" s="3"/>
      <c r="C97" s="3"/>
      <c r="D97" s="3"/>
      <c r="E97" s="3"/>
      <c r="F97" s="3"/>
      <c r="G97" s="3"/>
      <c r="H97" s="3"/>
      <c r="I97" s="3"/>
    </row>
    <row r="98" spans="1:9" x14ac:dyDescent="0.25">
      <c r="A98" s="3"/>
      <c r="B98" s="3"/>
      <c r="C98" s="3"/>
      <c r="D98" s="3"/>
      <c r="E98" s="3"/>
      <c r="F98" s="3"/>
      <c r="G98" s="3"/>
      <c r="H98" s="3"/>
      <c r="I98" s="3"/>
    </row>
    <row r="99" spans="1:9" x14ac:dyDescent="0.25">
      <c r="A99" s="3"/>
      <c r="B99" s="3"/>
      <c r="C99" s="3"/>
      <c r="D99" s="3"/>
      <c r="E99" s="3"/>
      <c r="F99" s="3"/>
      <c r="G99" s="3"/>
      <c r="H99" s="3"/>
      <c r="I99" s="3"/>
    </row>
    <row r="100" spans="1:9" x14ac:dyDescent="0.25">
      <c r="A100" s="3"/>
      <c r="B100" s="3"/>
      <c r="C100" s="3"/>
      <c r="D100" s="3"/>
      <c r="E100" s="3"/>
      <c r="F100" s="3"/>
      <c r="G100" s="3"/>
      <c r="H100" s="3"/>
      <c r="I100" s="3"/>
    </row>
    <row r="101" spans="1:9" x14ac:dyDescent="0.25">
      <c r="A101" s="3"/>
      <c r="B101" s="3"/>
      <c r="C101" s="3"/>
      <c r="D101" s="3"/>
      <c r="E101" s="3"/>
      <c r="F101" s="3"/>
      <c r="G101" s="3"/>
      <c r="H101" s="3"/>
      <c r="I101" s="3"/>
    </row>
    <row r="102" spans="1:9" x14ac:dyDescent="0.25">
      <c r="A102" s="3"/>
      <c r="B102" s="3"/>
      <c r="C102" s="3"/>
      <c r="D102" s="3"/>
      <c r="E102" s="3"/>
      <c r="F102" s="3"/>
      <c r="G102" s="3"/>
      <c r="H102" s="3"/>
      <c r="I102" s="3"/>
    </row>
    <row r="103" spans="1:9" x14ac:dyDescent="0.25">
      <c r="A103" s="3"/>
      <c r="B103" s="3"/>
      <c r="C103" s="3"/>
      <c r="D103" s="3"/>
      <c r="E103" s="3"/>
      <c r="F103" s="3"/>
      <c r="G103" s="3"/>
      <c r="H103" s="3"/>
      <c r="I103" s="3"/>
    </row>
    <row r="104" spans="1:9" x14ac:dyDescent="0.25">
      <c r="A104" s="3"/>
      <c r="B104" s="3"/>
      <c r="C104" s="3"/>
      <c r="D104" s="3"/>
      <c r="E104" s="3"/>
      <c r="F104" s="3"/>
      <c r="G104" s="3"/>
      <c r="H104" s="3"/>
      <c r="I104" s="3"/>
    </row>
    <row r="105" spans="1:9" x14ac:dyDescent="0.25">
      <c r="A105" s="3"/>
      <c r="B105" s="3"/>
      <c r="C105" s="3"/>
      <c r="D105" s="3"/>
      <c r="E105" s="3"/>
      <c r="F105" s="3"/>
      <c r="G105" s="3"/>
      <c r="H105" s="3"/>
      <c r="I105" s="3"/>
    </row>
    <row r="106" spans="1:9" x14ac:dyDescent="0.25">
      <c r="A106" s="3"/>
      <c r="B106" s="3"/>
      <c r="C106" s="3"/>
      <c r="D106" s="3"/>
      <c r="E106" s="3"/>
      <c r="F106" s="3"/>
      <c r="G106" s="3"/>
      <c r="H106" s="3"/>
      <c r="I106" s="3"/>
    </row>
    <row r="107" spans="1:9" x14ac:dyDescent="0.25">
      <c r="A107" s="3"/>
      <c r="B107" s="3"/>
      <c r="C107" s="3"/>
      <c r="D107" s="3"/>
      <c r="E107" s="3"/>
      <c r="F107" s="3"/>
      <c r="G107" s="3"/>
      <c r="H107" s="3"/>
      <c r="I107" s="3"/>
    </row>
    <row r="108" spans="1:9" x14ac:dyDescent="0.25">
      <c r="A108" s="3"/>
      <c r="B108" s="3"/>
      <c r="C108" s="3"/>
      <c r="D108" s="3"/>
      <c r="E108" s="3"/>
      <c r="F108" s="3"/>
      <c r="G108" s="3"/>
      <c r="H108" s="3"/>
      <c r="I108" s="3"/>
    </row>
    <row r="109" spans="1:9" x14ac:dyDescent="0.25">
      <c r="A109" s="3"/>
      <c r="B109" s="3"/>
      <c r="C109" s="3"/>
      <c r="D109" s="3"/>
      <c r="E109" s="3"/>
      <c r="F109" s="3"/>
      <c r="G109" s="3"/>
      <c r="H109" s="3"/>
      <c r="I109" s="3"/>
    </row>
    <row r="110" spans="1:9" x14ac:dyDescent="0.25">
      <c r="A110" s="3"/>
      <c r="B110" s="3"/>
      <c r="C110" s="3"/>
      <c r="D110" s="3"/>
      <c r="E110" s="3"/>
      <c r="F110" s="3"/>
      <c r="G110" s="3"/>
      <c r="H110" s="3"/>
      <c r="I110" s="3"/>
    </row>
    <row r="111" spans="1:9" x14ac:dyDescent="0.25">
      <c r="A111" s="3"/>
      <c r="B111" s="3"/>
      <c r="C111" s="3"/>
      <c r="D111" s="3"/>
      <c r="E111" s="3"/>
      <c r="F111" s="3"/>
      <c r="G111" s="3"/>
      <c r="H111" s="3"/>
      <c r="I111" s="3"/>
    </row>
    <row r="112" spans="1:9" x14ac:dyDescent="0.25">
      <c r="A112" s="3"/>
      <c r="B112" s="3"/>
      <c r="C112" s="3"/>
      <c r="D112" s="3"/>
      <c r="E112" s="3"/>
      <c r="F112" s="3"/>
      <c r="G112" s="3"/>
      <c r="H112" s="3"/>
      <c r="I112" s="3"/>
    </row>
    <row r="113" spans="1:9" x14ac:dyDescent="0.25">
      <c r="A113" s="3"/>
      <c r="B113" s="3"/>
      <c r="C113" s="3"/>
      <c r="D113" s="3"/>
      <c r="E113" s="3"/>
      <c r="F113" s="3"/>
      <c r="G113" s="3"/>
      <c r="H113" s="3"/>
      <c r="I113" s="3"/>
    </row>
    <row r="114" spans="1:9" x14ac:dyDescent="0.25">
      <c r="A114" s="3"/>
      <c r="B114" s="3"/>
      <c r="C114" s="3"/>
      <c r="D114" s="3"/>
      <c r="E114" s="3"/>
      <c r="F114" s="3"/>
      <c r="G114" s="3"/>
      <c r="H114" s="3"/>
      <c r="I114" s="3"/>
    </row>
    <row r="115" spans="1:9" x14ac:dyDescent="0.25">
      <c r="A115" s="3"/>
      <c r="B115" s="3"/>
      <c r="C115" s="3"/>
      <c r="D115" s="3"/>
      <c r="E115" s="3"/>
      <c r="F115" s="3"/>
      <c r="G115" s="3"/>
      <c r="H115" s="3"/>
      <c r="I115" s="3"/>
    </row>
    <row r="116" spans="1:9" x14ac:dyDescent="0.25">
      <c r="A116" s="3"/>
      <c r="B116" s="3"/>
      <c r="C116" s="3"/>
      <c r="D116" s="3"/>
      <c r="E116" s="3"/>
      <c r="F116" s="3"/>
      <c r="G116" s="3"/>
      <c r="H116" s="3"/>
      <c r="I116" s="3"/>
    </row>
    <row r="117" spans="1:9" x14ac:dyDescent="0.25">
      <c r="A117" s="3"/>
      <c r="B117" s="3"/>
      <c r="C117" s="3"/>
      <c r="D117" s="3"/>
      <c r="E117" s="3"/>
      <c r="F117" s="3"/>
      <c r="G117" s="3"/>
      <c r="H117" s="3"/>
      <c r="I117" s="3"/>
    </row>
    <row r="118" spans="1:9" x14ac:dyDescent="0.25">
      <c r="A118" s="3"/>
      <c r="B118" s="3"/>
      <c r="C118" s="3"/>
      <c r="D118" s="3"/>
      <c r="E118" s="3"/>
      <c r="F118" s="3"/>
      <c r="G118" s="3"/>
      <c r="H118" s="3"/>
      <c r="I118" s="3"/>
    </row>
    <row r="119" spans="1:9" x14ac:dyDescent="0.25">
      <c r="A119" s="3"/>
      <c r="B119" s="3"/>
      <c r="C119" s="3"/>
      <c r="D119" s="3"/>
      <c r="E119" s="3"/>
      <c r="F119" s="3"/>
      <c r="G119" s="3"/>
      <c r="H119" s="3"/>
      <c r="I119" s="3"/>
    </row>
    <row r="120" spans="1:9" x14ac:dyDescent="0.25">
      <c r="A120" s="3"/>
      <c r="B120" s="3"/>
      <c r="C120" s="3"/>
      <c r="D120" s="3"/>
      <c r="E120" s="3"/>
      <c r="F120" s="3"/>
      <c r="G120" s="3"/>
      <c r="H120" s="3"/>
      <c r="I120" s="3"/>
    </row>
    <row r="121" spans="1:9" x14ac:dyDescent="0.25">
      <c r="A121" s="3"/>
      <c r="B121" s="3"/>
      <c r="C121" s="3"/>
      <c r="D121" s="3"/>
      <c r="E121" s="3"/>
      <c r="F121" s="3"/>
      <c r="G121" s="3"/>
      <c r="H121" s="3"/>
      <c r="I121" s="3"/>
    </row>
    <row r="122" spans="1:9" x14ac:dyDescent="0.25">
      <c r="A122" s="3"/>
      <c r="B122" s="3"/>
      <c r="C122" s="3"/>
      <c r="D122" s="3"/>
      <c r="E122" s="3"/>
      <c r="F122" s="3"/>
      <c r="G122" s="3"/>
      <c r="H122" s="3"/>
      <c r="I122" s="3"/>
    </row>
    <row r="123" spans="1:9" x14ac:dyDescent="0.25">
      <c r="A123" s="3"/>
      <c r="B123" s="3"/>
      <c r="C123" s="3"/>
      <c r="D123" s="3"/>
      <c r="E123" s="3"/>
      <c r="F123" s="3"/>
      <c r="G123" s="3"/>
      <c r="H123" s="3"/>
      <c r="I123" s="3"/>
    </row>
    <row r="124" spans="1:9" x14ac:dyDescent="0.25">
      <c r="A124" s="3"/>
      <c r="B124" s="3"/>
      <c r="C124" s="3"/>
      <c r="D124" s="3"/>
      <c r="E124" s="3"/>
      <c r="F124" s="3"/>
      <c r="G124" s="3"/>
      <c r="H124" s="3"/>
      <c r="I124" s="3"/>
    </row>
    <row r="125" spans="1:9" x14ac:dyDescent="0.25">
      <c r="A125" s="3"/>
      <c r="B125" s="3"/>
      <c r="C125" s="3"/>
      <c r="D125" s="3"/>
      <c r="E125" s="3"/>
      <c r="F125" s="3"/>
      <c r="G125" s="3"/>
      <c r="H125" s="3"/>
      <c r="I125" s="3"/>
    </row>
    <row r="126" spans="1:9" x14ac:dyDescent="0.25">
      <c r="A126" s="3"/>
      <c r="B126" s="3"/>
      <c r="C126" s="3"/>
      <c r="D126" s="3"/>
      <c r="E126" s="3"/>
      <c r="F126" s="3"/>
      <c r="G126" s="3"/>
      <c r="H126" s="3"/>
      <c r="I126" s="3"/>
    </row>
    <row r="127" spans="1:9" x14ac:dyDescent="0.25">
      <c r="A127" s="3"/>
      <c r="B127" s="3"/>
      <c r="C127" s="3"/>
      <c r="D127" s="3"/>
      <c r="E127" s="3"/>
      <c r="F127" s="3"/>
      <c r="G127" s="3"/>
      <c r="H127" s="3"/>
      <c r="I127" s="3"/>
    </row>
    <row r="128" spans="1:9" x14ac:dyDescent="0.25">
      <c r="A128" s="3"/>
      <c r="B128" s="3"/>
      <c r="C128" s="3"/>
      <c r="D128" s="3"/>
      <c r="E128" s="3"/>
      <c r="F128" s="3"/>
      <c r="G128" s="3"/>
      <c r="H128" s="3"/>
      <c r="I128" s="3"/>
    </row>
    <row r="129" spans="1:9" x14ac:dyDescent="0.25">
      <c r="A129" s="3"/>
      <c r="B129" s="3"/>
      <c r="C129" s="3"/>
      <c r="D129" s="3"/>
      <c r="E129" s="3"/>
      <c r="F129" s="3"/>
      <c r="G129" s="3"/>
      <c r="H129" s="3"/>
      <c r="I129" s="3"/>
    </row>
    <row r="130" spans="1:9" x14ac:dyDescent="0.25">
      <c r="A130" s="3"/>
      <c r="B130" s="3"/>
      <c r="C130" s="3"/>
      <c r="D130" s="3"/>
      <c r="E130" s="3"/>
      <c r="F130" s="3"/>
      <c r="G130" s="3"/>
      <c r="H130" s="3"/>
      <c r="I130" s="3"/>
    </row>
    <row r="131" spans="1:9" x14ac:dyDescent="0.25">
      <c r="A131" s="3"/>
      <c r="B131" s="3"/>
      <c r="C131" s="3"/>
      <c r="D131" s="3"/>
      <c r="E131" s="3"/>
      <c r="F131" s="3"/>
      <c r="G131" s="3"/>
      <c r="H131" s="3"/>
      <c r="I131" s="3"/>
    </row>
    <row r="132" spans="1:9" x14ac:dyDescent="0.25">
      <c r="A132" s="3"/>
      <c r="B132" s="3"/>
      <c r="C132" s="3"/>
      <c r="D132" s="3"/>
      <c r="E132" s="3"/>
      <c r="F132" s="3"/>
      <c r="G132" s="3"/>
      <c r="H132" s="3"/>
      <c r="I132" s="3"/>
    </row>
    <row r="133" spans="1:9" x14ac:dyDescent="0.25">
      <c r="A133" s="3"/>
      <c r="B133" s="3"/>
      <c r="C133" s="3"/>
      <c r="D133" s="3"/>
      <c r="E133" s="3"/>
      <c r="F133" s="3"/>
      <c r="G133" s="3"/>
      <c r="H133" s="3"/>
      <c r="I133" s="3"/>
    </row>
    <row r="134" spans="1:9" x14ac:dyDescent="0.25">
      <c r="A134" s="3"/>
      <c r="B134" s="3"/>
      <c r="C134" s="3"/>
      <c r="D134" s="3"/>
      <c r="E134" s="3"/>
      <c r="F134" s="3"/>
      <c r="G134" s="3"/>
      <c r="H134" s="3"/>
      <c r="I134" s="3"/>
    </row>
    <row r="135" spans="1:9" x14ac:dyDescent="0.25">
      <c r="A135" s="3"/>
      <c r="B135" s="3"/>
      <c r="C135" s="3"/>
      <c r="D135" s="3"/>
      <c r="E135" s="3"/>
      <c r="F135" s="3"/>
      <c r="G135" s="3"/>
      <c r="H135" s="3"/>
      <c r="I135" s="3"/>
    </row>
    <row r="136" spans="1:9" x14ac:dyDescent="0.25">
      <c r="A136" s="3"/>
      <c r="B136" s="3"/>
      <c r="C136" s="3"/>
      <c r="D136" s="3"/>
      <c r="E136" s="3"/>
      <c r="F136" s="3"/>
      <c r="G136" s="3"/>
      <c r="H136" s="3"/>
      <c r="I136" s="3"/>
    </row>
    <row r="137" spans="1:9" x14ac:dyDescent="0.25">
      <c r="A137" s="3"/>
      <c r="B137" s="3"/>
      <c r="C137" s="3"/>
      <c r="D137" s="3"/>
      <c r="E137" s="3"/>
      <c r="F137" s="3"/>
      <c r="G137" s="3"/>
      <c r="H137" s="3"/>
      <c r="I137" s="3"/>
    </row>
    <row r="138" spans="1:9" x14ac:dyDescent="0.25">
      <c r="A138" s="3"/>
      <c r="B138" s="3"/>
      <c r="C138" s="3"/>
      <c r="D138" s="3"/>
      <c r="E138" s="3"/>
      <c r="F138" s="3"/>
      <c r="G138" s="3"/>
      <c r="H138" s="3"/>
      <c r="I138" s="3"/>
    </row>
    <row r="139" spans="1:9" x14ac:dyDescent="0.25">
      <c r="A139" s="3"/>
      <c r="B139" s="3"/>
      <c r="C139" s="3"/>
      <c r="D139" s="3"/>
      <c r="E139" s="3"/>
      <c r="F139" s="3"/>
      <c r="G139" s="3"/>
      <c r="H139" s="3"/>
      <c r="I139" s="3"/>
    </row>
    <row r="140" spans="1:9" x14ac:dyDescent="0.25">
      <c r="A140" s="3"/>
      <c r="B140" s="3"/>
      <c r="C140" s="3"/>
      <c r="D140" s="3"/>
      <c r="E140" s="3"/>
      <c r="F140" s="3"/>
      <c r="G140" s="3"/>
      <c r="H140" s="3"/>
      <c r="I140" s="3"/>
    </row>
    <row r="141" spans="1:9" x14ac:dyDescent="0.25">
      <c r="A141" s="3"/>
      <c r="B141" s="3"/>
      <c r="C141" s="3"/>
      <c r="D141" s="3"/>
      <c r="E141" s="3"/>
      <c r="F141" s="3"/>
      <c r="G141" s="3"/>
      <c r="H141" s="3"/>
      <c r="I141" s="3"/>
    </row>
    <row r="142" spans="1:9" x14ac:dyDescent="0.25">
      <c r="A142" s="3"/>
      <c r="B142" s="3"/>
      <c r="C142" s="3"/>
      <c r="D142" s="3"/>
      <c r="E142" s="3"/>
      <c r="F142" s="3"/>
      <c r="G142" s="3"/>
      <c r="H142" s="3"/>
      <c r="I142" s="3"/>
    </row>
    <row r="143" spans="1:9" x14ac:dyDescent="0.25">
      <c r="A143" s="3"/>
      <c r="B143" s="3"/>
      <c r="C143" s="3"/>
      <c r="D143" s="3"/>
      <c r="E143" s="3"/>
      <c r="F143" s="3"/>
      <c r="G143" s="3"/>
      <c r="H143" s="3"/>
      <c r="I143" s="3"/>
    </row>
    <row r="144" spans="1:9" x14ac:dyDescent="0.25">
      <c r="A144" s="3"/>
      <c r="B144" s="3"/>
      <c r="C144" s="3"/>
      <c r="D144" s="3"/>
      <c r="E144" s="3"/>
      <c r="F144" s="3"/>
      <c r="G144" s="3"/>
      <c r="H144" s="3"/>
      <c r="I144" s="3"/>
    </row>
    <row r="145" spans="1:9" x14ac:dyDescent="0.25">
      <c r="A145" s="3"/>
      <c r="B145" s="3"/>
      <c r="C145" s="3"/>
      <c r="D145" s="3"/>
      <c r="E145" s="3"/>
      <c r="F145" s="3"/>
      <c r="G145" s="3"/>
      <c r="H145" s="3"/>
      <c r="I145" s="3"/>
    </row>
    <row r="146" spans="1:9" x14ac:dyDescent="0.25">
      <c r="A146" s="3"/>
      <c r="B146" s="3"/>
      <c r="C146" s="3"/>
      <c r="D146" s="3"/>
      <c r="E146" s="3"/>
      <c r="F146" s="3"/>
      <c r="G146" s="3"/>
      <c r="H146" s="3"/>
      <c r="I146" s="3"/>
    </row>
    <row r="147" spans="1:9" x14ac:dyDescent="0.25">
      <c r="A147" s="3"/>
      <c r="B147" s="3"/>
      <c r="C147" s="3"/>
      <c r="D147" s="3"/>
      <c r="E147" s="3"/>
      <c r="F147" s="3"/>
      <c r="G147" s="3"/>
      <c r="H147" s="3"/>
      <c r="I147" s="3"/>
    </row>
    <row r="148" spans="1:9" x14ac:dyDescent="0.25">
      <c r="A148" s="3"/>
      <c r="B148" s="3"/>
      <c r="C148" s="3"/>
      <c r="D148" s="3"/>
      <c r="E148" s="3"/>
      <c r="F148" s="3"/>
      <c r="G148" s="3"/>
      <c r="H148" s="3"/>
      <c r="I148" s="3"/>
    </row>
    <row r="149" spans="1:9" x14ac:dyDescent="0.25">
      <c r="A149" s="3"/>
      <c r="B149" s="3"/>
      <c r="C149" s="3"/>
      <c r="D149" s="3"/>
      <c r="E149" s="3"/>
      <c r="F149" s="3"/>
      <c r="G149" s="3"/>
      <c r="H149" s="3"/>
      <c r="I149" s="3"/>
    </row>
    <row r="150" spans="1:9" x14ac:dyDescent="0.25">
      <c r="A150" s="3"/>
      <c r="B150" s="3"/>
      <c r="C150" s="3"/>
      <c r="D150" s="3"/>
      <c r="E150" s="3"/>
      <c r="F150" s="3"/>
      <c r="G150" s="3"/>
      <c r="H150" s="3"/>
      <c r="I150" s="3"/>
    </row>
    <row r="151" spans="1:9" x14ac:dyDescent="0.25">
      <c r="A151" s="3"/>
      <c r="B151" s="3"/>
      <c r="C151" s="3"/>
      <c r="D151" s="3"/>
      <c r="E151" s="3"/>
      <c r="F151" s="3"/>
      <c r="G151" s="3"/>
      <c r="H151" s="3"/>
      <c r="I151" s="3"/>
    </row>
    <row r="152" spans="1:9" x14ac:dyDescent="0.25">
      <c r="A152" s="3"/>
      <c r="B152" s="3"/>
      <c r="C152" s="3"/>
      <c r="D152" s="3"/>
      <c r="E152" s="3"/>
      <c r="F152" s="3"/>
      <c r="G152" s="3"/>
      <c r="H152" s="3"/>
      <c r="I152" s="3"/>
    </row>
    <row r="153" spans="1:9" x14ac:dyDescent="0.25">
      <c r="A153" s="3"/>
      <c r="B153" s="3"/>
      <c r="C153" s="3"/>
      <c r="D153" s="3"/>
      <c r="E153" s="3"/>
      <c r="F153" s="3"/>
      <c r="G153" s="3"/>
      <c r="H153" s="3"/>
      <c r="I153" s="3"/>
    </row>
    <row r="154" spans="1:9" x14ac:dyDescent="0.25">
      <c r="A154" s="3"/>
      <c r="B154" s="3"/>
      <c r="C154" s="3"/>
      <c r="D154" s="3"/>
      <c r="E154" s="3"/>
      <c r="F154" s="3"/>
      <c r="G154" s="3"/>
      <c r="H154" s="3"/>
      <c r="I154" s="3"/>
    </row>
    <row r="155" spans="1:9" x14ac:dyDescent="0.25">
      <c r="A155" s="3"/>
      <c r="B155" s="3"/>
      <c r="C155" s="3"/>
      <c r="D155" s="3"/>
      <c r="E155" s="3"/>
      <c r="F155" s="3"/>
      <c r="G155" s="3"/>
      <c r="H155" s="3"/>
      <c r="I155" s="3"/>
    </row>
    <row r="156" spans="1:9" x14ac:dyDescent="0.25">
      <c r="A156" s="3"/>
      <c r="B156" s="3"/>
      <c r="C156" s="3"/>
      <c r="D156" s="3"/>
      <c r="E156" s="3"/>
      <c r="F156" s="3"/>
      <c r="G156" s="3"/>
      <c r="H156" s="3"/>
      <c r="I156" s="3"/>
    </row>
    <row r="157" spans="1:9" x14ac:dyDescent="0.25">
      <c r="A157" s="3"/>
      <c r="B157" s="3"/>
      <c r="C157" s="3"/>
      <c r="D157" s="3"/>
      <c r="E157" s="3"/>
      <c r="F157" s="3"/>
      <c r="G157" s="3"/>
      <c r="H157" s="3"/>
      <c r="I157" s="3"/>
    </row>
    <row r="158" spans="1:9" x14ac:dyDescent="0.25">
      <c r="A158" s="3"/>
      <c r="B158" s="3"/>
      <c r="C158" s="3"/>
      <c r="D158" s="3"/>
      <c r="E158" s="3"/>
      <c r="F158" s="3"/>
      <c r="G158" s="3"/>
      <c r="H158" s="3"/>
      <c r="I158" s="3"/>
    </row>
    <row r="159" spans="1:9" x14ac:dyDescent="0.25">
      <c r="A159" s="3"/>
      <c r="B159" s="3"/>
      <c r="C159" s="3"/>
      <c r="D159" s="3"/>
      <c r="E159" s="3"/>
      <c r="F159" s="3"/>
      <c r="G159" s="3"/>
      <c r="H159" s="3"/>
      <c r="I159" s="3"/>
    </row>
    <row r="160" spans="1:9" x14ac:dyDescent="0.25">
      <c r="A160" s="3"/>
      <c r="B160" s="3"/>
      <c r="C160" s="3"/>
      <c r="D160" s="3"/>
      <c r="E160" s="3"/>
      <c r="F160" s="3"/>
      <c r="G160" s="3"/>
      <c r="H160" s="3"/>
      <c r="I160" s="3"/>
    </row>
    <row r="161" spans="1:9" x14ac:dyDescent="0.25">
      <c r="A161" s="3"/>
      <c r="B161" s="3"/>
      <c r="C161" s="3"/>
      <c r="D161" s="3"/>
      <c r="E161" s="3"/>
      <c r="F161" s="3"/>
      <c r="G161" s="3"/>
      <c r="H161" s="3"/>
      <c r="I161" s="3"/>
    </row>
    <row r="162" spans="1:9" x14ac:dyDescent="0.25">
      <c r="A162" s="3"/>
      <c r="B162" s="3"/>
      <c r="C162" s="3"/>
      <c r="D162" s="3"/>
      <c r="E162" s="3"/>
      <c r="F162" s="3"/>
      <c r="G162" s="3"/>
      <c r="H162" s="3"/>
      <c r="I162" s="3"/>
    </row>
    <row r="163" spans="1:9" x14ac:dyDescent="0.25">
      <c r="A163" s="3"/>
      <c r="B163" s="3"/>
      <c r="C163" s="3"/>
      <c r="D163" s="3"/>
      <c r="E163" s="3"/>
      <c r="F163" s="3"/>
      <c r="G163" s="3"/>
      <c r="H163" s="3"/>
      <c r="I163" s="3"/>
    </row>
    <row r="164" spans="1:9" x14ac:dyDescent="0.25">
      <c r="A164" s="3"/>
      <c r="B164" s="3"/>
      <c r="C164" s="3"/>
      <c r="D164" s="3"/>
      <c r="E164" s="3"/>
      <c r="F164" s="3"/>
      <c r="G164" s="3"/>
      <c r="H164" s="3"/>
      <c r="I164" s="3"/>
    </row>
    <row r="165" spans="1:9" x14ac:dyDescent="0.25">
      <c r="A165" s="3"/>
      <c r="B165" s="3"/>
      <c r="C165" s="3"/>
      <c r="D165" s="3"/>
      <c r="E165" s="3"/>
      <c r="F165" s="3"/>
      <c r="G165" s="3"/>
      <c r="H165" s="3"/>
      <c r="I165" s="3"/>
    </row>
    <row r="166" spans="1:9" x14ac:dyDescent="0.25">
      <c r="A166" s="3"/>
      <c r="B166" s="3"/>
      <c r="C166" s="3"/>
      <c r="D166" s="3"/>
      <c r="E166" s="3"/>
      <c r="F166" s="3"/>
      <c r="G166" s="3"/>
      <c r="H166" s="3"/>
      <c r="I166" s="3"/>
    </row>
    <row r="167" spans="1:9" x14ac:dyDescent="0.25">
      <c r="A167" s="3"/>
      <c r="B167" s="3"/>
      <c r="C167" s="3"/>
      <c r="D167" s="3"/>
      <c r="E167" s="3"/>
      <c r="F167" s="3"/>
      <c r="G167" s="3"/>
      <c r="H167" s="3"/>
      <c r="I167" s="3"/>
    </row>
    <row r="168" spans="1:9" x14ac:dyDescent="0.25">
      <c r="A168" s="3"/>
      <c r="B168" s="3"/>
      <c r="C168" s="3"/>
      <c r="D168" s="3"/>
      <c r="E168" s="3"/>
      <c r="F168" s="3"/>
      <c r="G168" s="3"/>
      <c r="H168" s="3"/>
      <c r="I168" s="3"/>
    </row>
    <row r="169" spans="1:9" x14ac:dyDescent="0.25">
      <c r="A169" s="3"/>
      <c r="B169" s="3"/>
      <c r="C169" s="3"/>
      <c r="D169" s="3"/>
      <c r="E169" s="3"/>
      <c r="F169" s="3"/>
      <c r="G169" s="3"/>
      <c r="H169" s="3"/>
      <c r="I169" s="3"/>
    </row>
    <row r="170" spans="1:9" x14ac:dyDescent="0.25">
      <c r="A170" s="3"/>
      <c r="B170" s="3"/>
      <c r="C170" s="3"/>
      <c r="D170" s="3"/>
      <c r="E170" s="3"/>
      <c r="F170" s="3"/>
      <c r="G170" s="3"/>
      <c r="H170" s="3"/>
      <c r="I170" s="3"/>
    </row>
    <row r="171" spans="1:9" x14ac:dyDescent="0.25">
      <c r="A171" s="3"/>
      <c r="B171" s="3"/>
      <c r="C171" s="3"/>
      <c r="D171" s="3"/>
      <c r="E171" s="3"/>
      <c r="F171" s="3"/>
      <c r="G171" s="3"/>
      <c r="H171" s="3"/>
      <c r="I171" s="3"/>
    </row>
    <row r="172" spans="1:9" x14ac:dyDescent="0.25">
      <c r="A172" s="3"/>
      <c r="B172" s="3"/>
      <c r="C172" s="3"/>
      <c r="D172" s="3"/>
      <c r="E172" s="3"/>
      <c r="F172" s="3"/>
      <c r="G172" s="3"/>
      <c r="H172" s="3"/>
      <c r="I172" s="3"/>
    </row>
    <row r="173" spans="1:9" x14ac:dyDescent="0.25">
      <c r="A173" s="3"/>
      <c r="B173" s="3"/>
      <c r="C173" s="3"/>
      <c r="D173" s="3"/>
      <c r="E173" s="3"/>
      <c r="F173" s="3"/>
      <c r="G173" s="3"/>
      <c r="H173" s="3"/>
      <c r="I173" s="3"/>
    </row>
    <row r="174" spans="1:9" x14ac:dyDescent="0.25">
      <c r="A174" s="3"/>
      <c r="B174" s="3"/>
      <c r="C174" s="3"/>
      <c r="D174" s="3"/>
      <c r="E174" s="3"/>
      <c r="F174" s="3"/>
      <c r="G174" s="3"/>
      <c r="H174" s="3"/>
      <c r="I174" s="3"/>
    </row>
    <row r="175" spans="1:9" x14ac:dyDescent="0.25">
      <c r="A175" s="3"/>
      <c r="B175" s="3"/>
      <c r="C175" s="3"/>
      <c r="D175" s="3"/>
      <c r="E175" s="3"/>
      <c r="F175" s="3"/>
      <c r="G175" s="3"/>
      <c r="H175" s="3"/>
      <c r="I175" s="3"/>
    </row>
    <row r="176" spans="1:9" x14ac:dyDescent="0.25">
      <c r="A176" s="3"/>
      <c r="B176" s="3"/>
      <c r="C176" s="3"/>
      <c r="D176" s="3"/>
      <c r="E176" s="3"/>
      <c r="F176" s="3"/>
      <c r="G176" s="3"/>
      <c r="H176" s="3"/>
      <c r="I176" s="3"/>
    </row>
    <row r="177" spans="1:9" x14ac:dyDescent="0.25">
      <c r="A177" s="3"/>
      <c r="B177" s="3"/>
      <c r="C177" s="3"/>
      <c r="D177" s="3"/>
      <c r="E177" s="3"/>
      <c r="F177" s="3"/>
      <c r="G177" s="3"/>
      <c r="H177" s="3"/>
      <c r="I177" s="3"/>
    </row>
    <row r="178" spans="1:9" x14ac:dyDescent="0.25">
      <c r="A178" s="3"/>
      <c r="B178" s="3"/>
      <c r="C178" s="3"/>
      <c r="D178" s="3"/>
      <c r="E178" s="3"/>
      <c r="F178" s="3"/>
      <c r="G178" s="3"/>
      <c r="H178" s="3"/>
      <c r="I178" s="3"/>
    </row>
    <row r="179" spans="1:9" x14ac:dyDescent="0.25">
      <c r="A179" s="3"/>
      <c r="B179" s="3"/>
      <c r="C179" s="3"/>
      <c r="D179" s="3"/>
      <c r="E179" s="3"/>
      <c r="F179" s="3"/>
      <c r="G179" s="3"/>
      <c r="H179" s="3"/>
      <c r="I179" s="3"/>
    </row>
    <row r="180" spans="1:9" x14ac:dyDescent="0.25">
      <c r="A180" s="3"/>
      <c r="B180" s="3"/>
      <c r="C180" s="3"/>
      <c r="D180" s="3"/>
      <c r="E180" s="3"/>
      <c r="F180" s="3"/>
      <c r="G180" s="3"/>
      <c r="H180" s="3"/>
      <c r="I180" s="3"/>
    </row>
    <row r="181" spans="1:9" x14ac:dyDescent="0.25">
      <c r="A181" s="3"/>
      <c r="B181" s="3"/>
      <c r="C181" s="3"/>
      <c r="D181" s="3"/>
      <c r="E181" s="3"/>
      <c r="F181" s="3"/>
      <c r="G181" s="3"/>
      <c r="H181" s="3"/>
      <c r="I181" s="3"/>
    </row>
    <row r="182" spans="1:9" x14ac:dyDescent="0.25">
      <c r="A182" s="3"/>
      <c r="B182" s="3"/>
      <c r="C182" s="3"/>
      <c r="D182" s="3"/>
      <c r="E182" s="3"/>
      <c r="F182" s="3"/>
      <c r="G182" s="3"/>
      <c r="H182" s="3"/>
      <c r="I182" s="3"/>
    </row>
    <row r="183" spans="1:9" x14ac:dyDescent="0.25">
      <c r="A183" s="3"/>
      <c r="B183" s="3"/>
      <c r="C183" s="3"/>
      <c r="D183" s="3"/>
      <c r="E183" s="3"/>
      <c r="F183" s="3"/>
      <c r="G183" s="3"/>
      <c r="H183" s="3"/>
      <c r="I183" s="3"/>
    </row>
    <row r="184" spans="1:9" x14ac:dyDescent="0.25">
      <c r="A184" s="3"/>
      <c r="B184" s="3"/>
      <c r="C184" s="3"/>
      <c r="D184" s="3"/>
      <c r="E184" s="3"/>
      <c r="F184" s="3"/>
      <c r="G184" s="3"/>
      <c r="H184" s="3"/>
      <c r="I184" s="3"/>
    </row>
    <row r="185" spans="1:9" x14ac:dyDescent="0.25">
      <c r="A185" s="3"/>
      <c r="B185" s="3"/>
      <c r="C185" s="3"/>
      <c r="D185" s="3"/>
      <c r="E185" s="3"/>
      <c r="F185" s="3"/>
      <c r="G185" s="3"/>
      <c r="H185" s="3"/>
      <c r="I185" s="3"/>
    </row>
    <row r="186" spans="1:9" x14ac:dyDescent="0.25">
      <c r="A186" s="3"/>
      <c r="B186" s="3"/>
      <c r="C186" s="3"/>
      <c r="D186" s="3"/>
      <c r="E186" s="3"/>
      <c r="F186" s="3"/>
      <c r="G186" s="3"/>
      <c r="H186" s="3"/>
      <c r="I186" s="3"/>
    </row>
    <row r="187" spans="1:9" x14ac:dyDescent="0.25">
      <c r="A187" s="3"/>
      <c r="B187" s="3"/>
      <c r="C187" s="3"/>
      <c r="D187" s="3"/>
      <c r="E187" s="3"/>
      <c r="F187" s="3"/>
      <c r="G187" s="3"/>
      <c r="H187" s="3"/>
      <c r="I187" s="3"/>
    </row>
    <row r="188" spans="1:9" x14ac:dyDescent="0.25">
      <c r="A188" s="3"/>
      <c r="B188" s="3"/>
      <c r="C188" s="3"/>
      <c r="D188" s="3"/>
      <c r="E188" s="3"/>
      <c r="F188" s="3"/>
      <c r="G188" s="3"/>
      <c r="H188" s="3"/>
      <c r="I188" s="3"/>
    </row>
    <row r="189" spans="1:9" x14ac:dyDescent="0.25">
      <c r="A189" s="3"/>
      <c r="B189" s="3"/>
      <c r="C189" s="3"/>
      <c r="D189" s="3"/>
      <c r="E189" s="3"/>
      <c r="F189" s="3"/>
      <c r="G189" s="3"/>
      <c r="H189" s="3"/>
      <c r="I189" s="3"/>
    </row>
    <row r="190" spans="1:9" x14ac:dyDescent="0.25">
      <c r="A190" s="3"/>
      <c r="B190" s="3"/>
      <c r="C190" s="3"/>
      <c r="D190" s="3"/>
      <c r="E190" s="3"/>
      <c r="F190" s="3"/>
      <c r="G190" s="3"/>
      <c r="H190" s="3"/>
      <c r="I190" s="3"/>
    </row>
    <row r="191" spans="1:9" x14ac:dyDescent="0.25">
      <c r="A191" s="3"/>
      <c r="B191" s="3"/>
      <c r="C191" s="3"/>
      <c r="D191" s="3"/>
      <c r="E191" s="3"/>
      <c r="F191" s="3"/>
      <c r="G191" s="3"/>
      <c r="H191" s="3"/>
      <c r="I191" s="3"/>
    </row>
    <row r="192" spans="1:9" x14ac:dyDescent="0.25">
      <c r="A192" s="3"/>
      <c r="B192" s="3"/>
      <c r="C192" s="3"/>
      <c r="D192" s="3"/>
      <c r="E192" s="3"/>
      <c r="F192" s="3"/>
      <c r="G192" s="3"/>
      <c r="H192" s="3"/>
      <c r="I192" s="3"/>
    </row>
    <row r="193" spans="1:9" x14ac:dyDescent="0.25">
      <c r="A193" s="3"/>
      <c r="B193" s="3"/>
      <c r="C193" s="3"/>
      <c r="D193" s="3"/>
      <c r="E193" s="3"/>
      <c r="F193" s="3"/>
      <c r="G193" s="3"/>
      <c r="H193" s="3"/>
      <c r="I193" s="3"/>
    </row>
    <row r="194" spans="1:9" x14ac:dyDescent="0.25">
      <c r="A194" s="3"/>
      <c r="B194" s="3"/>
      <c r="C194" s="3"/>
      <c r="D194" s="3"/>
      <c r="E194" s="3"/>
      <c r="F194" s="3"/>
      <c r="G194" s="3"/>
      <c r="H194" s="3"/>
      <c r="I194" s="3"/>
    </row>
    <row r="195" spans="1:9" x14ac:dyDescent="0.25">
      <c r="A195" s="3"/>
      <c r="B195" s="3"/>
      <c r="C195" s="3"/>
      <c r="D195" s="3"/>
      <c r="E195" s="3"/>
      <c r="F195" s="3"/>
      <c r="G195" s="3"/>
      <c r="H195" s="3"/>
      <c r="I195" s="3"/>
    </row>
    <row r="196" spans="1:9" x14ac:dyDescent="0.25">
      <c r="A196" s="3"/>
      <c r="B196" s="3"/>
      <c r="C196" s="3"/>
      <c r="D196" s="3"/>
      <c r="E196" s="3"/>
      <c r="F196" s="3"/>
      <c r="G196" s="3"/>
      <c r="H196" s="3"/>
      <c r="I196" s="3"/>
    </row>
    <row r="197" spans="1:9" x14ac:dyDescent="0.25">
      <c r="A197" s="3"/>
      <c r="B197" s="3"/>
      <c r="C197" s="3"/>
      <c r="D197" s="3"/>
      <c r="E197" s="3"/>
      <c r="F197" s="3"/>
      <c r="G197" s="3"/>
      <c r="H197" s="3"/>
      <c r="I197" s="3"/>
    </row>
    <row r="198" spans="1:9" x14ac:dyDescent="0.25">
      <c r="A198" s="3"/>
      <c r="B198" s="3"/>
      <c r="C198" s="3"/>
      <c r="D198" s="3"/>
      <c r="E198" s="3"/>
      <c r="F198" s="3"/>
      <c r="G198" s="3"/>
      <c r="H198" s="3"/>
      <c r="I198" s="3"/>
    </row>
    <row r="199" spans="1:9" x14ac:dyDescent="0.25">
      <c r="A199" s="3"/>
      <c r="B199" s="3"/>
      <c r="C199" s="3"/>
      <c r="D199" s="3"/>
      <c r="E199" s="3"/>
      <c r="F199" s="3"/>
      <c r="G199" s="3"/>
      <c r="H199" s="3"/>
      <c r="I199" s="3"/>
    </row>
    <row r="200" spans="1:9" x14ac:dyDescent="0.25">
      <c r="A200" s="3"/>
      <c r="B200" s="3"/>
      <c r="C200" s="3"/>
      <c r="D200" s="3"/>
      <c r="E200" s="3"/>
      <c r="F200" s="3"/>
      <c r="G200" s="3"/>
      <c r="H200" s="3"/>
      <c r="I200" s="3"/>
    </row>
    <row r="201" spans="1:9" x14ac:dyDescent="0.25">
      <c r="A201" s="3"/>
      <c r="B201" s="3"/>
      <c r="C201" s="3"/>
      <c r="D201" s="3"/>
      <c r="E201" s="3"/>
      <c r="F201" s="3"/>
      <c r="G201" s="3"/>
      <c r="H201" s="3"/>
      <c r="I201" s="3"/>
    </row>
    <row r="202" spans="1:9" x14ac:dyDescent="0.25">
      <c r="A202" s="3"/>
      <c r="B202" s="3"/>
      <c r="C202" s="3"/>
      <c r="D202" s="3"/>
      <c r="E202" s="3"/>
      <c r="F202" s="3"/>
      <c r="G202" s="3"/>
      <c r="H202" s="3"/>
      <c r="I202" s="3"/>
    </row>
    <row r="203" spans="1:9" x14ac:dyDescent="0.25">
      <c r="A203" s="3"/>
      <c r="B203" s="3"/>
      <c r="C203" s="3"/>
      <c r="D203" s="3"/>
      <c r="E203" s="3"/>
      <c r="F203" s="3"/>
      <c r="G203" s="3"/>
      <c r="H203" s="3"/>
      <c r="I203" s="3"/>
    </row>
    <row r="204" spans="1:9" x14ac:dyDescent="0.25">
      <c r="A204" s="3"/>
      <c r="B204" s="3"/>
      <c r="C204" s="3"/>
      <c r="D204" s="3"/>
      <c r="E204" s="3"/>
      <c r="F204" s="3"/>
      <c r="G204" s="3"/>
      <c r="H204" s="3"/>
      <c r="I204" s="3"/>
    </row>
    <row r="205" spans="1:9" x14ac:dyDescent="0.25">
      <c r="A205" s="3"/>
      <c r="B205" s="3"/>
      <c r="C205" s="3"/>
      <c r="D205" s="3"/>
      <c r="E205" s="3"/>
      <c r="F205" s="3"/>
      <c r="G205" s="3"/>
      <c r="H205" s="3"/>
      <c r="I205" s="3"/>
    </row>
    <row r="206" spans="1:9" x14ac:dyDescent="0.25">
      <c r="A206" s="3"/>
      <c r="B206" s="3"/>
      <c r="C206" s="3"/>
      <c r="D206" s="3"/>
      <c r="E206" s="3"/>
      <c r="F206" s="3"/>
      <c r="G206" s="3"/>
      <c r="H206" s="3"/>
      <c r="I206" s="3"/>
    </row>
    <row r="207" spans="1:9" x14ac:dyDescent="0.25">
      <c r="A207" s="3"/>
      <c r="B207" s="3"/>
      <c r="C207" s="3"/>
      <c r="D207" s="3"/>
      <c r="E207" s="3"/>
      <c r="F207" s="3"/>
      <c r="G207" s="3"/>
      <c r="H207" s="3"/>
      <c r="I207" s="3"/>
    </row>
    <row r="208" spans="1:9" x14ac:dyDescent="0.25">
      <c r="A208" s="3"/>
      <c r="B208" s="3"/>
      <c r="C208" s="3"/>
      <c r="D208" s="3"/>
      <c r="E208" s="3"/>
      <c r="F208" s="3"/>
      <c r="G208" s="3"/>
      <c r="H208" s="3"/>
      <c r="I208" s="3"/>
    </row>
    <row r="209" spans="1:9" x14ac:dyDescent="0.25">
      <c r="A209" s="3"/>
      <c r="B209" s="3"/>
      <c r="C209" s="3"/>
      <c r="D209" s="3"/>
      <c r="E209" s="3"/>
      <c r="F209" s="3"/>
      <c r="G209" s="3"/>
      <c r="H209" s="3"/>
      <c r="I209" s="3"/>
    </row>
    <row r="210" spans="1:9" x14ac:dyDescent="0.25">
      <c r="A210" s="3"/>
      <c r="B210" s="3"/>
      <c r="C210" s="3"/>
      <c r="D210" s="3"/>
      <c r="E210" s="3"/>
      <c r="F210" s="3"/>
      <c r="G210" s="3"/>
      <c r="H210" s="3"/>
      <c r="I210" s="3"/>
    </row>
    <row r="211" spans="1:9" x14ac:dyDescent="0.25">
      <c r="A211" s="3"/>
      <c r="B211" s="3"/>
      <c r="C211" s="3"/>
      <c r="D211" s="3"/>
      <c r="E211" s="3"/>
      <c r="F211" s="3"/>
      <c r="G211" s="3"/>
      <c r="H211" s="3"/>
      <c r="I211" s="3"/>
    </row>
    <row r="212" spans="1:9" x14ac:dyDescent="0.25">
      <c r="A212" s="3"/>
      <c r="B212" s="3"/>
      <c r="C212" s="3"/>
      <c r="D212" s="3"/>
      <c r="E212" s="3"/>
      <c r="F212" s="3"/>
      <c r="G212" s="3"/>
      <c r="H212" s="3"/>
      <c r="I212" s="3"/>
    </row>
    <row r="213" spans="1:9" x14ac:dyDescent="0.25">
      <c r="A213" s="3"/>
      <c r="B213" s="3"/>
      <c r="C213" s="3"/>
      <c r="D213" s="3"/>
      <c r="E213" s="3"/>
      <c r="F213" s="3"/>
      <c r="G213" s="3"/>
      <c r="H213" s="3"/>
      <c r="I213" s="3"/>
    </row>
    <row r="214" spans="1:9" x14ac:dyDescent="0.25">
      <c r="A214" s="3"/>
      <c r="B214" s="3"/>
      <c r="C214" s="3"/>
      <c r="D214" s="3"/>
      <c r="E214" s="3"/>
      <c r="F214" s="3"/>
      <c r="G214" s="3"/>
      <c r="H214" s="3"/>
      <c r="I214" s="3"/>
    </row>
    <row r="215" spans="1:9" x14ac:dyDescent="0.25">
      <c r="A215" s="3"/>
      <c r="B215" s="3"/>
      <c r="C215" s="3"/>
      <c r="D215" s="3"/>
      <c r="E215" s="3"/>
      <c r="F215" s="3"/>
      <c r="G215" s="3"/>
      <c r="H215" s="3"/>
      <c r="I215" s="3"/>
    </row>
    <row r="216" spans="1:9" x14ac:dyDescent="0.25">
      <c r="A216" s="3"/>
      <c r="B216" s="3"/>
      <c r="C216" s="3"/>
      <c r="D216" s="3"/>
      <c r="E216" s="3"/>
      <c r="F216" s="3"/>
      <c r="G216" s="3"/>
      <c r="H216" s="3"/>
      <c r="I216" s="3"/>
    </row>
    <row r="217" spans="1:9" x14ac:dyDescent="0.25">
      <c r="A217" s="3"/>
      <c r="B217" s="3"/>
      <c r="C217" s="3"/>
      <c r="D217" s="3"/>
      <c r="E217" s="3"/>
      <c r="F217" s="3"/>
      <c r="G217" s="3"/>
      <c r="H217" s="3"/>
      <c r="I217" s="3"/>
    </row>
    <row r="218" spans="1:9" x14ac:dyDescent="0.25">
      <c r="A218" s="3"/>
      <c r="B218" s="3"/>
      <c r="C218" s="3"/>
      <c r="D218" s="3"/>
      <c r="E218" s="3"/>
      <c r="F218" s="3"/>
      <c r="G218" s="3"/>
      <c r="H218" s="3"/>
      <c r="I218" s="3"/>
    </row>
    <row r="219" spans="1:9" x14ac:dyDescent="0.25">
      <c r="A219" s="3"/>
      <c r="B219" s="3"/>
      <c r="C219" s="3"/>
      <c r="D219" s="3"/>
      <c r="E219" s="3"/>
      <c r="F219" s="3"/>
      <c r="G219" s="3"/>
      <c r="H219" s="3"/>
      <c r="I219" s="3"/>
    </row>
    <row r="220" spans="1:9" x14ac:dyDescent="0.25">
      <c r="A220" s="3"/>
      <c r="B220" s="3"/>
      <c r="C220" s="3"/>
      <c r="D220" s="3"/>
      <c r="E220" s="3"/>
      <c r="F220" s="3"/>
      <c r="G220" s="3"/>
      <c r="H220" s="3"/>
      <c r="I220" s="3"/>
    </row>
    <row r="221" spans="1:9" x14ac:dyDescent="0.25">
      <c r="A221" s="3"/>
      <c r="B221" s="3"/>
      <c r="C221" s="3"/>
      <c r="D221" s="3"/>
      <c r="E221" s="3"/>
      <c r="F221" s="3"/>
      <c r="G221" s="3"/>
      <c r="H221" s="3"/>
      <c r="I221" s="3"/>
    </row>
    <row r="222" spans="1:9" x14ac:dyDescent="0.25">
      <c r="A222" s="3"/>
      <c r="B222" s="3"/>
      <c r="C222" s="3"/>
      <c r="D222" s="3"/>
      <c r="E222" s="3"/>
      <c r="F222" s="3"/>
      <c r="G222" s="3"/>
      <c r="H222" s="3"/>
      <c r="I222" s="3"/>
    </row>
    <row r="223" spans="1:9" x14ac:dyDescent="0.25">
      <c r="A223" s="3"/>
      <c r="B223" s="3"/>
      <c r="C223" s="3"/>
      <c r="D223" s="3"/>
      <c r="E223" s="3"/>
      <c r="F223" s="3"/>
      <c r="G223" s="3"/>
      <c r="H223" s="3"/>
      <c r="I223" s="3"/>
    </row>
    <row r="224" spans="1:9" x14ac:dyDescent="0.25">
      <c r="A224" s="3"/>
      <c r="B224" s="3"/>
      <c r="C224" s="3"/>
      <c r="D224" s="3"/>
      <c r="E224" s="3"/>
      <c r="F224" s="3"/>
      <c r="G224" s="3"/>
      <c r="H224" s="3"/>
      <c r="I224" s="3"/>
    </row>
    <row r="225" spans="1:9" x14ac:dyDescent="0.25">
      <c r="A225" s="3"/>
      <c r="B225" s="3"/>
      <c r="C225" s="3"/>
      <c r="D225" s="3"/>
      <c r="E225" s="3"/>
      <c r="F225" s="3"/>
      <c r="G225" s="3"/>
      <c r="H225" s="3"/>
      <c r="I225" s="3"/>
    </row>
    <row r="226" spans="1:9" x14ac:dyDescent="0.25">
      <c r="A226" s="3"/>
      <c r="B226" s="3"/>
      <c r="C226" s="3"/>
      <c r="D226" s="3"/>
      <c r="E226" s="3"/>
      <c r="F226" s="3"/>
      <c r="G226" s="3"/>
      <c r="H226" s="3"/>
      <c r="I226" s="3"/>
    </row>
    <row r="227" spans="1:9" x14ac:dyDescent="0.25">
      <c r="A227" s="3"/>
      <c r="B227" s="3"/>
      <c r="C227" s="3"/>
      <c r="D227" s="3"/>
      <c r="E227" s="3"/>
      <c r="F227" s="3"/>
      <c r="G227" s="3"/>
      <c r="H227" s="3"/>
      <c r="I227" s="3"/>
    </row>
    <row r="228" spans="1:9" x14ac:dyDescent="0.25">
      <c r="A228" s="3"/>
      <c r="B228" s="3"/>
      <c r="C228" s="3"/>
      <c r="D228" s="3"/>
      <c r="E228" s="3"/>
      <c r="F228" s="3"/>
      <c r="G228" s="3"/>
      <c r="H228" s="3"/>
      <c r="I228" s="3"/>
    </row>
    <row r="229" spans="1:9" x14ac:dyDescent="0.25">
      <c r="A229" s="3"/>
      <c r="B229" s="3"/>
      <c r="C229" s="3"/>
      <c r="D229" s="3"/>
      <c r="E229" s="3"/>
      <c r="F229" s="3"/>
      <c r="G229" s="3"/>
      <c r="H229" s="3"/>
      <c r="I229" s="3"/>
    </row>
    <row r="230" spans="1:9" x14ac:dyDescent="0.25">
      <c r="A230" s="3"/>
      <c r="B230" s="3"/>
      <c r="C230" s="3"/>
      <c r="D230" s="3"/>
      <c r="E230" s="3"/>
      <c r="F230" s="3"/>
      <c r="G230" s="3"/>
      <c r="H230" s="3"/>
      <c r="I230" s="3"/>
    </row>
    <row r="231" spans="1:9" x14ac:dyDescent="0.25">
      <c r="A231" s="3"/>
      <c r="B231" s="3"/>
      <c r="C231" s="3"/>
      <c r="D231" s="3"/>
      <c r="E231" s="3"/>
      <c r="F231" s="3"/>
      <c r="G231" s="3"/>
      <c r="H231" s="3"/>
      <c r="I231" s="3"/>
    </row>
    <row r="232" spans="1:9" x14ac:dyDescent="0.25">
      <c r="A232" s="3"/>
      <c r="B232" s="3"/>
      <c r="C232" s="3"/>
      <c r="D232" s="3"/>
      <c r="E232" s="3"/>
      <c r="F232" s="3"/>
      <c r="G232" s="3"/>
      <c r="H232" s="3"/>
      <c r="I232" s="3"/>
    </row>
    <row r="233" spans="1:9" x14ac:dyDescent="0.25">
      <c r="A233" s="3"/>
      <c r="B233" s="3"/>
      <c r="C233" s="3"/>
      <c r="D233" s="3"/>
      <c r="E233" s="3"/>
      <c r="F233" s="3"/>
      <c r="G233" s="3"/>
      <c r="H233" s="3"/>
      <c r="I233" s="3"/>
    </row>
    <row r="234" spans="1:9" x14ac:dyDescent="0.25">
      <c r="A234" s="3"/>
      <c r="B234" s="3"/>
      <c r="C234" s="3"/>
      <c r="D234" s="3"/>
      <c r="E234" s="3"/>
      <c r="F234" s="3"/>
      <c r="G234" s="3"/>
      <c r="H234" s="3"/>
      <c r="I234" s="3"/>
    </row>
    <row r="235" spans="1:9" x14ac:dyDescent="0.25">
      <c r="A235" s="3"/>
      <c r="B235" s="3"/>
      <c r="C235" s="3"/>
      <c r="D235" s="3"/>
      <c r="E235" s="3"/>
      <c r="F235" s="3"/>
      <c r="G235" s="3"/>
      <c r="H235" s="3"/>
      <c r="I235" s="3"/>
    </row>
    <row r="236" spans="1:9" x14ac:dyDescent="0.25">
      <c r="A236" s="3"/>
      <c r="B236" s="3"/>
      <c r="C236" s="3"/>
      <c r="D236" s="3"/>
      <c r="E236" s="3"/>
      <c r="F236" s="3"/>
      <c r="G236" s="3"/>
      <c r="H236" s="3"/>
      <c r="I236" s="3"/>
    </row>
    <row r="237" spans="1:9" x14ac:dyDescent="0.25">
      <c r="A237" s="3"/>
      <c r="B237" s="3"/>
      <c r="C237" s="3"/>
      <c r="D237" s="3"/>
      <c r="E237" s="3"/>
      <c r="F237" s="3"/>
      <c r="G237" s="3"/>
      <c r="H237" s="3"/>
      <c r="I237" s="3"/>
    </row>
    <row r="238" spans="1:9" x14ac:dyDescent="0.25">
      <c r="A238" s="3"/>
      <c r="B238" s="3"/>
      <c r="C238" s="3"/>
      <c r="D238" s="3"/>
      <c r="E238" s="3"/>
      <c r="F238" s="3"/>
      <c r="G238" s="3"/>
      <c r="H238" s="3"/>
      <c r="I238" s="3"/>
    </row>
    <row r="239" spans="1:9" x14ac:dyDescent="0.25">
      <c r="A239" s="3"/>
      <c r="B239" s="3"/>
      <c r="C239" s="3"/>
      <c r="D239" s="3"/>
      <c r="E239" s="3"/>
      <c r="F239" s="3"/>
      <c r="G239" s="3"/>
      <c r="H239" s="3"/>
      <c r="I239" s="3"/>
    </row>
    <row r="240" spans="1:9" x14ac:dyDescent="0.25">
      <c r="A240" s="3"/>
      <c r="B240" s="3"/>
      <c r="C240" s="3"/>
      <c r="D240" s="3"/>
      <c r="E240" s="3"/>
      <c r="F240" s="3"/>
      <c r="G240" s="3"/>
      <c r="H240" s="3"/>
      <c r="I240" s="3"/>
    </row>
    <row r="241" spans="1:9" x14ac:dyDescent="0.25">
      <c r="A241" s="3"/>
      <c r="B241" s="3"/>
      <c r="C241" s="3"/>
      <c r="D241" s="3"/>
      <c r="E241" s="3"/>
      <c r="F241" s="3"/>
      <c r="G241" s="3"/>
      <c r="H241" s="3"/>
      <c r="I241" s="3"/>
    </row>
    <row r="242" spans="1:9" x14ac:dyDescent="0.25">
      <c r="A242" s="3"/>
      <c r="B242" s="3"/>
      <c r="C242" s="3"/>
      <c r="D242" s="3"/>
      <c r="E242" s="3"/>
      <c r="F242" s="3"/>
      <c r="G242" s="3"/>
      <c r="H242" s="3"/>
      <c r="I242" s="3"/>
    </row>
    <row r="243" spans="1:9" x14ac:dyDescent="0.25">
      <c r="A243" s="3"/>
      <c r="B243" s="3"/>
      <c r="C243" s="3"/>
      <c r="D243" s="3"/>
      <c r="E243" s="3"/>
      <c r="F243" s="3"/>
      <c r="G243" s="3"/>
      <c r="H243" s="3"/>
      <c r="I243" s="3"/>
    </row>
    <row r="244" spans="1:9" x14ac:dyDescent="0.25">
      <c r="A244" s="3"/>
      <c r="B244" s="3"/>
      <c r="C244" s="3"/>
      <c r="D244" s="3"/>
      <c r="E244" s="3"/>
      <c r="F244" s="3"/>
      <c r="G244" s="3"/>
      <c r="H244" s="3"/>
      <c r="I244" s="3"/>
    </row>
    <row r="245" spans="1:9" x14ac:dyDescent="0.25">
      <c r="A245" s="3"/>
      <c r="B245" s="3"/>
      <c r="C245" s="3"/>
      <c r="D245" s="3"/>
      <c r="E245" s="3"/>
      <c r="F245" s="3"/>
      <c r="G245" s="3"/>
      <c r="H245" s="3"/>
      <c r="I245" s="3"/>
    </row>
    <row r="246" spans="1:9" x14ac:dyDescent="0.25">
      <c r="A246" s="3"/>
      <c r="B246" s="3"/>
      <c r="C246" s="3"/>
      <c r="D246" s="3"/>
      <c r="E246" s="3"/>
      <c r="F246" s="3"/>
      <c r="G246" s="3"/>
      <c r="H246" s="3"/>
      <c r="I246" s="3"/>
    </row>
    <row r="247" spans="1:9" x14ac:dyDescent="0.25">
      <c r="A247" s="3"/>
      <c r="B247" s="3"/>
      <c r="C247" s="3"/>
      <c r="D247" s="3"/>
      <c r="E247" s="3"/>
      <c r="F247" s="3"/>
      <c r="G247" s="3"/>
      <c r="H247" s="3"/>
      <c r="I247" s="3"/>
    </row>
    <row r="248" spans="1:9" x14ac:dyDescent="0.25">
      <c r="A248" s="3"/>
      <c r="B248" s="3"/>
      <c r="C248" s="3"/>
      <c r="D248" s="3"/>
      <c r="E248" s="3"/>
      <c r="F248" s="3"/>
      <c r="G248" s="3"/>
      <c r="H248" s="3"/>
      <c r="I248" s="3"/>
    </row>
    <row r="249" spans="1:9" x14ac:dyDescent="0.25">
      <c r="A249" s="3"/>
      <c r="B249" s="3"/>
      <c r="C249" s="3"/>
      <c r="D249" s="3"/>
      <c r="E249" s="3"/>
      <c r="F249" s="3"/>
      <c r="G249" s="3"/>
      <c r="H249" s="3"/>
      <c r="I249" s="3"/>
    </row>
    <row r="250" spans="1:9" x14ac:dyDescent="0.25">
      <c r="A250" s="3"/>
      <c r="B250" s="3"/>
      <c r="C250" s="3"/>
      <c r="D250" s="3"/>
      <c r="E250" s="3"/>
      <c r="F250" s="3"/>
      <c r="G250" s="3"/>
      <c r="H250" s="3"/>
      <c r="I250" s="3"/>
    </row>
    <row r="251" spans="1:9" x14ac:dyDescent="0.25">
      <c r="A251" s="3"/>
      <c r="B251" s="3"/>
      <c r="C251" s="3"/>
      <c r="D251" s="3"/>
      <c r="E251" s="3"/>
      <c r="F251" s="3"/>
      <c r="G251" s="3"/>
      <c r="H251" s="3"/>
      <c r="I251" s="3"/>
    </row>
    <row r="252" spans="1:9" x14ac:dyDescent="0.25">
      <c r="A252" s="3"/>
      <c r="B252" s="3"/>
      <c r="C252" s="3"/>
      <c r="D252" s="3"/>
      <c r="E252" s="3"/>
      <c r="F252" s="3"/>
      <c r="G252" s="3"/>
      <c r="H252" s="3"/>
      <c r="I252" s="3"/>
    </row>
    <row r="253" spans="1:9" x14ac:dyDescent="0.25">
      <c r="A253" s="3"/>
      <c r="B253" s="3"/>
      <c r="C253" s="3"/>
      <c r="D253" s="3"/>
      <c r="E253" s="3"/>
      <c r="F253" s="3"/>
      <c r="G253" s="3"/>
      <c r="H253" s="3"/>
      <c r="I253" s="3"/>
    </row>
    <row r="254" spans="1:9" x14ac:dyDescent="0.25">
      <c r="A254" s="3"/>
      <c r="B254" s="3"/>
      <c r="C254" s="3"/>
      <c r="D254" s="3"/>
      <c r="E254" s="3"/>
      <c r="F254" s="3"/>
      <c r="G254" s="3"/>
      <c r="H254" s="3"/>
      <c r="I254" s="3"/>
    </row>
    <row r="255" spans="1:9" x14ac:dyDescent="0.25">
      <c r="A255" s="3"/>
      <c r="B255" s="3"/>
      <c r="C255" s="3"/>
      <c r="D255" s="3"/>
      <c r="E255" s="3"/>
      <c r="F255" s="3"/>
      <c r="G255" s="3"/>
      <c r="H255" s="3"/>
      <c r="I255" s="3"/>
    </row>
    <row r="256" spans="1:9" x14ac:dyDescent="0.25">
      <c r="A256" s="3"/>
      <c r="B256" s="3"/>
      <c r="C256" s="3"/>
      <c r="D256" s="3"/>
      <c r="E256" s="3"/>
      <c r="F256" s="3"/>
      <c r="G256" s="3"/>
      <c r="H256" s="3"/>
      <c r="I256" s="3"/>
    </row>
    <row r="257" spans="1:9" x14ac:dyDescent="0.25">
      <c r="A257" s="3"/>
      <c r="B257" s="3"/>
      <c r="C257" s="3"/>
      <c r="D257" s="3"/>
      <c r="E257" s="3"/>
      <c r="F257" s="3"/>
      <c r="G257" s="3"/>
      <c r="H257" s="3"/>
      <c r="I257" s="3"/>
    </row>
    <row r="258" spans="1:9" x14ac:dyDescent="0.25">
      <c r="A258" s="3"/>
      <c r="B258" s="3"/>
      <c r="C258" s="3"/>
      <c r="D258" s="3"/>
      <c r="E258" s="3"/>
      <c r="F258" s="3"/>
      <c r="G258" s="3"/>
      <c r="H258" s="3"/>
      <c r="I258" s="3"/>
    </row>
    <row r="259" spans="1:9" x14ac:dyDescent="0.25">
      <c r="A259" s="3"/>
      <c r="B259" s="3"/>
      <c r="C259" s="3"/>
      <c r="D259" s="3"/>
      <c r="E259" s="3"/>
      <c r="F259" s="3"/>
      <c r="G259" s="3"/>
      <c r="H259" s="3"/>
      <c r="I259" s="3"/>
    </row>
    <row r="260" spans="1:9" x14ac:dyDescent="0.25">
      <c r="A260" s="3"/>
      <c r="B260" s="3"/>
      <c r="C260" s="3"/>
      <c r="D260" s="3"/>
      <c r="E260" s="3"/>
      <c r="F260" s="3"/>
      <c r="G260" s="3"/>
      <c r="H260" s="3"/>
      <c r="I260" s="3"/>
    </row>
    <row r="261" spans="1:9" x14ac:dyDescent="0.25">
      <c r="A261" s="3"/>
      <c r="B261" s="3"/>
      <c r="C261" s="3"/>
      <c r="D261" s="3"/>
      <c r="E261" s="3"/>
      <c r="F261" s="3"/>
      <c r="G261" s="3"/>
      <c r="H261" s="3"/>
      <c r="I261" s="3"/>
    </row>
    <row r="262" spans="1:9" x14ac:dyDescent="0.25">
      <c r="A262" s="3"/>
      <c r="B262" s="3"/>
      <c r="C262" s="3"/>
      <c r="D262" s="3"/>
      <c r="E262" s="3"/>
      <c r="F262" s="3"/>
      <c r="G262" s="3"/>
      <c r="H262" s="3"/>
      <c r="I262" s="3"/>
    </row>
    <row r="263" spans="1:9" x14ac:dyDescent="0.25">
      <c r="A263" s="3"/>
      <c r="B263" s="3"/>
      <c r="C263" s="3"/>
      <c r="D263" s="3"/>
      <c r="E263" s="3"/>
      <c r="F263" s="3"/>
      <c r="G263" s="3"/>
      <c r="H263" s="3"/>
      <c r="I263" s="3"/>
    </row>
    <row r="264" spans="1:9" x14ac:dyDescent="0.25">
      <c r="A264" s="3"/>
      <c r="B264" s="3"/>
      <c r="C264" s="3"/>
      <c r="D264" s="3"/>
      <c r="E264" s="3"/>
      <c r="F264" s="3"/>
      <c r="G264" s="3"/>
      <c r="H264" s="3"/>
      <c r="I264" s="3"/>
    </row>
    <row r="265" spans="1:9" x14ac:dyDescent="0.25">
      <c r="A265" s="3"/>
      <c r="B265" s="3"/>
      <c r="C265" s="3"/>
      <c r="D265" s="3"/>
      <c r="E265" s="3"/>
      <c r="F265" s="3"/>
      <c r="G265" s="3"/>
      <c r="H265" s="3"/>
      <c r="I265" s="3"/>
    </row>
    <row r="266" spans="1:9" x14ac:dyDescent="0.25">
      <c r="A266" s="3"/>
      <c r="B266" s="3"/>
      <c r="C266" s="3"/>
      <c r="D266" s="3"/>
      <c r="E266" s="3"/>
      <c r="F266" s="3"/>
      <c r="G266" s="3"/>
      <c r="H266" s="3"/>
      <c r="I266" s="3"/>
    </row>
    <row r="267" spans="1:9" x14ac:dyDescent="0.25">
      <c r="A267" s="3"/>
      <c r="B267" s="3"/>
      <c r="C267" s="3"/>
      <c r="D267" s="3"/>
      <c r="E267" s="3"/>
      <c r="F267" s="3"/>
      <c r="G267" s="3"/>
      <c r="H267" s="3"/>
      <c r="I267" s="3"/>
    </row>
    <row r="268" spans="1:9" x14ac:dyDescent="0.25">
      <c r="A268" s="3"/>
      <c r="B268" s="3"/>
      <c r="C268" s="3"/>
      <c r="D268" s="3"/>
      <c r="E268" s="3"/>
      <c r="F268" s="3"/>
      <c r="G268" s="3"/>
      <c r="H268" s="3"/>
      <c r="I268" s="3"/>
    </row>
    <row r="269" spans="1:9" x14ac:dyDescent="0.25">
      <c r="A269" s="3"/>
      <c r="B269" s="3"/>
      <c r="C269" s="3"/>
      <c r="D269" s="3"/>
      <c r="E269" s="3"/>
      <c r="F269" s="3"/>
      <c r="G269" s="3"/>
      <c r="H269" s="3"/>
      <c r="I269" s="3"/>
    </row>
    <row r="270" spans="1:9" x14ac:dyDescent="0.25">
      <c r="A270" s="3"/>
      <c r="B270" s="3"/>
      <c r="C270" s="3"/>
      <c r="D270" s="3"/>
      <c r="E270" s="3"/>
      <c r="F270" s="3"/>
      <c r="G270" s="3"/>
      <c r="H270" s="3"/>
      <c r="I270" s="3"/>
    </row>
    <row r="271" spans="1:9" x14ac:dyDescent="0.25">
      <c r="A271" s="3"/>
      <c r="B271" s="3"/>
      <c r="C271" s="3"/>
      <c r="D271" s="3"/>
      <c r="E271" s="3"/>
      <c r="F271" s="3"/>
      <c r="G271" s="3"/>
      <c r="H271" s="3"/>
      <c r="I271" s="3"/>
    </row>
    <row r="272" spans="1:9" x14ac:dyDescent="0.25">
      <c r="A272" s="3"/>
      <c r="B272" s="3"/>
      <c r="C272" s="3"/>
      <c r="D272" s="3"/>
      <c r="E272" s="3"/>
      <c r="F272" s="3"/>
      <c r="G272" s="3"/>
      <c r="H272" s="3"/>
      <c r="I272" s="3"/>
    </row>
    <row r="273" spans="1:9" x14ac:dyDescent="0.25">
      <c r="A273" s="3"/>
      <c r="B273" s="3"/>
      <c r="C273" s="3"/>
      <c r="D273" s="3"/>
      <c r="E273" s="3"/>
      <c r="F273" s="3"/>
      <c r="G273" s="3"/>
      <c r="H273" s="3"/>
      <c r="I273" s="3"/>
    </row>
    <row r="274" spans="1:9" x14ac:dyDescent="0.25">
      <c r="A274" s="3"/>
      <c r="B274" s="3"/>
      <c r="C274" s="3"/>
      <c r="D274" s="3"/>
      <c r="E274" s="3"/>
      <c r="F274" s="3"/>
      <c r="G274" s="3"/>
      <c r="H274" s="3"/>
      <c r="I274" s="3"/>
    </row>
    <row r="275" spans="1:9" x14ac:dyDescent="0.25">
      <c r="A275" s="3"/>
      <c r="B275" s="3"/>
      <c r="C275" s="3"/>
      <c r="D275" s="3"/>
      <c r="E275" s="3"/>
      <c r="F275" s="3"/>
      <c r="G275" s="3"/>
      <c r="H275" s="3"/>
      <c r="I275" s="3"/>
    </row>
    <row r="276" spans="1:9" x14ac:dyDescent="0.25">
      <c r="A276" s="3"/>
      <c r="B276" s="3"/>
      <c r="C276" s="3"/>
      <c r="D276" s="3"/>
      <c r="E276" s="3"/>
      <c r="F276" s="3"/>
      <c r="G276" s="3"/>
      <c r="H276" s="3"/>
      <c r="I276" s="3"/>
    </row>
    <row r="277" spans="1:9" x14ac:dyDescent="0.25">
      <c r="A277" s="3"/>
      <c r="B277" s="3"/>
      <c r="C277" s="3"/>
      <c r="D277" s="3"/>
      <c r="E277" s="3"/>
      <c r="F277" s="3"/>
      <c r="G277" s="3"/>
      <c r="H277" s="3"/>
      <c r="I277" s="3"/>
    </row>
    <row r="278" spans="1:9" x14ac:dyDescent="0.25">
      <c r="A278" s="3"/>
      <c r="B278" s="3"/>
      <c r="C278" s="3"/>
      <c r="D278" s="3"/>
      <c r="E278" s="3"/>
      <c r="F278" s="3"/>
      <c r="G278" s="3"/>
      <c r="H278" s="3"/>
      <c r="I278" s="3"/>
    </row>
    <row r="279" spans="1:9" x14ac:dyDescent="0.25">
      <c r="A279" s="3"/>
      <c r="B279" s="3"/>
      <c r="C279" s="3"/>
      <c r="D279" s="3"/>
      <c r="E279" s="3"/>
      <c r="F279" s="3"/>
      <c r="G279" s="3"/>
      <c r="H279" s="3"/>
      <c r="I279" s="3"/>
    </row>
    <row r="280" spans="1:9" x14ac:dyDescent="0.25">
      <c r="A280" s="3"/>
      <c r="B280" s="3"/>
      <c r="C280" s="3"/>
      <c r="D280" s="3"/>
      <c r="E280" s="3"/>
      <c r="F280" s="3"/>
      <c r="G280" s="3"/>
      <c r="H280" s="3"/>
      <c r="I280" s="3"/>
    </row>
    <row r="281" spans="1:9" x14ac:dyDescent="0.25">
      <c r="A281" s="3"/>
      <c r="B281" s="3"/>
      <c r="C281" s="3"/>
      <c r="D281" s="3"/>
      <c r="E281" s="3"/>
      <c r="F281" s="3"/>
      <c r="G281" s="3"/>
      <c r="H281" s="3"/>
      <c r="I281" s="3"/>
    </row>
    <row r="282" spans="1:9" x14ac:dyDescent="0.25">
      <c r="A282" s="3"/>
      <c r="B282" s="3"/>
      <c r="C282" s="3"/>
      <c r="D282" s="3"/>
      <c r="E282" s="3"/>
      <c r="F282" s="3"/>
      <c r="G282" s="3"/>
      <c r="H282" s="3"/>
      <c r="I282" s="3"/>
    </row>
    <row r="283" spans="1:9" x14ac:dyDescent="0.25">
      <c r="A283" s="3"/>
      <c r="B283" s="3"/>
      <c r="C283" s="3"/>
      <c r="D283" s="3"/>
      <c r="E283" s="3"/>
      <c r="F283" s="3"/>
      <c r="G283" s="3"/>
      <c r="H283" s="3"/>
      <c r="I283" s="3"/>
    </row>
    <row r="284" spans="1:9" x14ac:dyDescent="0.25">
      <c r="A284" s="3"/>
      <c r="B284" s="3"/>
      <c r="C284" s="3"/>
      <c r="D284" s="3"/>
      <c r="E284" s="3"/>
      <c r="F284" s="3"/>
      <c r="G284" s="3"/>
      <c r="H284" s="3"/>
      <c r="I284" s="3"/>
    </row>
    <row r="285" spans="1:9" x14ac:dyDescent="0.25">
      <c r="A285" s="3"/>
      <c r="B285" s="3"/>
      <c r="C285" s="3"/>
      <c r="D285" s="3"/>
      <c r="E285" s="3"/>
      <c r="F285" s="3"/>
      <c r="G285" s="3"/>
      <c r="H285" s="3"/>
      <c r="I285" s="3"/>
    </row>
    <row r="286" spans="1:9" x14ac:dyDescent="0.25">
      <c r="A286" s="3"/>
      <c r="B286" s="3"/>
      <c r="C286" s="3"/>
      <c r="D286" s="3"/>
      <c r="E286" s="3"/>
      <c r="F286" s="3"/>
      <c r="G286" s="3"/>
      <c r="H286" s="3"/>
      <c r="I286" s="3"/>
    </row>
    <row r="287" spans="1:9" x14ac:dyDescent="0.25">
      <c r="A287" s="3"/>
      <c r="B287" s="3"/>
      <c r="C287" s="3"/>
      <c r="D287" s="3"/>
      <c r="E287" s="3"/>
      <c r="F287" s="3"/>
      <c r="G287" s="3"/>
      <c r="H287" s="3"/>
      <c r="I287" s="3"/>
    </row>
    <row r="288" spans="1:9" x14ac:dyDescent="0.25">
      <c r="A288" s="3"/>
      <c r="B288" s="3"/>
      <c r="C288" s="3"/>
      <c r="D288" s="3"/>
      <c r="E288" s="3"/>
      <c r="F288" s="3"/>
      <c r="G288" s="3"/>
      <c r="H288" s="3"/>
      <c r="I288" s="3"/>
    </row>
    <row r="289" spans="1:9" x14ac:dyDescent="0.25">
      <c r="A289" s="3"/>
      <c r="B289" s="3"/>
      <c r="C289" s="3"/>
      <c r="D289" s="3"/>
      <c r="E289" s="3"/>
      <c r="F289" s="3"/>
      <c r="G289" s="3"/>
      <c r="H289" s="3"/>
      <c r="I289" s="3"/>
    </row>
    <row r="290" spans="1:9" x14ac:dyDescent="0.25">
      <c r="A290" s="3"/>
      <c r="B290" s="3"/>
      <c r="C290" s="3"/>
      <c r="D290" s="3"/>
      <c r="E290" s="3"/>
      <c r="F290" s="3"/>
      <c r="G290" s="3"/>
      <c r="H290" s="3"/>
      <c r="I290" s="3"/>
    </row>
    <row r="291" spans="1:9" x14ac:dyDescent="0.25">
      <c r="A291" s="3"/>
      <c r="B291" s="3"/>
      <c r="C291" s="3"/>
      <c r="D291" s="3"/>
      <c r="E291" s="3"/>
      <c r="F291" s="3"/>
      <c r="G291" s="3"/>
      <c r="H291" s="3"/>
      <c r="I291" s="3"/>
    </row>
    <row r="292" spans="1:9" x14ac:dyDescent="0.25">
      <c r="A292" s="3"/>
      <c r="B292" s="3"/>
      <c r="C292" s="3"/>
      <c r="D292" s="3"/>
      <c r="E292" s="3"/>
      <c r="F292" s="3"/>
      <c r="G292" s="3"/>
      <c r="H292" s="3"/>
      <c r="I292" s="3"/>
    </row>
    <row r="293" spans="1:9" x14ac:dyDescent="0.25">
      <c r="A293" s="3"/>
      <c r="B293" s="3"/>
      <c r="C293" s="3"/>
      <c r="D293" s="3"/>
      <c r="E293" s="3"/>
      <c r="F293" s="3"/>
      <c r="G293" s="3"/>
      <c r="H293" s="3"/>
      <c r="I293" s="3"/>
    </row>
    <row r="294" spans="1:9" x14ac:dyDescent="0.25">
      <c r="A294" s="3"/>
      <c r="B294" s="3"/>
      <c r="C294" s="3"/>
      <c r="D294" s="3"/>
      <c r="E294" s="3"/>
      <c r="F294" s="3"/>
      <c r="G294" s="3"/>
      <c r="H294" s="3"/>
      <c r="I294" s="3"/>
    </row>
    <row r="295" spans="1:9" x14ac:dyDescent="0.25">
      <c r="A295" s="3"/>
      <c r="B295" s="3"/>
      <c r="C295" s="3"/>
      <c r="D295" s="3"/>
      <c r="E295" s="3"/>
      <c r="F295" s="3"/>
      <c r="G295" s="3"/>
      <c r="H295" s="3"/>
      <c r="I295" s="3"/>
    </row>
    <row r="296" spans="1:9" x14ac:dyDescent="0.25">
      <c r="A296" s="3"/>
      <c r="B296" s="3"/>
      <c r="C296" s="3"/>
      <c r="D296" s="3"/>
      <c r="E296" s="3"/>
      <c r="F296" s="3"/>
      <c r="G296" s="3"/>
      <c r="H296" s="3"/>
      <c r="I296" s="3"/>
    </row>
    <row r="297" spans="1:9" x14ac:dyDescent="0.25">
      <c r="A297" s="3"/>
      <c r="B297" s="3"/>
      <c r="C297" s="3"/>
      <c r="D297" s="3"/>
      <c r="E297" s="3"/>
      <c r="F297" s="3"/>
      <c r="G297" s="3"/>
      <c r="H297" s="3"/>
      <c r="I297" s="3"/>
    </row>
    <row r="298" spans="1:9" x14ac:dyDescent="0.25">
      <c r="A298" s="3"/>
      <c r="B298" s="3"/>
      <c r="C298" s="3"/>
      <c r="D298" s="3"/>
      <c r="E298" s="3"/>
      <c r="F298" s="3"/>
      <c r="G298" s="3"/>
      <c r="H298" s="3"/>
      <c r="I298" s="3"/>
    </row>
    <row r="299" spans="1:9" x14ac:dyDescent="0.25">
      <c r="A299" s="3"/>
      <c r="B299" s="3"/>
      <c r="C299" s="3"/>
      <c r="D299" s="3"/>
      <c r="E299" s="3"/>
      <c r="F299" s="3"/>
      <c r="G299" s="3"/>
      <c r="H299" s="3"/>
      <c r="I299" s="3"/>
    </row>
    <row r="300" spans="1:9" x14ac:dyDescent="0.25">
      <c r="A300" s="3"/>
      <c r="B300" s="3"/>
      <c r="C300" s="3"/>
      <c r="D300" s="3"/>
      <c r="E300" s="3"/>
      <c r="F300" s="3"/>
      <c r="G300" s="3"/>
      <c r="H300" s="3"/>
      <c r="I300" s="3"/>
    </row>
    <row r="301" spans="1:9" x14ac:dyDescent="0.25">
      <c r="A301" s="3"/>
      <c r="B301" s="3"/>
      <c r="C301" s="3"/>
      <c r="D301" s="3"/>
      <c r="E301" s="3"/>
      <c r="F301" s="3"/>
      <c r="G301" s="3"/>
      <c r="H301" s="3"/>
      <c r="I301" s="3"/>
    </row>
    <row r="302" spans="1:9" x14ac:dyDescent="0.25">
      <c r="A302" s="3"/>
      <c r="B302" s="3"/>
      <c r="C302" s="3"/>
      <c r="D302" s="3"/>
      <c r="E302" s="3"/>
      <c r="F302" s="3"/>
      <c r="G302" s="3"/>
      <c r="H302" s="3"/>
      <c r="I302" s="3"/>
    </row>
    <row r="303" spans="1:9" x14ac:dyDescent="0.25">
      <c r="A303" s="3"/>
      <c r="B303" s="3"/>
      <c r="C303" s="3"/>
      <c r="D303" s="3"/>
      <c r="E303" s="3"/>
      <c r="F303" s="3"/>
      <c r="G303" s="3"/>
      <c r="H303" s="3"/>
      <c r="I303" s="3"/>
    </row>
    <row r="304" spans="1:9" x14ac:dyDescent="0.25">
      <c r="A304" s="3"/>
      <c r="B304" s="3"/>
      <c r="C304" s="3"/>
      <c r="D304" s="3"/>
      <c r="E304" s="3"/>
      <c r="F304" s="3"/>
      <c r="G304" s="3"/>
      <c r="H304" s="3"/>
      <c r="I304" s="3"/>
    </row>
    <row r="305" spans="1:9" x14ac:dyDescent="0.25">
      <c r="A305" s="3"/>
      <c r="B305" s="3"/>
      <c r="C305" s="3"/>
      <c r="D305" s="3"/>
      <c r="E305" s="3"/>
      <c r="F305" s="3"/>
      <c r="G305" s="3"/>
      <c r="H305" s="3"/>
      <c r="I305" s="3"/>
    </row>
    <row r="306" spans="1:9" x14ac:dyDescent="0.25">
      <c r="A306" s="3"/>
      <c r="B306" s="3"/>
      <c r="C306" s="3"/>
      <c r="D306" s="3"/>
      <c r="E306" s="3"/>
      <c r="F306" s="3"/>
      <c r="G306" s="3"/>
      <c r="H306" s="3"/>
      <c r="I306" s="3"/>
    </row>
    <row r="307" spans="1:9" x14ac:dyDescent="0.25">
      <c r="A307" s="3"/>
      <c r="B307" s="3"/>
      <c r="C307" s="3"/>
      <c r="D307" s="3"/>
      <c r="E307" s="3"/>
      <c r="F307" s="3"/>
      <c r="G307" s="3"/>
      <c r="H307" s="3"/>
      <c r="I307" s="3"/>
    </row>
    <row r="308" spans="1:9" x14ac:dyDescent="0.25">
      <c r="A308" s="3"/>
      <c r="B308" s="3"/>
      <c r="C308" s="3"/>
      <c r="D308" s="3"/>
      <c r="E308" s="3"/>
      <c r="F308" s="3"/>
      <c r="G308" s="3"/>
      <c r="H308" s="3"/>
      <c r="I308" s="3"/>
    </row>
    <row r="309" spans="1:9" x14ac:dyDescent="0.25">
      <c r="A309" s="3"/>
      <c r="B309" s="3"/>
      <c r="C309" s="3"/>
      <c r="D309" s="3"/>
      <c r="E309" s="3"/>
      <c r="F309" s="3"/>
      <c r="G309" s="3"/>
      <c r="H309" s="3"/>
      <c r="I309" s="3"/>
    </row>
    <row r="310" spans="1:9" x14ac:dyDescent="0.25">
      <c r="A310" s="3"/>
      <c r="B310" s="3"/>
      <c r="C310" s="3"/>
      <c r="D310" s="3"/>
      <c r="E310" s="3"/>
      <c r="F310" s="3"/>
      <c r="G310" s="3"/>
      <c r="H310" s="3"/>
      <c r="I310" s="3"/>
    </row>
    <row r="311" spans="1:9" x14ac:dyDescent="0.25">
      <c r="A311" s="3"/>
      <c r="B311" s="3"/>
      <c r="C311" s="3"/>
      <c r="D311" s="3"/>
      <c r="E311" s="3"/>
      <c r="F311" s="3"/>
      <c r="G311" s="3"/>
      <c r="H311" s="3"/>
      <c r="I311" s="3"/>
    </row>
    <row r="312" spans="1:9" x14ac:dyDescent="0.25">
      <c r="A312" s="3"/>
      <c r="B312" s="3"/>
      <c r="C312" s="3"/>
      <c r="D312" s="3"/>
      <c r="E312" s="3"/>
      <c r="F312" s="3"/>
      <c r="G312" s="3"/>
      <c r="H312" s="3"/>
      <c r="I312" s="3"/>
    </row>
    <row r="313" spans="1:9" x14ac:dyDescent="0.25">
      <c r="A313" s="3"/>
      <c r="B313" s="3"/>
      <c r="C313" s="3"/>
      <c r="D313" s="3"/>
      <c r="E313" s="3"/>
      <c r="F313" s="3"/>
      <c r="G313" s="3"/>
      <c r="H313" s="3"/>
      <c r="I313" s="3"/>
    </row>
    <row r="314" spans="1:9" x14ac:dyDescent="0.25">
      <c r="A314" s="3"/>
      <c r="B314" s="3"/>
      <c r="C314" s="3"/>
      <c r="D314" s="3"/>
      <c r="E314" s="3"/>
      <c r="F314" s="3"/>
      <c r="G314" s="3"/>
      <c r="H314" s="3"/>
      <c r="I314" s="3"/>
    </row>
    <row r="315" spans="1:9" x14ac:dyDescent="0.25">
      <c r="A315" s="3"/>
      <c r="B315" s="3"/>
      <c r="C315" s="3"/>
      <c r="D315" s="3"/>
      <c r="E315" s="3"/>
      <c r="F315" s="3"/>
      <c r="G315" s="3"/>
      <c r="H315" s="3"/>
      <c r="I315" s="3"/>
    </row>
    <row r="316" spans="1:9" x14ac:dyDescent="0.25">
      <c r="A316" s="3"/>
      <c r="B316" s="3"/>
      <c r="C316" s="3"/>
      <c r="D316" s="3"/>
      <c r="E316" s="3"/>
      <c r="F316" s="3"/>
      <c r="G316" s="3"/>
      <c r="H316" s="3"/>
      <c r="I316" s="3"/>
    </row>
    <row r="317" spans="1:9" x14ac:dyDescent="0.25">
      <c r="A317" s="3"/>
      <c r="B317" s="3"/>
      <c r="C317" s="3"/>
      <c r="D317" s="3"/>
      <c r="E317" s="3"/>
      <c r="F317" s="3"/>
      <c r="G317" s="3"/>
      <c r="H317" s="3"/>
      <c r="I317" s="3"/>
    </row>
    <row r="318" spans="1:9" x14ac:dyDescent="0.25">
      <c r="A318" s="3"/>
      <c r="B318" s="3"/>
      <c r="C318" s="3"/>
      <c r="D318" s="3"/>
      <c r="E318" s="3"/>
      <c r="F318" s="3"/>
      <c r="G318" s="3"/>
      <c r="H318" s="3"/>
      <c r="I318" s="3"/>
    </row>
    <row r="319" spans="1:9" x14ac:dyDescent="0.25">
      <c r="A319" s="3"/>
      <c r="B319" s="3"/>
      <c r="C319" s="3"/>
      <c r="D319" s="3"/>
      <c r="E319" s="3"/>
      <c r="F319" s="3"/>
      <c r="G319" s="3"/>
      <c r="H319" s="3"/>
      <c r="I319" s="3"/>
    </row>
    <row r="320" spans="1:9" x14ac:dyDescent="0.25">
      <c r="A320" s="3"/>
      <c r="B320" s="3"/>
      <c r="C320" s="3"/>
      <c r="D320" s="3"/>
      <c r="E320" s="3"/>
      <c r="F320" s="3"/>
      <c r="G320" s="3"/>
      <c r="H320" s="3"/>
      <c r="I320" s="3"/>
    </row>
    <row r="321" spans="1:9" x14ac:dyDescent="0.25">
      <c r="A321" s="3"/>
      <c r="B321" s="3"/>
      <c r="C321" s="3"/>
      <c r="D321" s="3"/>
      <c r="E321" s="3"/>
      <c r="F321" s="3"/>
      <c r="G321" s="3"/>
      <c r="H321" s="3"/>
      <c r="I321" s="3"/>
    </row>
    <row r="322" spans="1:9" x14ac:dyDescent="0.25">
      <c r="A322" s="3"/>
      <c r="B322" s="3"/>
      <c r="C322" s="3"/>
      <c r="D322" s="3"/>
      <c r="E322" s="3"/>
      <c r="F322" s="3"/>
      <c r="G322" s="3"/>
      <c r="H322" s="3"/>
      <c r="I322" s="3"/>
    </row>
    <row r="323" spans="1:9" x14ac:dyDescent="0.25">
      <c r="A323" s="3"/>
      <c r="B323" s="3"/>
      <c r="C323" s="3"/>
      <c r="D323" s="3"/>
      <c r="E323" s="3"/>
      <c r="F323" s="3"/>
      <c r="G323" s="3"/>
      <c r="H323" s="3"/>
      <c r="I323" s="3"/>
    </row>
    <row r="324" spans="1:9" x14ac:dyDescent="0.25">
      <c r="A324" s="3"/>
      <c r="B324" s="3"/>
      <c r="C324" s="3"/>
      <c r="D324" s="3"/>
      <c r="E324" s="3"/>
      <c r="F324" s="3"/>
      <c r="G324" s="3"/>
      <c r="H324" s="3"/>
      <c r="I324" s="3"/>
    </row>
    <row r="325" spans="1:9" x14ac:dyDescent="0.25">
      <c r="A325" s="3"/>
      <c r="B325" s="3"/>
      <c r="C325" s="3"/>
      <c r="D325" s="3"/>
      <c r="E325" s="3"/>
      <c r="F325" s="3"/>
      <c r="G325" s="3"/>
      <c r="H325" s="3"/>
      <c r="I325" s="3"/>
    </row>
    <row r="326" spans="1:9" x14ac:dyDescent="0.25">
      <c r="A326" s="3"/>
      <c r="B326" s="3"/>
      <c r="C326" s="3"/>
      <c r="D326" s="3"/>
      <c r="E326" s="3"/>
      <c r="F326" s="3"/>
      <c r="G326" s="3"/>
      <c r="H326" s="3"/>
      <c r="I326" s="3"/>
    </row>
    <row r="327" spans="1:9" x14ac:dyDescent="0.25">
      <c r="A327" s="3"/>
      <c r="B327" s="3"/>
      <c r="C327" s="3"/>
      <c r="D327" s="3"/>
      <c r="E327" s="3"/>
      <c r="F327" s="3"/>
      <c r="G327" s="3"/>
      <c r="H327" s="3"/>
      <c r="I327" s="3"/>
    </row>
    <row r="328" spans="1:9" x14ac:dyDescent="0.25">
      <c r="A328" s="3"/>
      <c r="B328" s="3"/>
      <c r="C328" s="3"/>
      <c r="D328" s="3"/>
      <c r="E328" s="3"/>
      <c r="F328" s="3"/>
      <c r="G328" s="3"/>
      <c r="H328" s="3"/>
      <c r="I328" s="3"/>
    </row>
    <row r="329" spans="1:9" x14ac:dyDescent="0.25">
      <c r="A329" s="3"/>
      <c r="B329" s="3"/>
      <c r="C329" s="3"/>
      <c r="D329" s="3"/>
      <c r="E329" s="3"/>
      <c r="F329" s="3"/>
      <c r="G329" s="3"/>
      <c r="H329" s="3"/>
      <c r="I329" s="3"/>
    </row>
    <row r="330" spans="1:9" x14ac:dyDescent="0.25">
      <c r="A330" s="3"/>
      <c r="B330" s="3"/>
      <c r="C330" s="3"/>
      <c r="D330" s="3"/>
      <c r="E330" s="3"/>
      <c r="F330" s="3"/>
      <c r="G330" s="3"/>
      <c r="H330" s="3"/>
      <c r="I330" s="3"/>
    </row>
    <row r="331" spans="1:9" x14ac:dyDescent="0.25">
      <c r="A331" s="3"/>
      <c r="B331" s="3"/>
      <c r="C331" s="3"/>
      <c r="D331" s="3"/>
      <c r="E331" s="3"/>
      <c r="F331" s="3"/>
      <c r="G331" s="3"/>
      <c r="H331" s="3"/>
      <c r="I331" s="3"/>
    </row>
    <row r="332" spans="1:9" x14ac:dyDescent="0.25">
      <c r="A332" s="3"/>
      <c r="B332" s="3"/>
      <c r="C332" s="3"/>
      <c r="D332" s="3"/>
      <c r="E332" s="3"/>
      <c r="F332" s="3"/>
      <c r="G332" s="3"/>
      <c r="H332" s="3"/>
      <c r="I332" s="3"/>
    </row>
    <row r="333" spans="1:9" x14ac:dyDescent="0.25">
      <c r="A333" s="3"/>
      <c r="B333" s="3"/>
      <c r="C333" s="3"/>
      <c r="D333" s="3"/>
      <c r="E333" s="3"/>
      <c r="F333" s="3"/>
      <c r="G333" s="3"/>
      <c r="H333" s="3"/>
      <c r="I333" s="3"/>
    </row>
    <row r="334" spans="1:9" x14ac:dyDescent="0.25">
      <c r="A334" s="3"/>
      <c r="B334" s="3"/>
      <c r="C334" s="3"/>
      <c r="D334" s="3"/>
      <c r="E334" s="3"/>
      <c r="F334" s="3"/>
      <c r="G334" s="3"/>
      <c r="H334" s="3"/>
      <c r="I334" s="3"/>
    </row>
    <row r="335" spans="1:9" x14ac:dyDescent="0.25">
      <c r="A335" s="3"/>
      <c r="B335" s="3"/>
      <c r="C335" s="3"/>
      <c r="D335" s="3"/>
      <c r="E335" s="3"/>
      <c r="F335" s="3"/>
      <c r="G335" s="3"/>
      <c r="H335" s="3"/>
      <c r="I335" s="3"/>
    </row>
    <row r="336" spans="1:9" x14ac:dyDescent="0.25">
      <c r="A336" s="3"/>
      <c r="B336" s="3"/>
      <c r="C336" s="3"/>
      <c r="D336" s="3"/>
      <c r="E336" s="3"/>
      <c r="F336" s="3"/>
      <c r="G336" s="3"/>
      <c r="H336" s="3"/>
      <c r="I336" s="3"/>
    </row>
    <row r="337" spans="1:9" x14ac:dyDescent="0.25">
      <c r="A337" s="3"/>
      <c r="B337" s="3"/>
      <c r="C337" s="3"/>
      <c r="D337" s="3"/>
      <c r="E337" s="3"/>
      <c r="F337" s="3"/>
      <c r="G337" s="3"/>
      <c r="H337" s="3"/>
      <c r="I337" s="3"/>
    </row>
    <row r="338" spans="1:9" x14ac:dyDescent="0.25">
      <c r="A338" s="3"/>
      <c r="B338" s="3"/>
      <c r="C338" s="3"/>
      <c r="D338" s="3"/>
      <c r="E338" s="3"/>
      <c r="F338" s="3"/>
      <c r="G338" s="3"/>
      <c r="H338" s="3"/>
      <c r="I338" s="3"/>
    </row>
    <row r="339" spans="1:9" x14ac:dyDescent="0.25">
      <c r="A339" s="3"/>
      <c r="B339" s="3"/>
      <c r="C339" s="3"/>
      <c r="D339" s="3"/>
      <c r="E339" s="3"/>
      <c r="F339" s="3"/>
      <c r="G339" s="3"/>
      <c r="H339" s="3"/>
      <c r="I339" s="3"/>
    </row>
    <row r="340" spans="1:9" x14ac:dyDescent="0.25">
      <c r="A340" s="3"/>
      <c r="B340" s="3"/>
      <c r="C340" s="3"/>
      <c r="D340" s="3"/>
      <c r="E340" s="3"/>
      <c r="F340" s="3"/>
      <c r="G340" s="3"/>
      <c r="H340" s="3"/>
      <c r="I340" s="3"/>
    </row>
    <row r="341" spans="1:9" x14ac:dyDescent="0.25">
      <c r="A341" s="3"/>
      <c r="B341" s="3"/>
      <c r="C341" s="3"/>
      <c r="D341" s="3"/>
      <c r="E341" s="3"/>
      <c r="F341" s="3"/>
      <c r="G341" s="3"/>
      <c r="H341" s="3"/>
      <c r="I341" s="3"/>
    </row>
    <row r="342" spans="1:9" x14ac:dyDescent="0.25">
      <c r="A342" s="3"/>
      <c r="B342" s="3"/>
      <c r="C342" s="3"/>
      <c r="D342" s="3"/>
      <c r="E342" s="3"/>
      <c r="F342" s="3"/>
      <c r="G342" s="3"/>
      <c r="H342" s="3"/>
      <c r="I342" s="3"/>
    </row>
    <row r="343" spans="1:9" x14ac:dyDescent="0.25">
      <c r="A343" s="3"/>
      <c r="B343" s="3"/>
      <c r="C343" s="3"/>
      <c r="D343" s="3"/>
      <c r="E343" s="3"/>
      <c r="F343" s="3"/>
      <c r="G343" s="3"/>
      <c r="H343" s="3"/>
      <c r="I343" s="3"/>
    </row>
    <row r="344" spans="1:9" x14ac:dyDescent="0.25">
      <c r="A344" s="3"/>
      <c r="B344" s="3"/>
      <c r="C344" s="3"/>
      <c r="D344" s="3"/>
      <c r="E344" s="3"/>
      <c r="F344" s="3"/>
      <c r="G344" s="3"/>
      <c r="H344" s="3"/>
      <c r="I344" s="3"/>
    </row>
    <row r="345" spans="1:9" x14ac:dyDescent="0.25">
      <c r="A345" s="3"/>
      <c r="B345" s="3"/>
      <c r="C345" s="3"/>
      <c r="D345" s="3"/>
      <c r="E345" s="3"/>
      <c r="F345" s="3"/>
      <c r="G345" s="3"/>
      <c r="H345" s="3"/>
      <c r="I345" s="3"/>
    </row>
    <row r="346" spans="1:9" x14ac:dyDescent="0.25">
      <c r="A346" s="3"/>
      <c r="B346" s="3"/>
      <c r="C346" s="3"/>
      <c r="D346" s="3"/>
      <c r="E346" s="3"/>
      <c r="F346" s="3"/>
      <c r="G346" s="3"/>
      <c r="H346" s="3"/>
      <c r="I346" s="3"/>
    </row>
    <row r="347" spans="1:9" x14ac:dyDescent="0.25">
      <c r="A347" s="3"/>
      <c r="B347" s="3"/>
      <c r="C347" s="3"/>
      <c r="D347" s="3"/>
      <c r="E347" s="3"/>
      <c r="F347" s="3"/>
      <c r="G347" s="3"/>
      <c r="H347" s="3"/>
      <c r="I347" s="3"/>
    </row>
    <row r="348" spans="1:9" x14ac:dyDescent="0.25">
      <c r="A348" s="3"/>
      <c r="B348" s="3"/>
      <c r="C348" s="3"/>
      <c r="D348" s="3"/>
      <c r="E348" s="3"/>
      <c r="F348" s="3"/>
      <c r="G348" s="3"/>
      <c r="H348" s="3"/>
      <c r="I348" s="3"/>
    </row>
    <row r="349" spans="1:9" x14ac:dyDescent="0.25">
      <c r="A349" s="3"/>
      <c r="B349" s="3"/>
      <c r="C349" s="3"/>
      <c r="D349" s="3"/>
      <c r="E349" s="3"/>
      <c r="F349" s="3"/>
      <c r="G349" s="3"/>
      <c r="H349" s="3"/>
      <c r="I349" s="3"/>
    </row>
    <row r="350" spans="1:9" x14ac:dyDescent="0.25">
      <c r="A350" s="3"/>
      <c r="B350" s="3"/>
      <c r="C350" s="3"/>
      <c r="D350" s="3"/>
      <c r="E350" s="3"/>
      <c r="F350" s="3"/>
      <c r="G350" s="3"/>
      <c r="H350" s="3"/>
      <c r="I350" s="3"/>
    </row>
    <row r="351" spans="1:9" x14ac:dyDescent="0.25">
      <c r="A351" s="3"/>
      <c r="B351" s="3"/>
      <c r="C351" s="3"/>
      <c r="D351" s="3"/>
      <c r="E351" s="3"/>
      <c r="F351" s="3"/>
      <c r="G351" s="3"/>
      <c r="H351" s="3"/>
      <c r="I351" s="3"/>
    </row>
    <row r="352" spans="1:9" x14ac:dyDescent="0.25">
      <c r="A352" s="3"/>
      <c r="B352" s="3"/>
      <c r="C352" s="3"/>
      <c r="D352" s="3"/>
      <c r="E352" s="3"/>
      <c r="F352" s="3"/>
      <c r="G352" s="3"/>
      <c r="H352" s="3"/>
      <c r="I352" s="3"/>
    </row>
    <row r="353" spans="1:9" x14ac:dyDescent="0.25">
      <c r="A353" s="3"/>
      <c r="B353" s="3"/>
      <c r="C353" s="3"/>
      <c r="D353" s="3"/>
      <c r="E353" s="3"/>
      <c r="F353" s="3"/>
      <c r="G353" s="3"/>
      <c r="H353" s="3"/>
      <c r="I353" s="3"/>
    </row>
    <row r="354" spans="1:9" x14ac:dyDescent="0.25">
      <c r="A354" s="3"/>
      <c r="B354" s="3"/>
      <c r="C354" s="3"/>
      <c r="D354" s="3"/>
      <c r="E354" s="3"/>
      <c r="F354" s="3"/>
      <c r="G354" s="3"/>
      <c r="H354" s="3"/>
      <c r="I354" s="3"/>
    </row>
    <row r="355" spans="1:9" x14ac:dyDescent="0.25">
      <c r="A355" s="3"/>
      <c r="B355" s="3"/>
      <c r="C355" s="3"/>
      <c r="D355" s="3"/>
      <c r="E355" s="3"/>
      <c r="F355" s="3"/>
      <c r="G355" s="3"/>
      <c r="H355" s="3"/>
      <c r="I355" s="3"/>
    </row>
    <row r="356" spans="1:9" x14ac:dyDescent="0.25">
      <c r="A356" s="3"/>
      <c r="B356" s="3"/>
      <c r="C356" s="3"/>
      <c r="D356" s="3"/>
      <c r="E356" s="3"/>
      <c r="F356" s="3"/>
      <c r="G356" s="3"/>
      <c r="H356" s="3"/>
      <c r="I356" s="3"/>
    </row>
    <row r="357" spans="1:9" x14ac:dyDescent="0.25">
      <c r="A357" s="3"/>
      <c r="B357" s="3"/>
      <c r="C357" s="3"/>
      <c r="D357" s="3"/>
      <c r="E357" s="3"/>
      <c r="F357" s="3"/>
      <c r="G357" s="3"/>
      <c r="H357" s="3"/>
      <c r="I357" s="3"/>
    </row>
    <row r="358" spans="1:9" x14ac:dyDescent="0.25">
      <c r="A358" s="3"/>
      <c r="B358" s="3"/>
      <c r="C358" s="3"/>
      <c r="D358" s="3"/>
      <c r="E358" s="3"/>
      <c r="F358" s="3"/>
      <c r="G358" s="3"/>
      <c r="H358" s="3"/>
      <c r="I358" s="3"/>
    </row>
    <row r="359" spans="1:9" x14ac:dyDescent="0.25">
      <c r="A359" s="3"/>
      <c r="B359" s="3"/>
      <c r="C359" s="3"/>
      <c r="D359" s="3"/>
      <c r="E359" s="3"/>
      <c r="F359" s="3"/>
      <c r="G359" s="3"/>
      <c r="H359" s="3"/>
      <c r="I359" s="3"/>
    </row>
    <row r="360" spans="1:9" x14ac:dyDescent="0.25">
      <c r="A360" s="3"/>
      <c r="B360" s="3"/>
      <c r="C360" s="3"/>
      <c r="D360" s="3"/>
      <c r="E360" s="3"/>
      <c r="F360" s="3"/>
      <c r="G360" s="3"/>
      <c r="H360" s="3"/>
      <c r="I360" s="3"/>
    </row>
    <row r="361" spans="1:9" x14ac:dyDescent="0.25">
      <c r="A361" s="3"/>
      <c r="B361" s="3"/>
      <c r="C361" s="3"/>
      <c r="D361" s="3"/>
      <c r="E361" s="3"/>
      <c r="F361" s="3"/>
      <c r="G361" s="3"/>
      <c r="H361" s="3"/>
      <c r="I361" s="3"/>
    </row>
    <row r="362" spans="1:9" x14ac:dyDescent="0.25">
      <c r="A362" s="3"/>
      <c r="B362" s="3"/>
      <c r="C362" s="3"/>
      <c r="D362" s="3"/>
      <c r="E362" s="3"/>
      <c r="F362" s="3"/>
      <c r="G362" s="3"/>
      <c r="H362" s="3"/>
      <c r="I362" s="3"/>
    </row>
    <row r="363" spans="1:9" x14ac:dyDescent="0.25">
      <c r="A363" s="3"/>
      <c r="B363" s="3"/>
      <c r="C363" s="3"/>
      <c r="D363" s="3"/>
      <c r="E363" s="3"/>
      <c r="F363" s="3"/>
      <c r="G363" s="3"/>
      <c r="H363" s="3"/>
      <c r="I363" s="3"/>
    </row>
    <row r="364" spans="1:9" x14ac:dyDescent="0.25">
      <c r="A364" s="3"/>
      <c r="B364" s="3"/>
      <c r="C364" s="3"/>
      <c r="D364" s="3"/>
      <c r="E364" s="3"/>
      <c r="F364" s="3"/>
      <c r="G364" s="3"/>
      <c r="H364" s="3"/>
      <c r="I364" s="3"/>
    </row>
    <row r="365" spans="1:9" x14ac:dyDescent="0.25">
      <c r="A365" s="3"/>
      <c r="B365" s="3"/>
      <c r="C365" s="3"/>
      <c r="D365" s="3"/>
      <c r="E365" s="3"/>
      <c r="F365" s="3"/>
      <c r="G365" s="3"/>
      <c r="H365" s="3"/>
      <c r="I365" s="3"/>
    </row>
    <row r="366" spans="1:9" x14ac:dyDescent="0.25">
      <c r="A366" s="3"/>
      <c r="B366" s="3"/>
      <c r="C366" s="3"/>
      <c r="D366" s="3"/>
      <c r="E366" s="3"/>
      <c r="F366" s="3"/>
      <c r="G366" s="3"/>
      <c r="H366" s="3"/>
      <c r="I366" s="3"/>
    </row>
    <row r="367" spans="1:9" x14ac:dyDescent="0.25">
      <c r="A367" s="3"/>
      <c r="B367" s="3"/>
      <c r="C367" s="3"/>
      <c r="D367" s="3"/>
      <c r="E367" s="3"/>
      <c r="F367" s="3"/>
      <c r="G367" s="3"/>
      <c r="H367" s="3"/>
      <c r="I367" s="3"/>
    </row>
    <row r="368" spans="1:9" x14ac:dyDescent="0.25">
      <c r="A368" s="3"/>
      <c r="B368" s="3"/>
      <c r="C368" s="3"/>
      <c r="D368" s="3"/>
      <c r="E368" s="3"/>
      <c r="F368" s="3"/>
      <c r="G368" s="3"/>
      <c r="H368" s="3"/>
      <c r="I368" s="3"/>
    </row>
    <row r="369" spans="1:9" x14ac:dyDescent="0.25">
      <c r="A369" s="3"/>
      <c r="B369" s="3"/>
      <c r="C369" s="3"/>
      <c r="D369" s="3"/>
      <c r="E369" s="3"/>
      <c r="F369" s="3"/>
      <c r="G369" s="3"/>
      <c r="H369" s="3"/>
      <c r="I369" s="3"/>
    </row>
    <row r="370" spans="1:9" x14ac:dyDescent="0.25">
      <c r="A370" s="3"/>
      <c r="B370" s="3"/>
      <c r="C370" s="3"/>
      <c r="D370" s="3"/>
      <c r="E370" s="3"/>
      <c r="F370" s="3"/>
      <c r="G370" s="3"/>
      <c r="H370" s="3"/>
      <c r="I370" s="3"/>
    </row>
    <row r="371" spans="1:9" x14ac:dyDescent="0.25">
      <c r="A371" s="3"/>
      <c r="B371" s="3"/>
      <c r="C371" s="3"/>
      <c r="D371" s="3"/>
      <c r="E371" s="3"/>
      <c r="F371" s="3"/>
      <c r="G371" s="3"/>
      <c r="H371" s="3"/>
      <c r="I371" s="3"/>
    </row>
    <row r="372" spans="1:9" x14ac:dyDescent="0.25">
      <c r="A372" s="3"/>
      <c r="B372" s="3"/>
      <c r="C372" s="3"/>
      <c r="D372" s="3"/>
      <c r="E372" s="3"/>
      <c r="F372" s="3"/>
      <c r="G372" s="3"/>
      <c r="H372" s="3"/>
      <c r="I372" s="3"/>
    </row>
    <row r="373" spans="1:9" x14ac:dyDescent="0.25">
      <c r="A373" s="3"/>
      <c r="B373" s="3"/>
      <c r="C373" s="3"/>
      <c r="D373" s="3"/>
      <c r="E373" s="3"/>
      <c r="F373" s="3"/>
      <c r="G373" s="3"/>
      <c r="H373" s="3"/>
      <c r="I373" s="3"/>
    </row>
    <row r="374" spans="1:9" x14ac:dyDescent="0.25">
      <c r="A374" s="3"/>
      <c r="B374" s="3"/>
      <c r="C374" s="3"/>
      <c r="D374" s="3"/>
      <c r="E374" s="3"/>
      <c r="F374" s="3"/>
      <c r="G374" s="3"/>
      <c r="H374" s="3"/>
      <c r="I374" s="3"/>
    </row>
    <row r="375" spans="1:9" x14ac:dyDescent="0.25">
      <c r="A375" s="3"/>
      <c r="B375" s="3"/>
      <c r="C375" s="3"/>
      <c r="D375" s="3"/>
      <c r="E375" s="3"/>
      <c r="F375" s="3"/>
      <c r="G375" s="3"/>
      <c r="H375" s="3"/>
      <c r="I375" s="3"/>
    </row>
    <row r="376" spans="1:9" x14ac:dyDescent="0.25">
      <c r="A376" s="3"/>
      <c r="B376" s="3"/>
      <c r="C376" s="3"/>
      <c r="D376" s="3"/>
      <c r="E376" s="3"/>
      <c r="F376" s="3"/>
      <c r="G376" s="3"/>
      <c r="H376" s="3"/>
      <c r="I376" s="3"/>
    </row>
    <row r="377" spans="1:9" x14ac:dyDescent="0.25">
      <c r="A377" s="3"/>
      <c r="B377" s="3"/>
      <c r="C377" s="3"/>
      <c r="D377" s="3"/>
      <c r="E377" s="3"/>
      <c r="F377" s="3"/>
      <c r="G377" s="3"/>
      <c r="H377" s="3"/>
      <c r="I377" s="3"/>
    </row>
    <row r="378" spans="1:9" x14ac:dyDescent="0.25">
      <c r="A378" s="3"/>
      <c r="B378" s="3"/>
      <c r="C378" s="3"/>
      <c r="D378" s="3"/>
      <c r="E378" s="3"/>
      <c r="F378" s="3"/>
      <c r="G378" s="3"/>
      <c r="H378" s="3"/>
      <c r="I378" s="3"/>
    </row>
    <row r="379" spans="1:9" x14ac:dyDescent="0.25">
      <c r="A379" s="3"/>
      <c r="B379" s="3"/>
      <c r="C379" s="3"/>
      <c r="D379" s="3"/>
      <c r="E379" s="3"/>
      <c r="F379" s="3"/>
      <c r="G379" s="3"/>
      <c r="H379" s="3"/>
      <c r="I379" s="3"/>
    </row>
    <row r="380" spans="1:9" x14ac:dyDescent="0.25">
      <c r="A380" s="3"/>
      <c r="B380" s="3"/>
      <c r="C380" s="3"/>
      <c r="D380" s="3"/>
      <c r="E380" s="3"/>
      <c r="F380" s="3"/>
      <c r="G380" s="3"/>
      <c r="H380" s="3"/>
      <c r="I380" s="3"/>
    </row>
    <row r="381" spans="1:9" x14ac:dyDescent="0.25">
      <c r="A381" s="3"/>
      <c r="B381" s="3"/>
      <c r="C381" s="3"/>
      <c r="D381" s="3"/>
      <c r="E381" s="3"/>
      <c r="F381" s="3"/>
      <c r="G381" s="3"/>
      <c r="H381" s="3"/>
      <c r="I381" s="3"/>
    </row>
    <row r="382" spans="1:9" x14ac:dyDescent="0.25">
      <c r="A382" s="3"/>
      <c r="B382" s="3"/>
      <c r="C382" s="3"/>
      <c r="D382" s="3"/>
      <c r="E382" s="3"/>
      <c r="F382" s="3"/>
      <c r="G382" s="3"/>
      <c r="H382" s="3"/>
      <c r="I382" s="3"/>
    </row>
    <row r="383" spans="1:9" x14ac:dyDescent="0.25">
      <c r="A383" s="3"/>
      <c r="B383" s="3"/>
      <c r="C383" s="3"/>
      <c r="D383" s="3"/>
      <c r="E383" s="3"/>
      <c r="F383" s="3"/>
      <c r="G383" s="3"/>
      <c r="H383" s="3"/>
      <c r="I383" s="3"/>
    </row>
    <row r="384" spans="1:9" x14ac:dyDescent="0.25">
      <c r="A384" s="3"/>
      <c r="B384" s="3"/>
      <c r="C384" s="3"/>
      <c r="D384" s="3"/>
      <c r="E384" s="3"/>
      <c r="F384" s="3"/>
      <c r="G384" s="3"/>
      <c r="H384" s="3"/>
      <c r="I384" s="3"/>
    </row>
    <row r="385" spans="1:9" x14ac:dyDescent="0.25">
      <c r="A385" s="3"/>
      <c r="B385" s="3"/>
      <c r="C385" s="3"/>
      <c r="D385" s="3"/>
      <c r="E385" s="3"/>
      <c r="F385" s="3"/>
      <c r="G385" s="3"/>
      <c r="H385" s="3"/>
      <c r="I385" s="3"/>
    </row>
    <row r="386" spans="1:9" x14ac:dyDescent="0.25">
      <c r="A386" s="3"/>
      <c r="B386" s="3"/>
      <c r="C386" s="3"/>
      <c r="D386" s="3"/>
      <c r="E386" s="3"/>
      <c r="F386" s="3"/>
      <c r="G386" s="3"/>
      <c r="H386" s="3"/>
      <c r="I386" s="3"/>
    </row>
    <row r="387" spans="1:9" x14ac:dyDescent="0.25">
      <c r="A387" s="3"/>
      <c r="B387" s="3"/>
      <c r="C387" s="3"/>
      <c r="D387" s="3"/>
      <c r="E387" s="3"/>
      <c r="F387" s="3"/>
      <c r="G387" s="3"/>
      <c r="H387" s="3"/>
      <c r="I387" s="3"/>
    </row>
    <row r="388" spans="1:9" x14ac:dyDescent="0.25">
      <c r="A388" s="3"/>
      <c r="B388" s="3"/>
      <c r="C388" s="3"/>
      <c r="D388" s="3"/>
      <c r="E388" s="3"/>
      <c r="F388" s="3"/>
      <c r="G388" s="3"/>
      <c r="H388" s="3"/>
      <c r="I388" s="3"/>
    </row>
    <row r="389" spans="1:9" x14ac:dyDescent="0.25">
      <c r="A389" s="3"/>
      <c r="B389" s="3"/>
      <c r="C389" s="3"/>
      <c r="D389" s="3"/>
      <c r="E389" s="3"/>
      <c r="F389" s="3"/>
      <c r="G389" s="3"/>
      <c r="H389" s="3"/>
      <c r="I389" s="3"/>
    </row>
    <row r="390" spans="1:9" x14ac:dyDescent="0.25">
      <c r="A390" s="3"/>
      <c r="B390" s="3"/>
      <c r="C390" s="3"/>
      <c r="D390" s="3"/>
      <c r="E390" s="3"/>
      <c r="F390" s="3"/>
      <c r="G390" s="3"/>
      <c r="H390" s="3"/>
      <c r="I390" s="3"/>
    </row>
    <row r="391" spans="1:9" x14ac:dyDescent="0.25">
      <c r="A391" s="3"/>
      <c r="B391" s="3"/>
      <c r="C391" s="3"/>
      <c r="D391" s="3"/>
      <c r="E391" s="3"/>
      <c r="F391" s="3"/>
      <c r="G391" s="3"/>
      <c r="H391" s="3"/>
      <c r="I391" s="3"/>
    </row>
    <row r="392" spans="1:9" x14ac:dyDescent="0.25">
      <c r="A392" s="3"/>
      <c r="B392" s="3"/>
      <c r="C392" s="3"/>
      <c r="D392" s="3"/>
      <c r="E392" s="3"/>
      <c r="F392" s="3"/>
      <c r="G392" s="3"/>
      <c r="H392" s="3"/>
      <c r="I392" s="3"/>
    </row>
    <row r="393" spans="1:9" x14ac:dyDescent="0.25">
      <c r="A393" s="3"/>
      <c r="B393" s="3"/>
      <c r="C393" s="3"/>
      <c r="D393" s="3"/>
      <c r="E393" s="3"/>
      <c r="F393" s="3"/>
      <c r="G393" s="3"/>
      <c r="H393" s="3"/>
      <c r="I393" s="3"/>
    </row>
    <row r="394" spans="1:9" x14ac:dyDescent="0.25">
      <c r="A394" s="3"/>
      <c r="B394" s="3"/>
      <c r="C394" s="3"/>
      <c r="D394" s="3"/>
      <c r="E394" s="3"/>
      <c r="F394" s="3"/>
      <c r="G394" s="3"/>
      <c r="H394" s="3"/>
      <c r="I394" s="3"/>
    </row>
    <row r="395" spans="1:9" x14ac:dyDescent="0.25">
      <c r="A395" s="3"/>
      <c r="B395" s="3"/>
      <c r="C395" s="3"/>
      <c r="D395" s="3"/>
      <c r="E395" s="3"/>
      <c r="F395" s="3"/>
      <c r="G395" s="3"/>
      <c r="H395" s="3"/>
      <c r="I395" s="3"/>
    </row>
    <row r="396" spans="1:9" x14ac:dyDescent="0.25">
      <c r="A396" s="3"/>
      <c r="B396" s="3"/>
      <c r="C396" s="3"/>
      <c r="D396" s="3"/>
      <c r="E396" s="3"/>
      <c r="F396" s="3"/>
      <c r="G396" s="3"/>
      <c r="H396" s="3"/>
      <c r="I396" s="3"/>
    </row>
    <row r="397" spans="1:9" x14ac:dyDescent="0.25">
      <c r="A397" s="3"/>
      <c r="B397" s="3"/>
      <c r="C397" s="3"/>
      <c r="D397" s="3"/>
      <c r="E397" s="3"/>
      <c r="F397" s="3"/>
      <c r="G397" s="3"/>
      <c r="H397" s="3"/>
      <c r="I397" s="3"/>
    </row>
    <row r="398" spans="1:9" x14ac:dyDescent="0.25">
      <c r="A398" s="3"/>
      <c r="B398" s="3"/>
      <c r="C398" s="3"/>
      <c r="D398" s="3"/>
      <c r="E398" s="3"/>
      <c r="F398" s="3"/>
      <c r="G398" s="3"/>
      <c r="H398" s="3"/>
      <c r="I398" s="3"/>
    </row>
    <row r="399" spans="1:9" x14ac:dyDescent="0.25">
      <c r="A399" s="3"/>
      <c r="B399" s="3"/>
      <c r="C399" s="3"/>
      <c r="D399" s="3"/>
      <c r="E399" s="3"/>
      <c r="F399" s="3"/>
      <c r="G399" s="3"/>
      <c r="H399" s="3"/>
      <c r="I399" s="3"/>
    </row>
    <row r="400" spans="1:9" x14ac:dyDescent="0.25">
      <c r="A400" s="3"/>
      <c r="B400" s="3"/>
      <c r="C400" s="3"/>
      <c r="D400" s="3"/>
      <c r="E400" s="3"/>
      <c r="F400" s="3"/>
      <c r="G400" s="3"/>
      <c r="H400" s="3"/>
      <c r="I400" s="3"/>
    </row>
    <row r="401" spans="1:9" x14ac:dyDescent="0.25">
      <c r="A401" s="3"/>
      <c r="B401" s="3"/>
      <c r="C401" s="3"/>
      <c r="D401" s="3"/>
      <c r="E401" s="3"/>
      <c r="F401" s="3"/>
      <c r="G401" s="3"/>
      <c r="H401" s="3"/>
      <c r="I401" s="3"/>
    </row>
    <row r="402" spans="1:9" x14ac:dyDescent="0.25">
      <c r="A402" s="3"/>
      <c r="B402" s="3"/>
      <c r="C402" s="3"/>
      <c r="D402" s="3"/>
      <c r="E402" s="3"/>
      <c r="F402" s="3"/>
      <c r="G402" s="3"/>
      <c r="H402" s="3"/>
      <c r="I402" s="3"/>
    </row>
    <row r="403" spans="1:9" x14ac:dyDescent="0.25">
      <c r="A403" s="3"/>
      <c r="B403" s="3"/>
      <c r="C403" s="3"/>
      <c r="D403" s="3"/>
      <c r="E403" s="3"/>
      <c r="F403" s="3"/>
      <c r="G403" s="3"/>
      <c r="H403" s="3"/>
      <c r="I403" s="3"/>
    </row>
    <row r="404" spans="1:9" x14ac:dyDescent="0.25">
      <c r="A404" s="3"/>
      <c r="B404" s="3"/>
      <c r="C404" s="3"/>
      <c r="D404" s="3"/>
      <c r="E404" s="3"/>
      <c r="F404" s="3"/>
      <c r="G404" s="3"/>
      <c r="H404" s="3"/>
      <c r="I404" s="3"/>
    </row>
    <row r="405" spans="1:9" x14ac:dyDescent="0.25">
      <c r="A405" s="3"/>
      <c r="B405" s="3"/>
      <c r="C405" s="3"/>
      <c r="D405" s="3"/>
      <c r="E405" s="3"/>
      <c r="F405" s="3"/>
      <c r="G405" s="3"/>
      <c r="H405" s="3"/>
      <c r="I405" s="3"/>
    </row>
    <row r="406" spans="1:9" x14ac:dyDescent="0.25">
      <c r="A406" s="3"/>
      <c r="B406" s="3"/>
      <c r="C406" s="3"/>
      <c r="D406" s="3"/>
      <c r="E406" s="3"/>
      <c r="F406" s="3"/>
      <c r="G406" s="3"/>
      <c r="H406" s="3"/>
      <c r="I406" s="3"/>
    </row>
    <row r="407" spans="1:9" x14ac:dyDescent="0.25">
      <c r="A407" s="3"/>
      <c r="B407" s="3"/>
      <c r="C407" s="3"/>
      <c r="D407" s="3"/>
      <c r="E407" s="3"/>
      <c r="F407" s="3"/>
      <c r="G407" s="3"/>
      <c r="H407" s="3"/>
      <c r="I407" s="3"/>
    </row>
    <row r="408" spans="1:9" x14ac:dyDescent="0.25">
      <c r="A408" s="3"/>
      <c r="B408" s="3"/>
      <c r="C408" s="3"/>
      <c r="D408" s="3"/>
      <c r="E408" s="3"/>
      <c r="F408" s="3"/>
      <c r="G408" s="3"/>
      <c r="H408" s="3"/>
      <c r="I408" s="3"/>
    </row>
    <row r="409" spans="1:9" x14ac:dyDescent="0.25">
      <c r="A409" s="3"/>
      <c r="B409" s="3"/>
      <c r="C409" s="3"/>
      <c r="D409" s="3"/>
      <c r="E409" s="3"/>
      <c r="F409" s="3"/>
      <c r="G409" s="3"/>
      <c r="H409" s="3"/>
      <c r="I409" s="3"/>
    </row>
    <row r="410" spans="1:9" x14ac:dyDescent="0.25">
      <c r="A410" s="3"/>
      <c r="B410" s="3"/>
      <c r="C410" s="3"/>
      <c r="D410" s="3"/>
      <c r="E410" s="3"/>
      <c r="F410" s="3"/>
      <c r="G410" s="3"/>
      <c r="H410" s="3"/>
      <c r="I410" s="3"/>
    </row>
    <row r="411" spans="1:9" x14ac:dyDescent="0.25">
      <c r="A411" s="3"/>
      <c r="B411" s="3"/>
      <c r="C411" s="3"/>
      <c r="D411" s="3"/>
      <c r="E411" s="3"/>
      <c r="F411" s="3"/>
      <c r="G411" s="3"/>
      <c r="H411" s="3"/>
      <c r="I411" s="3"/>
    </row>
    <row r="412" spans="1:9" x14ac:dyDescent="0.25">
      <c r="A412" s="3"/>
      <c r="B412" s="3"/>
      <c r="C412" s="3"/>
      <c r="D412" s="3"/>
      <c r="E412" s="3"/>
      <c r="F412" s="3"/>
      <c r="G412" s="3"/>
      <c r="H412" s="3"/>
      <c r="I412" s="3"/>
    </row>
    <row r="413" spans="1:9" x14ac:dyDescent="0.25">
      <c r="A413" s="3"/>
      <c r="B413" s="3"/>
      <c r="C413" s="3"/>
      <c r="D413" s="3"/>
      <c r="E413" s="3"/>
      <c r="F413" s="3"/>
      <c r="G413" s="3"/>
      <c r="H413" s="3"/>
      <c r="I413" s="3"/>
    </row>
    <row r="414" spans="1:9" x14ac:dyDescent="0.25">
      <c r="A414" s="3"/>
      <c r="B414" s="3"/>
      <c r="C414" s="3"/>
      <c r="D414" s="3"/>
      <c r="E414" s="3"/>
      <c r="F414" s="3"/>
      <c r="G414" s="3"/>
      <c r="H414" s="3"/>
      <c r="I414" s="3"/>
    </row>
    <row r="415" spans="1:9" x14ac:dyDescent="0.25">
      <c r="A415" s="3"/>
      <c r="B415" s="3"/>
      <c r="C415" s="3"/>
      <c r="D415" s="3"/>
      <c r="E415" s="3"/>
      <c r="F415" s="3"/>
      <c r="G415" s="3"/>
      <c r="H415" s="3"/>
      <c r="I415" s="3"/>
    </row>
    <row r="416" spans="1:9" x14ac:dyDescent="0.25">
      <c r="A416" s="3"/>
      <c r="B416" s="3"/>
      <c r="C416" s="3"/>
      <c r="D416" s="3"/>
      <c r="E416" s="3"/>
      <c r="F416" s="3"/>
      <c r="G416" s="3"/>
      <c r="H416" s="3"/>
      <c r="I416" s="3"/>
    </row>
    <row r="417" spans="1:9" x14ac:dyDescent="0.25">
      <c r="A417" s="3"/>
      <c r="B417" s="3"/>
      <c r="C417" s="3"/>
      <c r="D417" s="3"/>
      <c r="E417" s="3"/>
      <c r="F417" s="3"/>
      <c r="G417" s="3"/>
      <c r="H417" s="3"/>
      <c r="I417" s="3"/>
    </row>
    <row r="418" spans="1:9" x14ac:dyDescent="0.25">
      <c r="A418" s="3"/>
      <c r="B418" s="3"/>
      <c r="C418" s="3"/>
      <c r="D418" s="3"/>
      <c r="E418" s="3"/>
      <c r="F418" s="3"/>
      <c r="G418" s="3"/>
      <c r="H418" s="3"/>
      <c r="I418" s="3"/>
    </row>
    <row r="419" spans="1:9" x14ac:dyDescent="0.25">
      <c r="A419" s="3"/>
      <c r="B419" s="3"/>
      <c r="C419" s="3"/>
      <c r="D419" s="3"/>
      <c r="E419" s="3"/>
      <c r="F419" s="3"/>
      <c r="G419" s="3"/>
      <c r="H419" s="3"/>
      <c r="I419" s="3"/>
    </row>
    <row r="420" spans="1:9" x14ac:dyDescent="0.25">
      <c r="A420" s="3"/>
      <c r="B420" s="3"/>
      <c r="C420" s="3"/>
      <c r="D420" s="3"/>
      <c r="E420" s="3"/>
      <c r="F420" s="3"/>
      <c r="G420" s="3"/>
      <c r="H420" s="3"/>
      <c r="I420" s="3"/>
    </row>
    <row r="421" spans="1:9" x14ac:dyDescent="0.25">
      <c r="A421" s="3"/>
      <c r="B421" s="3"/>
      <c r="C421" s="3"/>
      <c r="D421" s="3"/>
      <c r="E421" s="3"/>
      <c r="F421" s="3"/>
      <c r="G421" s="3"/>
      <c r="H421" s="3"/>
      <c r="I421" s="3"/>
    </row>
    <row r="422" spans="1:9" x14ac:dyDescent="0.25">
      <c r="A422" s="3"/>
      <c r="B422" s="3"/>
      <c r="C422" s="3"/>
      <c r="D422" s="3"/>
      <c r="E422" s="3"/>
      <c r="F422" s="3"/>
      <c r="G422" s="3"/>
      <c r="H422" s="3"/>
      <c r="I422" s="3"/>
    </row>
    <row r="423" spans="1:9" x14ac:dyDescent="0.25">
      <c r="A423" s="3"/>
      <c r="B423" s="3"/>
      <c r="C423" s="3"/>
      <c r="D423" s="3"/>
      <c r="E423" s="3"/>
      <c r="F423" s="3"/>
      <c r="G423" s="3"/>
      <c r="H423" s="3"/>
      <c r="I423" s="3"/>
    </row>
    <row r="424" spans="1:9" x14ac:dyDescent="0.25">
      <c r="A424" s="3"/>
      <c r="B424" s="3"/>
      <c r="C424" s="3"/>
      <c r="D424" s="3"/>
      <c r="E424" s="3"/>
      <c r="F424" s="3"/>
      <c r="G424" s="3"/>
      <c r="H424" s="3"/>
      <c r="I424" s="3"/>
    </row>
    <row r="425" spans="1:9" x14ac:dyDescent="0.25">
      <c r="A425" s="3"/>
      <c r="B425" s="3"/>
      <c r="C425" s="3"/>
      <c r="D425" s="3"/>
      <c r="E425" s="3"/>
      <c r="F425" s="3"/>
      <c r="G425" s="3"/>
      <c r="H425" s="3"/>
      <c r="I425" s="3"/>
    </row>
    <row r="426" spans="1:9" x14ac:dyDescent="0.25">
      <c r="A426" s="3"/>
      <c r="B426" s="3"/>
      <c r="C426" s="3"/>
      <c r="D426" s="3"/>
      <c r="E426" s="3"/>
      <c r="F426" s="3"/>
      <c r="G426" s="3"/>
      <c r="H426" s="3"/>
      <c r="I426" s="3"/>
    </row>
    <row r="427" spans="1:9" x14ac:dyDescent="0.25">
      <c r="A427" s="3"/>
      <c r="B427" s="3"/>
      <c r="C427" s="3"/>
      <c r="D427" s="3"/>
      <c r="E427" s="3"/>
      <c r="F427" s="3"/>
      <c r="G427" s="3"/>
      <c r="H427" s="3"/>
      <c r="I427" s="3"/>
    </row>
    <row r="428" spans="1:9" x14ac:dyDescent="0.25">
      <c r="A428" s="3"/>
      <c r="B428" s="3"/>
      <c r="C428" s="3"/>
      <c r="D428" s="3"/>
      <c r="E428" s="3"/>
      <c r="F428" s="3"/>
      <c r="G428" s="3"/>
      <c r="H428" s="3"/>
      <c r="I428" s="3"/>
    </row>
    <row r="429" spans="1:9" x14ac:dyDescent="0.25">
      <c r="A429" s="3"/>
      <c r="B429" s="3"/>
      <c r="C429" s="3"/>
      <c r="D429" s="3"/>
      <c r="E429" s="3"/>
      <c r="F429" s="3"/>
      <c r="G429" s="3"/>
      <c r="H429" s="3"/>
      <c r="I429" s="3"/>
    </row>
    <row r="430" spans="1:9" x14ac:dyDescent="0.25">
      <c r="A430" s="3"/>
      <c r="B430" s="3"/>
      <c r="C430" s="3"/>
      <c r="D430" s="3"/>
      <c r="E430" s="3"/>
      <c r="F430" s="3"/>
      <c r="G430" s="3"/>
      <c r="H430" s="3"/>
      <c r="I430" s="3"/>
    </row>
    <row r="431" spans="1:9" x14ac:dyDescent="0.25">
      <c r="A431" s="3"/>
      <c r="B431" s="3"/>
      <c r="C431" s="3"/>
      <c r="D431" s="3"/>
      <c r="E431" s="3"/>
      <c r="F431" s="3"/>
      <c r="G431" s="3"/>
      <c r="H431" s="3"/>
      <c r="I431" s="3"/>
    </row>
    <row r="432" spans="1:9" x14ac:dyDescent="0.25">
      <c r="A432" s="3"/>
      <c r="B432" s="3"/>
      <c r="C432" s="3"/>
      <c r="D432" s="3"/>
      <c r="E432" s="3"/>
      <c r="F432" s="3"/>
      <c r="G432" s="3"/>
      <c r="H432" s="3"/>
      <c r="I432" s="3"/>
    </row>
    <row r="433" spans="1:9" x14ac:dyDescent="0.25">
      <c r="A433" s="3"/>
      <c r="B433" s="3"/>
      <c r="C433" s="3"/>
      <c r="D433" s="3"/>
      <c r="E433" s="3"/>
      <c r="F433" s="3"/>
      <c r="G433" s="3"/>
      <c r="H433" s="3"/>
      <c r="I433" s="3"/>
    </row>
    <row r="434" spans="1:9" x14ac:dyDescent="0.25">
      <c r="A434" s="3"/>
      <c r="B434" s="3"/>
      <c r="C434" s="3"/>
      <c r="D434" s="3"/>
      <c r="E434" s="3"/>
      <c r="F434" s="3"/>
      <c r="G434" s="3"/>
      <c r="H434" s="3"/>
      <c r="I434" s="3"/>
    </row>
    <row r="435" spans="1:9" x14ac:dyDescent="0.25">
      <c r="A435" s="3"/>
      <c r="B435" s="3"/>
      <c r="C435" s="3"/>
      <c r="D435" s="3"/>
      <c r="E435" s="3"/>
      <c r="F435" s="3"/>
      <c r="G435" s="3"/>
      <c r="H435" s="3"/>
      <c r="I435" s="3"/>
    </row>
    <row r="436" spans="1:9" x14ac:dyDescent="0.25">
      <c r="A436" s="3"/>
      <c r="B436" s="3"/>
      <c r="C436" s="3"/>
      <c r="D436" s="3"/>
      <c r="E436" s="3"/>
      <c r="F436" s="3"/>
      <c r="G436" s="3"/>
      <c r="H436" s="3"/>
      <c r="I436" s="3"/>
    </row>
    <row r="437" spans="1:9" x14ac:dyDescent="0.25">
      <c r="A437" s="3"/>
      <c r="B437" s="3"/>
      <c r="C437" s="3"/>
      <c r="D437" s="3"/>
      <c r="E437" s="3"/>
      <c r="F437" s="3"/>
      <c r="G437" s="3"/>
      <c r="H437" s="3"/>
      <c r="I437" s="3"/>
    </row>
    <row r="438" spans="1:9" x14ac:dyDescent="0.25">
      <c r="A438" s="3"/>
      <c r="B438" s="3"/>
      <c r="C438" s="3"/>
      <c r="D438" s="3"/>
      <c r="E438" s="3"/>
      <c r="F438" s="3"/>
      <c r="G438" s="3"/>
      <c r="H438" s="3"/>
      <c r="I438" s="3"/>
    </row>
    <row r="439" spans="1:9" x14ac:dyDescent="0.25">
      <c r="A439" s="3"/>
      <c r="B439" s="3"/>
      <c r="C439" s="3"/>
      <c r="D439" s="3"/>
      <c r="E439" s="3"/>
      <c r="F439" s="3"/>
      <c r="G439" s="3"/>
      <c r="H439" s="3"/>
      <c r="I439" s="3"/>
    </row>
    <row r="440" spans="1:9" x14ac:dyDescent="0.25">
      <c r="A440" s="3"/>
      <c r="B440" s="3"/>
      <c r="C440" s="3"/>
      <c r="D440" s="3"/>
      <c r="E440" s="3"/>
      <c r="F440" s="3"/>
      <c r="G440" s="3"/>
      <c r="H440" s="3"/>
      <c r="I440" s="3"/>
    </row>
    <row r="441" spans="1:9" x14ac:dyDescent="0.25">
      <c r="A441" s="3"/>
      <c r="B441" s="3"/>
      <c r="C441" s="3"/>
      <c r="D441" s="3"/>
      <c r="E441" s="3"/>
      <c r="F441" s="3"/>
      <c r="G441" s="3"/>
      <c r="H441" s="3"/>
      <c r="I441" s="3"/>
    </row>
    <row r="442" spans="1:9" x14ac:dyDescent="0.25">
      <c r="A442" s="3"/>
      <c r="B442" s="3"/>
      <c r="C442" s="3"/>
      <c r="D442" s="3"/>
      <c r="E442" s="3"/>
      <c r="F442" s="3"/>
      <c r="G442" s="3"/>
      <c r="H442" s="3"/>
      <c r="I442" s="3"/>
    </row>
    <row r="443" spans="1:9" x14ac:dyDescent="0.25">
      <c r="A443" s="3"/>
      <c r="B443" s="3"/>
      <c r="C443" s="3"/>
      <c r="D443" s="3"/>
      <c r="E443" s="3"/>
      <c r="F443" s="3"/>
      <c r="G443" s="3"/>
      <c r="H443" s="3"/>
      <c r="I443" s="3"/>
    </row>
    <row r="444" spans="1:9" x14ac:dyDescent="0.25">
      <c r="A444" s="3"/>
      <c r="B444" s="3"/>
      <c r="C444" s="3"/>
      <c r="D444" s="3"/>
      <c r="E444" s="3"/>
      <c r="F444" s="3"/>
      <c r="G444" s="3"/>
      <c r="H444" s="3"/>
      <c r="I444" s="3"/>
    </row>
    <row r="445" spans="1:9" x14ac:dyDescent="0.25">
      <c r="A445" s="3"/>
      <c r="B445" s="3"/>
      <c r="C445" s="3"/>
      <c r="D445" s="3"/>
      <c r="E445" s="3"/>
      <c r="F445" s="3"/>
      <c r="G445" s="3"/>
      <c r="H445" s="3"/>
      <c r="I445" s="3"/>
    </row>
    <row r="446" spans="1:9" x14ac:dyDescent="0.25">
      <c r="A446" s="3"/>
      <c r="B446" s="3"/>
      <c r="C446" s="3"/>
      <c r="D446" s="3"/>
      <c r="E446" s="3"/>
      <c r="F446" s="3"/>
      <c r="G446" s="3"/>
      <c r="H446" s="3"/>
      <c r="I446" s="3"/>
    </row>
    <row r="447" spans="1:9" x14ac:dyDescent="0.25">
      <c r="A447" s="3"/>
      <c r="B447" s="3"/>
      <c r="C447" s="3"/>
      <c r="D447" s="3"/>
      <c r="E447" s="3"/>
      <c r="F447" s="3"/>
      <c r="G447" s="3"/>
      <c r="H447" s="3"/>
      <c r="I447" s="3"/>
    </row>
    <row r="448" spans="1:9" x14ac:dyDescent="0.25">
      <c r="A448" s="3"/>
      <c r="B448" s="3"/>
      <c r="C448" s="3"/>
      <c r="D448" s="3"/>
      <c r="E448" s="3"/>
      <c r="F448" s="3"/>
      <c r="G448" s="3"/>
      <c r="H448" s="3"/>
      <c r="I448" s="3"/>
    </row>
    <row r="449" spans="1:9" x14ac:dyDescent="0.25">
      <c r="A449" s="3"/>
      <c r="B449" s="3"/>
      <c r="C449" s="3"/>
      <c r="D449" s="3"/>
      <c r="E449" s="3"/>
      <c r="F449" s="3"/>
      <c r="G449" s="3"/>
      <c r="H449" s="3"/>
      <c r="I449" s="3"/>
    </row>
    <row r="450" spans="1:9" x14ac:dyDescent="0.25">
      <c r="A450" s="3"/>
      <c r="B450" s="3"/>
      <c r="C450" s="3"/>
      <c r="D450" s="3"/>
      <c r="E450" s="3"/>
      <c r="F450" s="3"/>
      <c r="G450" s="3"/>
      <c r="H450" s="3"/>
      <c r="I450" s="3"/>
    </row>
    <row r="451" spans="1:9" x14ac:dyDescent="0.25">
      <c r="A451" s="3"/>
      <c r="B451" s="3"/>
      <c r="C451" s="3"/>
      <c r="D451" s="3"/>
      <c r="E451" s="3"/>
      <c r="F451" s="3"/>
      <c r="G451" s="3"/>
      <c r="H451" s="3"/>
      <c r="I451" s="3"/>
    </row>
    <row r="452" spans="1:9" x14ac:dyDescent="0.25">
      <c r="A452" s="3"/>
      <c r="B452" s="3"/>
      <c r="C452" s="3"/>
      <c r="D452" s="3"/>
      <c r="E452" s="3"/>
      <c r="F452" s="3"/>
      <c r="G452" s="3"/>
      <c r="H452" s="3"/>
      <c r="I452" s="3"/>
    </row>
    <row r="453" spans="1:9" x14ac:dyDescent="0.25">
      <c r="A453" s="3"/>
      <c r="B453" s="3"/>
      <c r="C453" s="3"/>
      <c r="D453" s="3"/>
      <c r="E453" s="3"/>
      <c r="F453" s="3"/>
      <c r="G453" s="3"/>
      <c r="H453" s="3"/>
      <c r="I453" s="3"/>
    </row>
    <row r="454" spans="1:9" x14ac:dyDescent="0.25">
      <c r="A454" s="3"/>
      <c r="B454" s="3"/>
      <c r="C454" s="3"/>
      <c r="D454" s="3"/>
      <c r="E454" s="3"/>
      <c r="F454" s="3"/>
      <c r="G454" s="3"/>
      <c r="H454" s="3"/>
      <c r="I454" s="3"/>
    </row>
    <row r="455" spans="1:9" x14ac:dyDescent="0.25">
      <c r="A455" s="3"/>
      <c r="B455" s="3"/>
      <c r="C455" s="3"/>
      <c r="D455" s="3"/>
      <c r="E455" s="3"/>
      <c r="F455" s="3"/>
      <c r="G455" s="3"/>
      <c r="H455" s="3"/>
      <c r="I455" s="3"/>
    </row>
    <row r="456" spans="1:9" x14ac:dyDescent="0.25">
      <c r="A456" s="3"/>
      <c r="B456" s="3"/>
      <c r="C456" s="3"/>
      <c r="D456" s="3"/>
      <c r="E456" s="3"/>
      <c r="F456" s="3"/>
      <c r="G456" s="3"/>
      <c r="H456" s="3"/>
      <c r="I456" s="3"/>
    </row>
    <row r="457" spans="1:9" x14ac:dyDescent="0.25">
      <c r="A457" s="3"/>
      <c r="B457" s="3"/>
      <c r="C457" s="3"/>
      <c r="D457" s="3"/>
      <c r="E457" s="3"/>
      <c r="F457" s="3"/>
      <c r="G457" s="3"/>
      <c r="H457" s="3"/>
      <c r="I457" s="3"/>
    </row>
    <row r="458" spans="1:9" x14ac:dyDescent="0.25">
      <c r="A458" s="3"/>
      <c r="B458" s="3"/>
      <c r="C458" s="3"/>
      <c r="D458" s="3"/>
      <c r="E458" s="3"/>
      <c r="F458" s="3"/>
      <c r="G458" s="3"/>
      <c r="H458" s="3"/>
      <c r="I458" s="3"/>
    </row>
    <row r="459" spans="1:9" x14ac:dyDescent="0.25">
      <c r="A459" s="3"/>
      <c r="B459" s="3"/>
      <c r="C459" s="3"/>
      <c r="D459" s="3"/>
      <c r="E459" s="3"/>
      <c r="F459" s="3"/>
      <c r="G459" s="3"/>
      <c r="H459" s="3"/>
      <c r="I459" s="3"/>
    </row>
    <row r="460" spans="1:9" x14ac:dyDescent="0.25">
      <c r="A460" s="3"/>
      <c r="B460" s="3"/>
      <c r="C460" s="3"/>
      <c r="D460" s="3"/>
      <c r="E460" s="3"/>
      <c r="F460" s="3"/>
      <c r="G460" s="3"/>
      <c r="H460" s="3"/>
      <c r="I460" s="3"/>
    </row>
    <row r="461" spans="1:9" x14ac:dyDescent="0.25">
      <c r="A461" s="3"/>
      <c r="B461" s="3"/>
      <c r="C461" s="3"/>
      <c r="D461" s="3"/>
      <c r="E461" s="3"/>
      <c r="F461" s="3"/>
      <c r="G461" s="3"/>
      <c r="H461" s="3"/>
      <c r="I461" s="3"/>
    </row>
    <row r="462" spans="1:9" x14ac:dyDescent="0.25">
      <c r="A462" s="3"/>
      <c r="B462" s="3"/>
      <c r="C462" s="3"/>
      <c r="D462" s="3"/>
      <c r="E462" s="3"/>
      <c r="F462" s="3"/>
      <c r="G462" s="3"/>
      <c r="H462" s="3"/>
      <c r="I462" s="3"/>
    </row>
    <row r="463" spans="1:9" x14ac:dyDescent="0.25">
      <c r="A463" s="3"/>
      <c r="B463" s="3"/>
      <c r="C463" s="3"/>
      <c r="D463" s="3"/>
      <c r="E463" s="3"/>
      <c r="F463" s="3"/>
      <c r="G463" s="3"/>
      <c r="H463" s="3"/>
      <c r="I463" s="3"/>
    </row>
    <row r="464" spans="1:9" x14ac:dyDescent="0.25">
      <c r="A464" s="3"/>
      <c r="B464" s="3"/>
      <c r="C464" s="3"/>
      <c r="D464" s="3"/>
      <c r="E464" s="3"/>
      <c r="F464" s="3"/>
      <c r="G464" s="3"/>
      <c r="H464" s="3"/>
      <c r="I464" s="3"/>
    </row>
    <row r="465" spans="1:9" x14ac:dyDescent="0.25">
      <c r="A465" s="3"/>
      <c r="B465" s="3"/>
      <c r="C465" s="3"/>
      <c r="D465" s="3"/>
      <c r="E465" s="3"/>
      <c r="F465" s="3"/>
      <c r="G465" s="3"/>
      <c r="H465" s="3"/>
      <c r="I465" s="3"/>
    </row>
    <row r="466" spans="1:9" x14ac:dyDescent="0.25">
      <c r="A466" s="3"/>
      <c r="B466" s="3"/>
      <c r="C466" s="3"/>
      <c r="D466" s="3"/>
      <c r="E466" s="3"/>
      <c r="F466" s="3"/>
      <c r="G466" s="3"/>
      <c r="H466" s="3"/>
      <c r="I466" s="3"/>
    </row>
    <row r="467" spans="1:9" x14ac:dyDescent="0.25">
      <c r="A467" s="3"/>
      <c r="B467" s="3"/>
      <c r="C467" s="3"/>
      <c r="D467" s="3"/>
      <c r="E467" s="3"/>
      <c r="F467" s="3"/>
      <c r="G467" s="3"/>
      <c r="H467" s="3"/>
      <c r="I467" s="3"/>
    </row>
    <row r="468" spans="1:9" x14ac:dyDescent="0.25">
      <c r="A468" s="3"/>
      <c r="B468" s="3"/>
      <c r="C468" s="3"/>
      <c r="D468" s="3"/>
      <c r="E468" s="3"/>
      <c r="F468" s="3"/>
      <c r="G468" s="3"/>
      <c r="H468" s="3"/>
      <c r="I468" s="3"/>
    </row>
    <row r="469" spans="1:9" x14ac:dyDescent="0.25">
      <c r="A469" s="3"/>
      <c r="B469" s="3"/>
      <c r="C469" s="3"/>
      <c r="D469" s="3"/>
      <c r="E469" s="3"/>
      <c r="F469" s="3"/>
      <c r="G469" s="3"/>
      <c r="H469" s="3"/>
      <c r="I469" s="3"/>
    </row>
    <row r="470" spans="1:9" x14ac:dyDescent="0.25">
      <c r="A470" s="3"/>
      <c r="B470" s="3"/>
      <c r="C470" s="3"/>
      <c r="D470" s="3"/>
      <c r="E470" s="3"/>
      <c r="F470" s="3"/>
      <c r="G470" s="3"/>
      <c r="H470" s="3"/>
      <c r="I470" s="3"/>
    </row>
    <row r="471" spans="1:9" x14ac:dyDescent="0.25">
      <c r="A471" s="3"/>
      <c r="B471" s="3"/>
      <c r="C471" s="3"/>
      <c r="D471" s="3"/>
      <c r="E471" s="3"/>
      <c r="F471" s="3"/>
      <c r="G471" s="3"/>
      <c r="H471" s="3"/>
      <c r="I471" s="3"/>
    </row>
    <row r="472" spans="1:9" x14ac:dyDescent="0.25">
      <c r="A472" s="3"/>
      <c r="B472" s="3"/>
      <c r="C472" s="3"/>
      <c r="D472" s="3"/>
      <c r="E472" s="3"/>
      <c r="F472" s="3"/>
      <c r="G472" s="3"/>
      <c r="H472" s="3"/>
      <c r="I472" s="3"/>
    </row>
    <row r="473" spans="1:9" x14ac:dyDescent="0.25">
      <c r="A473" s="3"/>
      <c r="B473" s="3"/>
      <c r="C473" s="3"/>
      <c r="D473" s="3"/>
      <c r="E473" s="3"/>
      <c r="F473" s="3"/>
      <c r="G473" s="3"/>
      <c r="H473" s="3"/>
      <c r="I473" s="3"/>
    </row>
    <row r="474" spans="1:9" x14ac:dyDescent="0.25">
      <c r="A474" s="3"/>
      <c r="B474" s="3"/>
      <c r="C474" s="3"/>
      <c r="D474" s="3"/>
      <c r="E474" s="3"/>
      <c r="F474" s="3"/>
      <c r="G474" s="3"/>
      <c r="H474" s="3"/>
      <c r="I474" s="3"/>
    </row>
    <row r="475" spans="1:9" x14ac:dyDescent="0.25">
      <c r="A475" s="3"/>
      <c r="B475" s="3"/>
      <c r="C475" s="3"/>
      <c r="D475" s="3"/>
      <c r="E475" s="3"/>
      <c r="F475" s="3"/>
      <c r="G475" s="3"/>
      <c r="H475" s="3"/>
      <c r="I475" s="3"/>
    </row>
    <row r="476" spans="1:9" x14ac:dyDescent="0.25">
      <c r="A476" s="3"/>
      <c r="B476" s="3"/>
      <c r="C476" s="3"/>
      <c r="D476" s="3"/>
      <c r="E476" s="3"/>
      <c r="F476" s="3"/>
      <c r="G476" s="3"/>
      <c r="H476" s="3"/>
      <c r="I476" s="3"/>
    </row>
    <row r="477" spans="1:9" x14ac:dyDescent="0.25">
      <c r="A477" s="3"/>
      <c r="B477" s="3"/>
      <c r="C477" s="3"/>
      <c r="D477" s="3"/>
      <c r="E477" s="3"/>
      <c r="F477" s="3"/>
      <c r="G477" s="3"/>
      <c r="H477" s="3"/>
      <c r="I477" s="3"/>
    </row>
    <row r="478" spans="1:9" x14ac:dyDescent="0.25">
      <c r="A478" s="3"/>
      <c r="B478" s="3"/>
      <c r="C478" s="3"/>
      <c r="D478" s="3"/>
      <c r="E478" s="3"/>
      <c r="F478" s="3"/>
      <c r="G478" s="3"/>
      <c r="H478" s="3"/>
      <c r="I478" s="3"/>
    </row>
    <row r="479" spans="1:9" x14ac:dyDescent="0.25">
      <c r="A479" s="3"/>
      <c r="B479" s="3"/>
      <c r="C479" s="3"/>
      <c r="D479" s="3"/>
      <c r="E479" s="3"/>
      <c r="F479" s="3"/>
      <c r="G479" s="3"/>
      <c r="H479" s="3"/>
      <c r="I479" s="3"/>
    </row>
    <row r="480" spans="1:9" x14ac:dyDescent="0.25">
      <c r="A480" s="3"/>
      <c r="B480" s="3"/>
      <c r="C480" s="3"/>
      <c r="D480" s="3"/>
      <c r="E480" s="3"/>
      <c r="F480" s="3"/>
      <c r="G480" s="3"/>
      <c r="H480" s="3"/>
      <c r="I480" s="3"/>
    </row>
    <row r="481" spans="1:9" x14ac:dyDescent="0.25">
      <c r="A481" s="3"/>
      <c r="B481" s="3"/>
      <c r="C481" s="3"/>
      <c r="D481" s="3"/>
      <c r="E481" s="3"/>
      <c r="F481" s="3"/>
      <c r="G481" s="3"/>
      <c r="H481" s="3"/>
      <c r="I481" s="3"/>
    </row>
    <row r="482" spans="1:9" x14ac:dyDescent="0.25">
      <c r="A482" s="3"/>
      <c r="B482" s="3"/>
      <c r="C482" s="3"/>
      <c r="D482" s="3"/>
      <c r="E482" s="3"/>
      <c r="F482" s="3"/>
      <c r="G482" s="3"/>
      <c r="H482" s="3"/>
      <c r="I482" s="3"/>
    </row>
    <row r="483" spans="1:9" x14ac:dyDescent="0.25">
      <c r="A483" s="3"/>
      <c r="B483" s="3"/>
      <c r="C483" s="3"/>
      <c r="D483" s="3"/>
      <c r="E483" s="3"/>
      <c r="F483" s="3"/>
      <c r="G483" s="3"/>
      <c r="H483" s="3"/>
      <c r="I483" s="3"/>
    </row>
    <row r="484" spans="1:9" x14ac:dyDescent="0.25">
      <c r="A484" s="3"/>
      <c r="B484" s="3"/>
      <c r="C484" s="3"/>
      <c r="D484" s="3"/>
      <c r="E484" s="3"/>
      <c r="F484" s="3"/>
      <c r="G484" s="3"/>
      <c r="H484" s="3"/>
      <c r="I484" s="3"/>
    </row>
    <row r="485" spans="1:9" x14ac:dyDescent="0.25">
      <c r="A485" s="3"/>
      <c r="B485" s="3"/>
      <c r="C485" s="3"/>
      <c r="D485" s="3"/>
      <c r="E485" s="3"/>
      <c r="F485" s="3"/>
      <c r="G485" s="3"/>
      <c r="H485" s="3"/>
      <c r="I485" s="3"/>
    </row>
    <row r="486" spans="1:9" x14ac:dyDescent="0.25">
      <c r="A486" s="3"/>
      <c r="B486" s="3"/>
      <c r="C486" s="3"/>
      <c r="D486" s="3"/>
      <c r="E486" s="3"/>
      <c r="F486" s="3"/>
      <c r="G486" s="3"/>
      <c r="H486" s="3"/>
      <c r="I486" s="3"/>
    </row>
    <row r="487" spans="1:9" x14ac:dyDescent="0.25">
      <c r="A487" s="3"/>
      <c r="B487" s="3"/>
      <c r="C487" s="3"/>
      <c r="D487" s="3"/>
      <c r="E487" s="3"/>
      <c r="F487" s="3"/>
      <c r="G487" s="3"/>
      <c r="H487" s="3"/>
      <c r="I487" s="3"/>
    </row>
    <row r="488" spans="1:9" x14ac:dyDescent="0.25">
      <c r="A488" s="3"/>
      <c r="B488" s="3"/>
      <c r="C488" s="3"/>
      <c r="D488" s="3"/>
      <c r="E488" s="3"/>
      <c r="F488" s="3"/>
      <c r="G488" s="3"/>
      <c r="H488" s="3"/>
      <c r="I488" s="3"/>
    </row>
    <row r="489" spans="1:9" x14ac:dyDescent="0.25">
      <c r="A489" s="3"/>
      <c r="B489" s="3"/>
      <c r="C489" s="3"/>
      <c r="D489" s="3"/>
      <c r="E489" s="3"/>
      <c r="F489" s="3"/>
      <c r="G489" s="3"/>
      <c r="H489" s="3"/>
      <c r="I489" s="3"/>
    </row>
    <row r="490" spans="1:9" x14ac:dyDescent="0.25">
      <c r="A490" s="3"/>
      <c r="B490" s="3"/>
      <c r="C490" s="3"/>
      <c r="D490" s="3"/>
      <c r="E490" s="3"/>
      <c r="F490" s="3"/>
      <c r="G490" s="3"/>
      <c r="H490" s="3"/>
      <c r="I490" s="3"/>
    </row>
    <row r="491" spans="1:9" x14ac:dyDescent="0.25">
      <c r="A491" s="3"/>
      <c r="B491" s="3"/>
      <c r="C491" s="3"/>
      <c r="D491" s="3"/>
      <c r="E491" s="3"/>
      <c r="F491" s="3"/>
      <c r="G491" s="3"/>
      <c r="H491" s="3"/>
      <c r="I491" s="3"/>
    </row>
    <row r="492" spans="1:9" x14ac:dyDescent="0.25">
      <c r="A492" s="3"/>
      <c r="B492" s="3"/>
      <c r="C492" s="3"/>
      <c r="D492" s="3"/>
      <c r="E492" s="3"/>
      <c r="F492" s="3"/>
      <c r="G492" s="3"/>
      <c r="H492" s="3"/>
      <c r="I492" s="3"/>
    </row>
    <row r="493" spans="1:9" x14ac:dyDescent="0.25">
      <c r="A493" s="3"/>
      <c r="B493" s="3"/>
      <c r="C493" s="3"/>
      <c r="D493" s="3"/>
      <c r="E493" s="3"/>
      <c r="F493" s="3"/>
      <c r="G493" s="3"/>
      <c r="H493" s="3"/>
      <c r="I493" s="3"/>
    </row>
    <row r="494" spans="1:9" x14ac:dyDescent="0.25">
      <c r="A494" s="3"/>
      <c r="B494" s="3"/>
      <c r="C494" s="3"/>
      <c r="D494" s="3"/>
      <c r="E494" s="3"/>
      <c r="F494" s="3"/>
      <c r="G494" s="3"/>
      <c r="H494" s="3"/>
      <c r="I494" s="3"/>
    </row>
    <row r="495" spans="1:9" x14ac:dyDescent="0.25">
      <c r="A495" s="3"/>
      <c r="B495" s="3"/>
      <c r="C495" s="3"/>
      <c r="D495" s="3"/>
      <c r="E495" s="3"/>
      <c r="F495" s="3"/>
      <c r="G495" s="3"/>
      <c r="H495" s="3"/>
      <c r="I495" s="3"/>
    </row>
    <row r="496" spans="1:9" x14ac:dyDescent="0.25">
      <c r="A496" s="3"/>
      <c r="B496" s="3"/>
      <c r="C496" s="3"/>
      <c r="D496" s="3"/>
      <c r="E496" s="3"/>
      <c r="F496" s="3"/>
      <c r="G496" s="3"/>
      <c r="H496" s="3"/>
      <c r="I496" s="3"/>
    </row>
    <row r="497" spans="1:9" x14ac:dyDescent="0.25">
      <c r="A497" s="3"/>
      <c r="B497" s="3"/>
      <c r="C497" s="3"/>
      <c r="D497" s="3"/>
      <c r="E497" s="3"/>
      <c r="F497" s="3"/>
      <c r="G497" s="3"/>
      <c r="H497" s="3"/>
      <c r="I497" s="3"/>
    </row>
    <row r="498" spans="1:9" x14ac:dyDescent="0.25">
      <c r="A498" s="3"/>
      <c r="B498" s="3"/>
      <c r="C498" s="3"/>
      <c r="D498" s="3"/>
      <c r="E498" s="3"/>
      <c r="F498" s="3"/>
      <c r="G498" s="3"/>
      <c r="H498" s="3"/>
      <c r="I498" s="3"/>
    </row>
    <row r="499" spans="1:9" x14ac:dyDescent="0.25">
      <c r="A499" s="3"/>
      <c r="B499" s="3"/>
      <c r="C499" s="3"/>
      <c r="D499" s="3"/>
      <c r="E499" s="3"/>
      <c r="F499" s="3"/>
      <c r="G499" s="3"/>
      <c r="H499" s="3"/>
      <c r="I499" s="3"/>
    </row>
    <row r="500" spans="1:9" x14ac:dyDescent="0.25">
      <c r="A500" s="3"/>
      <c r="B500" s="3"/>
      <c r="C500" s="3"/>
      <c r="D500" s="3"/>
      <c r="E500" s="3"/>
      <c r="F500" s="3"/>
      <c r="G500" s="3"/>
      <c r="H500" s="3"/>
      <c r="I500" s="3"/>
    </row>
    <row r="501" spans="1:9" x14ac:dyDescent="0.25">
      <c r="A501" s="3"/>
      <c r="B501" s="3"/>
      <c r="C501" s="3"/>
      <c r="D501" s="3"/>
      <c r="E501" s="3"/>
      <c r="F501" s="3"/>
      <c r="G501" s="3"/>
      <c r="H501" s="3"/>
      <c r="I501" s="3"/>
    </row>
    <row r="502" spans="1:9" x14ac:dyDescent="0.25">
      <c r="A502" s="3"/>
      <c r="B502" s="3"/>
      <c r="C502" s="3"/>
      <c r="D502" s="3"/>
      <c r="E502" s="3"/>
      <c r="F502" s="3"/>
      <c r="G502" s="3"/>
      <c r="H502" s="3"/>
      <c r="I502" s="3"/>
    </row>
    <row r="503" spans="1:9" x14ac:dyDescent="0.25">
      <c r="A503" s="3"/>
      <c r="B503" s="3"/>
      <c r="C503" s="3"/>
      <c r="D503" s="3"/>
      <c r="E503" s="3"/>
      <c r="F503" s="3"/>
      <c r="G503" s="3"/>
      <c r="H503" s="3"/>
      <c r="I503" s="3"/>
    </row>
    <row r="504" spans="1:9" x14ac:dyDescent="0.25">
      <c r="A504" s="3"/>
      <c r="B504" s="3"/>
      <c r="C504" s="3"/>
      <c r="D504" s="3"/>
      <c r="E504" s="3"/>
      <c r="F504" s="3"/>
      <c r="G504" s="3"/>
      <c r="H504" s="3"/>
      <c r="I504" s="3"/>
    </row>
    <row r="505" spans="1:9" x14ac:dyDescent="0.25">
      <c r="A505" s="3"/>
      <c r="B505" s="3"/>
      <c r="C505" s="3"/>
      <c r="D505" s="3"/>
      <c r="E505" s="3"/>
      <c r="F505" s="3"/>
      <c r="G505" s="3"/>
      <c r="H505" s="3"/>
      <c r="I505" s="3"/>
    </row>
    <row r="506" spans="1:9" x14ac:dyDescent="0.25">
      <c r="A506" s="3"/>
      <c r="B506" s="3"/>
      <c r="C506" s="3"/>
      <c r="D506" s="3"/>
      <c r="E506" s="3"/>
      <c r="F506" s="3"/>
      <c r="G506" s="3"/>
      <c r="H506" s="3"/>
      <c r="I506" s="3"/>
    </row>
    <row r="507" spans="1:9" x14ac:dyDescent="0.25">
      <c r="A507" s="3"/>
      <c r="B507" s="3"/>
      <c r="C507" s="3"/>
      <c r="D507" s="3"/>
      <c r="E507" s="3"/>
      <c r="F507" s="3"/>
      <c r="G507" s="3"/>
      <c r="H507" s="3"/>
      <c r="I507" s="3"/>
    </row>
    <row r="508" spans="1:9" x14ac:dyDescent="0.25">
      <c r="A508" s="3"/>
      <c r="B508" s="3"/>
      <c r="C508" s="3"/>
      <c r="D508" s="3"/>
      <c r="E508" s="3"/>
      <c r="F508" s="3"/>
      <c r="G508" s="3"/>
      <c r="H508" s="3"/>
      <c r="I508" s="3"/>
    </row>
    <row r="509" spans="1:9" x14ac:dyDescent="0.25">
      <c r="A509" s="3"/>
      <c r="B509" s="3"/>
      <c r="C509" s="3"/>
      <c r="D509" s="3"/>
      <c r="E509" s="3"/>
      <c r="F509" s="3"/>
      <c r="G509" s="3"/>
      <c r="H509" s="3"/>
      <c r="I509" s="3"/>
    </row>
    <row r="510" spans="1:9" x14ac:dyDescent="0.25">
      <c r="A510" s="3"/>
      <c r="B510" s="3"/>
      <c r="C510" s="3"/>
      <c r="D510" s="3"/>
      <c r="E510" s="3"/>
      <c r="F510" s="3"/>
      <c r="G510" s="3"/>
      <c r="H510" s="3"/>
      <c r="I510" s="3"/>
    </row>
    <row r="511" spans="1:9" x14ac:dyDescent="0.25">
      <c r="A511" s="3"/>
      <c r="B511" s="3"/>
      <c r="C511" s="3"/>
      <c r="D511" s="3"/>
      <c r="E511" s="3"/>
      <c r="F511" s="3"/>
      <c r="G511" s="3"/>
      <c r="H511" s="3"/>
      <c r="I511" s="3"/>
    </row>
    <row r="512" spans="1:9" x14ac:dyDescent="0.25">
      <c r="A512" s="3"/>
      <c r="B512" s="3"/>
      <c r="C512" s="3"/>
      <c r="D512" s="3"/>
      <c r="E512" s="3"/>
      <c r="F512" s="3"/>
      <c r="G512" s="3"/>
      <c r="H512" s="3"/>
      <c r="I512" s="3"/>
    </row>
    <row r="513" spans="1:9" x14ac:dyDescent="0.25">
      <c r="A513" s="3"/>
      <c r="B513" s="3"/>
      <c r="C513" s="3"/>
      <c r="D513" s="3"/>
      <c r="E513" s="3"/>
      <c r="F513" s="3"/>
      <c r="G513" s="3"/>
      <c r="H513" s="3"/>
      <c r="I513" s="3"/>
    </row>
    <row r="514" spans="1:9" x14ac:dyDescent="0.25">
      <c r="A514" s="3"/>
      <c r="B514" s="3"/>
      <c r="C514" s="3"/>
      <c r="D514" s="3"/>
      <c r="E514" s="3"/>
      <c r="F514" s="3"/>
      <c r="G514" s="3"/>
      <c r="H514" s="3"/>
      <c r="I514" s="3"/>
    </row>
    <row r="515" spans="1:9" x14ac:dyDescent="0.25">
      <c r="A515" s="3"/>
      <c r="B515" s="3"/>
      <c r="C515" s="3"/>
      <c r="D515" s="3"/>
      <c r="E515" s="3"/>
      <c r="F515" s="3"/>
      <c r="G515" s="3"/>
      <c r="H515" s="3"/>
      <c r="I515" s="3"/>
    </row>
    <row r="516" spans="1:9" x14ac:dyDescent="0.25">
      <c r="A516" s="3"/>
      <c r="B516" s="3"/>
      <c r="C516" s="3"/>
      <c r="D516" s="3"/>
      <c r="E516" s="3"/>
      <c r="F516" s="3"/>
      <c r="G516" s="3"/>
      <c r="H516" s="3"/>
      <c r="I516" s="3"/>
    </row>
    <row r="517" spans="1:9" x14ac:dyDescent="0.25">
      <c r="A517" s="3"/>
      <c r="B517" s="3"/>
      <c r="C517" s="3"/>
      <c r="D517" s="3"/>
      <c r="E517" s="3"/>
      <c r="F517" s="3"/>
      <c r="G517" s="3"/>
      <c r="H517" s="3"/>
      <c r="I517" s="3"/>
    </row>
    <row r="518" spans="1:9" x14ac:dyDescent="0.25">
      <c r="A518" s="3"/>
      <c r="B518" s="3"/>
      <c r="C518" s="3"/>
      <c r="D518" s="3"/>
      <c r="E518" s="3"/>
      <c r="F518" s="3"/>
      <c r="G518" s="3"/>
      <c r="H518" s="3"/>
      <c r="I518" s="3"/>
    </row>
    <row r="519" spans="1:9" x14ac:dyDescent="0.25">
      <c r="A519" s="3"/>
      <c r="B519" s="3"/>
      <c r="C519" s="3"/>
      <c r="D519" s="3"/>
      <c r="E519" s="3"/>
      <c r="F519" s="3"/>
      <c r="G519" s="3"/>
      <c r="H519" s="3"/>
      <c r="I519" s="3"/>
    </row>
    <row r="520" spans="1:9" x14ac:dyDescent="0.25">
      <c r="A520" s="3"/>
      <c r="B520" s="3"/>
      <c r="C520" s="3"/>
      <c r="D520" s="3"/>
      <c r="E520" s="3"/>
      <c r="F520" s="3"/>
      <c r="G520" s="3"/>
      <c r="H520" s="3"/>
      <c r="I520" s="3"/>
    </row>
    <row r="521" spans="1:9" x14ac:dyDescent="0.25">
      <c r="A521" s="3"/>
      <c r="B521" s="3"/>
      <c r="C521" s="3"/>
      <c r="D521" s="3"/>
      <c r="E521" s="3"/>
      <c r="F521" s="3"/>
      <c r="G521" s="3"/>
      <c r="H521" s="3"/>
      <c r="I521" s="3"/>
    </row>
    <row r="522" spans="1:9" x14ac:dyDescent="0.25">
      <c r="A522" s="3"/>
      <c r="B522" s="3"/>
      <c r="C522" s="3"/>
      <c r="D522" s="3"/>
      <c r="E522" s="3"/>
      <c r="F522" s="3"/>
      <c r="G522" s="3"/>
      <c r="H522" s="3"/>
      <c r="I522" s="3"/>
    </row>
    <row r="523" spans="1:9" x14ac:dyDescent="0.25">
      <c r="A523" s="3"/>
      <c r="B523" s="3"/>
      <c r="C523" s="3"/>
      <c r="D523" s="3"/>
      <c r="E523" s="3"/>
      <c r="F523" s="3"/>
      <c r="G523" s="3"/>
      <c r="H523" s="3"/>
      <c r="I523" s="3"/>
    </row>
    <row r="524" spans="1:9" x14ac:dyDescent="0.25">
      <c r="A524" s="3"/>
      <c r="B524" s="3"/>
      <c r="C524" s="3"/>
      <c r="D524" s="3"/>
      <c r="E524" s="3"/>
      <c r="F524" s="3"/>
      <c r="G524" s="3"/>
      <c r="H524" s="3"/>
      <c r="I524" s="3"/>
    </row>
    <row r="525" spans="1:9" x14ac:dyDescent="0.25">
      <c r="A525" s="3"/>
      <c r="B525" s="3"/>
      <c r="C525" s="3"/>
      <c r="D525" s="3"/>
      <c r="E525" s="3"/>
      <c r="F525" s="3"/>
      <c r="G525" s="3"/>
      <c r="H525" s="3"/>
      <c r="I525" s="3"/>
    </row>
    <row r="526" spans="1:9" x14ac:dyDescent="0.25">
      <c r="A526" s="3"/>
      <c r="B526" s="3"/>
      <c r="C526" s="3"/>
      <c r="D526" s="3"/>
      <c r="E526" s="3"/>
      <c r="F526" s="3"/>
      <c r="G526" s="3"/>
      <c r="H526" s="3"/>
      <c r="I526" s="3"/>
    </row>
    <row r="527" spans="1:9" x14ac:dyDescent="0.25">
      <c r="A527" s="3"/>
      <c r="B527" s="3"/>
      <c r="C527" s="3"/>
      <c r="D527" s="3"/>
      <c r="E527" s="3"/>
      <c r="F527" s="3"/>
      <c r="G527" s="3"/>
      <c r="H527" s="3"/>
      <c r="I527" s="3"/>
    </row>
    <row r="528" spans="1:9" x14ac:dyDescent="0.25">
      <c r="A528" s="3"/>
      <c r="B528" s="3"/>
      <c r="C528" s="3"/>
      <c r="D528" s="3"/>
      <c r="E528" s="3"/>
      <c r="F528" s="3"/>
      <c r="G528" s="3"/>
      <c r="H528" s="3"/>
      <c r="I528" s="3"/>
    </row>
    <row r="529" spans="1:9" x14ac:dyDescent="0.25">
      <c r="A529" s="3"/>
      <c r="B529" s="3"/>
      <c r="C529" s="3"/>
      <c r="D529" s="3"/>
      <c r="E529" s="3"/>
      <c r="F529" s="3"/>
      <c r="G529" s="3"/>
      <c r="H529" s="3"/>
      <c r="I529" s="3"/>
    </row>
    <row r="530" spans="1:9" x14ac:dyDescent="0.25">
      <c r="A530" s="3"/>
      <c r="B530" s="3"/>
      <c r="C530" s="3"/>
      <c r="D530" s="3"/>
      <c r="E530" s="3"/>
      <c r="F530" s="3"/>
      <c r="G530" s="3"/>
      <c r="H530" s="3"/>
      <c r="I530" s="3"/>
    </row>
    <row r="531" spans="1:9" x14ac:dyDescent="0.25">
      <c r="A531" s="3"/>
      <c r="B531" s="3"/>
      <c r="C531" s="3"/>
      <c r="D531" s="3"/>
      <c r="E531" s="3"/>
      <c r="F531" s="3"/>
      <c r="G531" s="3"/>
      <c r="H531" s="3"/>
      <c r="I531" s="3"/>
    </row>
    <row r="532" spans="1:9" x14ac:dyDescent="0.25">
      <c r="A532" s="3"/>
      <c r="B532" s="3"/>
      <c r="C532" s="3"/>
      <c r="D532" s="3"/>
      <c r="E532" s="3"/>
      <c r="F532" s="3"/>
      <c r="G532" s="3"/>
      <c r="H532" s="3"/>
      <c r="I532" s="3"/>
    </row>
    <row r="533" spans="1:9" x14ac:dyDescent="0.25">
      <c r="A533" s="3"/>
      <c r="B533" s="3"/>
      <c r="C533" s="3"/>
      <c r="D533" s="3"/>
      <c r="E533" s="3"/>
      <c r="F533" s="3"/>
      <c r="G533" s="3"/>
      <c r="H533" s="3"/>
      <c r="I533" s="3"/>
    </row>
    <row r="534" spans="1:9" x14ac:dyDescent="0.25">
      <c r="A534" s="3"/>
      <c r="B534" s="3"/>
      <c r="C534" s="3"/>
      <c r="D534" s="3"/>
      <c r="E534" s="3"/>
      <c r="F534" s="3"/>
      <c r="G534" s="3"/>
      <c r="H534" s="3"/>
      <c r="I534" s="3"/>
    </row>
    <row r="535" spans="1:9" x14ac:dyDescent="0.25">
      <c r="A535" s="3"/>
      <c r="B535" s="3"/>
      <c r="C535" s="3"/>
      <c r="D535" s="3"/>
      <c r="E535" s="3"/>
      <c r="F535" s="3"/>
      <c r="G535" s="3"/>
      <c r="H535" s="3"/>
      <c r="I535" s="3"/>
    </row>
    <row r="536" spans="1:9" x14ac:dyDescent="0.25">
      <c r="A536" s="3"/>
      <c r="B536" s="3"/>
      <c r="C536" s="3"/>
      <c r="D536" s="3"/>
      <c r="E536" s="3"/>
      <c r="F536" s="3"/>
      <c r="G536" s="3"/>
      <c r="H536" s="3"/>
      <c r="I536" s="3"/>
    </row>
    <row r="537" spans="1:9" x14ac:dyDescent="0.25">
      <c r="A537" s="3"/>
      <c r="B537" s="3"/>
      <c r="C537" s="3"/>
      <c r="D537" s="3"/>
      <c r="E537" s="3"/>
      <c r="F537" s="3"/>
      <c r="G537" s="3"/>
      <c r="H537" s="3"/>
      <c r="I537" s="3"/>
    </row>
    <row r="538" spans="1:9" x14ac:dyDescent="0.25">
      <c r="A538" s="3"/>
      <c r="B538" s="3"/>
      <c r="C538" s="3"/>
      <c r="D538" s="3"/>
      <c r="E538" s="3"/>
      <c r="F538" s="3"/>
      <c r="G538" s="3"/>
      <c r="H538" s="3"/>
      <c r="I538" s="3"/>
    </row>
    <row r="539" spans="1:9" x14ac:dyDescent="0.25">
      <c r="A539" s="3"/>
      <c r="B539" s="3"/>
      <c r="C539" s="3"/>
      <c r="D539" s="3"/>
      <c r="E539" s="3"/>
      <c r="F539" s="3"/>
      <c r="G539" s="3"/>
      <c r="H539" s="3"/>
      <c r="I539" s="3"/>
    </row>
    <row r="540" spans="1:9" x14ac:dyDescent="0.25">
      <c r="A540" s="3"/>
      <c r="B540" s="3"/>
      <c r="C540" s="3"/>
      <c r="D540" s="3"/>
      <c r="E540" s="3"/>
      <c r="F540" s="3"/>
      <c r="G540" s="3"/>
      <c r="H540" s="3"/>
      <c r="I540" s="3"/>
    </row>
    <row r="541" spans="1:9" x14ac:dyDescent="0.25">
      <c r="A541" s="3"/>
      <c r="B541" s="3"/>
      <c r="C541" s="3"/>
      <c r="D541" s="3"/>
      <c r="E541" s="3"/>
      <c r="F541" s="3"/>
      <c r="G541" s="3"/>
      <c r="H541" s="3"/>
      <c r="I541" s="3"/>
    </row>
    <row r="542" spans="1:9" x14ac:dyDescent="0.25">
      <c r="A542" s="3"/>
      <c r="B542" s="3"/>
      <c r="C542" s="3"/>
      <c r="D542" s="3"/>
      <c r="E542" s="3"/>
      <c r="F542" s="3"/>
      <c r="G542" s="3"/>
      <c r="H542" s="3"/>
      <c r="I542" s="3"/>
    </row>
    <row r="543" spans="1:9" x14ac:dyDescent="0.25">
      <c r="A543" s="3"/>
      <c r="B543" s="3"/>
      <c r="C543" s="3"/>
      <c r="D543" s="3"/>
      <c r="E543" s="3"/>
      <c r="F543" s="3"/>
      <c r="G543" s="3"/>
      <c r="H543" s="3"/>
      <c r="I543" s="3"/>
    </row>
    <row r="544" spans="1:9" x14ac:dyDescent="0.25">
      <c r="A544" s="3"/>
      <c r="B544" s="3"/>
      <c r="C544" s="3"/>
      <c r="D544" s="3"/>
      <c r="E544" s="3"/>
      <c r="F544" s="3"/>
      <c r="G544" s="3"/>
      <c r="H544" s="3"/>
      <c r="I544" s="3"/>
    </row>
    <row r="545" spans="1:9" x14ac:dyDescent="0.25">
      <c r="A545" s="3"/>
      <c r="B545" s="3"/>
      <c r="C545" s="3"/>
      <c r="D545" s="3"/>
      <c r="E545" s="3"/>
      <c r="F545" s="3"/>
      <c r="G545" s="3"/>
      <c r="H545" s="3"/>
      <c r="I545" s="3"/>
    </row>
    <row r="546" spans="1:9" x14ac:dyDescent="0.25">
      <c r="A546" s="3"/>
      <c r="B546" s="3"/>
      <c r="C546" s="3"/>
      <c r="D546" s="3"/>
      <c r="E546" s="3"/>
      <c r="F546" s="3"/>
      <c r="G546" s="3"/>
      <c r="H546" s="3"/>
      <c r="I546" s="3"/>
    </row>
    <row r="547" spans="1:9" x14ac:dyDescent="0.25">
      <c r="A547" s="3"/>
      <c r="B547" s="3"/>
      <c r="C547" s="3"/>
      <c r="D547" s="3"/>
      <c r="E547" s="3"/>
      <c r="F547" s="3"/>
      <c r="G547" s="3"/>
      <c r="H547" s="3"/>
      <c r="I547" s="3"/>
    </row>
    <row r="548" spans="1:9" x14ac:dyDescent="0.25">
      <c r="A548" s="3"/>
      <c r="B548" s="3"/>
      <c r="C548" s="3"/>
      <c r="D548" s="3"/>
      <c r="E548" s="3"/>
      <c r="F548" s="3"/>
      <c r="G548" s="3"/>
      <c r="H548" s="3"/>
      <c r="I548" s="3"/>
    </row>
    <row r="549" spans="1:9" x14ac:dyDescent="0.25">
      <c r="A549" s="3"/>
      <c r="B549" s="3"/>
      <c r="C549" s="3"/>
      <c r="D549" s="3"/>
      <c r="E549" s="3"/>
      <c r="F549" s="3"/>
      <c r="G549" s="3"/>
      <c r="H549" s="3"/>
      <c r="I549" s="3"/>
    </row>
    <row r="550" spans="1:9" x14ac:dyDescent="0.25">
      <c r="A550" s="3"/>
      <c r="B550" s="3"/>
      <c r="C550" s="3"/>
      <c r="D550" s="3"/>
      <c r="E550" s="3"/>
      <c r="F550" s="3"/>
      <c r="G550" s="3"/>
      <c r="H550" s="3"/>
      <c r="I550" s="3"/>
    </row>
    <row r="551" spans="1:9" x14ac:dyDescent="0.25">
      <c r="A551" s="3"/>
      <c r="B551" s="3"/>
      <c r="C551" s="3"/>
      <c r="D551" s="3"/>
      <c r="E551" s="3"/>
      <c r="F551" s="3"/>
      <c r="G551" s="3"/>
      <c r="H551" s="3"/>
      <c r="I551" s="3"/>
    </row>
    <row r="552" spans="1:9" x14ac:dyDescent="0.25">
      <c r="A552" s="3"/>
      <c r="B552" s="3"/>
      <c r="C552" s="3"/>
      <c r="D552" s="3"/>
      <c r="E552" s="3"/>
      <c r="F552" s="3"/>
      <c r="G552" s="3"/>
      <c r="H552" s="3"/>
      <c r="I552" s="3"/>
    </row>
    <row r="553" spans="1:9" x14ac:dyDescent="0.25">
      <c r="A553" s="3"/>
      <c r="B553" s="3"/>
      <c r="C553" s="3"/>
      <c r="D553" s="3"/>
      <c r="E553" s="3"/>
      <c r="F553" s="3"/>
      <c r="G553" s="3"/>
      <c r="H553" s="3"/>
      <c r="I553" s="3"/>
    </row>
    <row r="554" spans="1:9" x14ac:dyDescent="0.25">
      <c r="A554" s="3"/>
      <c r="B554" s="3"/>
      <c r="C554" s="3"/>
      <c r="D554" s="3"/>
      <c r="E554" s="3"/>
      <c r="F554" s="3"/>
      <c r="G554" s="3"/>
      <c r="H554" s="3"/>
      <c r="I554" s="3"/>
    </row>
    <row r="555" spans="1:9" x14ac:dyDescent="0.25">
      <c r="A555" s="3"/>
      <c r="B555" s="3"/>
      <c r="C555" s="3"/>
      <c r="D555" s="3"/>
      <c r="E555" s="3"/>
      <c r="F555" s="3"/>
      <c r="G555" s="3"/>
      <c r="H555" s="3"/>
      <c r="I555" s="3"/>
    </row>
    <row r="556" spans="1:9" x14ac:dyDescent="0.25">
      <c r="A556" s="3"/>
      <c r="B556" s="3"/>
      <c r="C556" s="3"/>
      <c r="D556" s="3"/>
      <c r="E556" s="3"/>
      <c r="F556" s="3"/>
      <c r="G556" s="3"/>
      <c r="H556" s="3"/>
      <c r="I556" s="3"/>
    </row>
    <row r="557" spans="1:9" x14ac:dyDescent="0.25">
      <c r="A557" s="3"/>
      <c r="B557" s="3"/>
      <c r="C557" s="3"/>
      <c r="D557" s="3"/>
      <c r="E557" s="3"/>
      <c r="F557" s="3"/>
      <c r="G557" s="3"/>
      <c r="H557" s="3"/>
      <c r="I557" s="3"/>
    </row>
    <row r="558" spans="1:9" x14ac:dyDescent="0.25">
      <c r="A558" s="3"/>
      <c r="B558" s="3"/>
      <c r="C558" s="3"/>
      <c r="D558" s="3"/>
      <c r="E558" s="3"/>
      <c r="F558" s="3"/>
      <c r="G558" s="3"/>
      <c r="H558" s="3"/>
      <c r="I558" s="3"/>
    </row>
    <row r="559" spans="1:9" x14ac:dyDescent="0.25">
      <c r="A559" s="3"/>
      <c r="B559" s="3"/>
      <c r="C559" s="3"/>
      <c r="D559" s="3"/>
      <c r="E559" s="3"/>
      <c r="F559" s="3"/>
      <c r="G559" s="3"/>
      <c r="H559" s="3"/>
      <c r="I559" s="3"/>
    </row>
    <row r="560" spans="1:9" x14ac:dyDescent="0.25">
      <c r="A560" s="3"/>
      <c r="B560" s="3"/>
      <c r="C560" s="3"/>
      <c r="D560" s="3"/>
      <c r="E560" s="3"/>
      <c r="F560" s="3"/>
      <c r="G560" s="3"/>
      <c r="H560" s="3"/>
      <c r="I560" s="3"/>
    </row>
    <row r="561" spans="1:9" x14ac:dyDescent="0.25">
      <c r="A561" s="3"/>
      <c r="B561" s="3"/>
      <c r="C561" s="3"/>
      <c r="D561" s="3"/>
      <c r="E561" s="3"/>
      <c r="F561" s="3"/>
      <c r="G561" s="3"/>
      <c r="H561" s="3"/>
      <c r="I561" s="3"/>
    </row>
    <row r="562" spans="1:9" x14ac:dyDescent="0.25">
      <c r="A562" s="3"/>
      <c r="B562" s="3"/>
      <c r="C562" s="3"/>
      <c r="D562" s="3"/>
      <c r="E562" s="3"/>
      <c r="F562" s="3"/>
      <c r="G562" s="3"/>
      <c r="H562" s="3"/>
      <c r="I562" s="3"/>
    </row>
    <row r="563" spans="1:9" x14ac:dyDescent="0.25">
      <c r="A563" s="3"/>
      <c r="B563" s="3"/>
      <c r="C563" s="3"/>
      <c r="D563" s="3"/>
      <c r="E563" s="3"/>
      <c r="F563" s="3"/>
      <c r="G563" s="3"/>
      <c r="H563" s="3"/>
      <c r="I563" s="3"/>
    </row>
    <row r="564" spans="1:9" x14ac:dyDescent="0.25">
      <c r="A564" s="3"/>
      <c r="B564" s="3"/>
      <c r="C564" s="3"/>
      <c r="D564" s="3"/>
      <c r="E564" s="3"/>
      <c r="F564" s="3"/>
      <c r="G564" s="3"/>
      <c r="H564" s="3"/>
      <c r="I564" s="3"/>
    </row>
    <row r="565" spans="1:9" x14ac:dyDescent="0.25">
      <c r="A565" s="3"/>
      <c r="B565" s="3"/>
      <c r="C565" s="3"/>
      <c r="D565" s="3"/>
      <c r="E565" s="3"/>
      <c r="F565" s="3"/>
      <c r="G565" s="3"/>
      <c r="H565" s="3"/>
      <c r="I565" s="3"/>
    </row>
    <row r="566" spans="1:9" x14ac:dyDescent="0.25">
      <c r="A566" s="3"/>
      <c r="B566" s="3"/>
      <c r="C566" s="3"/>
      <c r="D566" s="3"/>
      <c r="E566" s="3"/>
      <c r="F566" s="3"/>
      <c r="G566" s="3"/>
      <c r="H566" s="3"/>
      <c r="I566" s="3"/>
    </row>
    <row r="567" spans="1:9" x14ac:dyDescent="0.25">
      <c r="A567" s="3"/>
      <c r="B567" s="3"/>
      <c r="C567" s="3"/>
      <c r="D567" s="3"/>
      <c r="E567" s="3"/>
      <c r="F567" s="3"/>
      <c r="G567" s="3"/>
      <c r="H567" s="3"/>
      <c r="I567" s="3"/>
    </row>
    <row r="568" spans="1:9" x14ac:dyDescent="0.25">
      <c r="A568" s="3"/>
      <c r="B568" s="3"/>
      <c r="C568" s="3"/>
      <c r="D568" s="3"/>
      <c r="E568" s="3"/>
      <c r="F568" s="3"/>
      <c r="G568" s="3"/>
      <c r="H568" s="3"/>
      <c r="I568" s="3"/>
    </row>
    <row r="569" spans="1:9" x14ac:dyDescent="0.25">
      <c r="A569" s="3"/>
      <c r="B569" s="3"/>
      <c r="C569" s="3"/>
      <c r="D569" s="3"/>
      <c r="E569" s="3"/>
      <c r="F569" s="3"/>
      <c r="G569" s="3"/>
      <c r="H569" s="3"/>
      <c r="I569" s="3"/>
    </row>
    <row r="570" spans="1:9" x14ac:dyDescent="0.25">
      <c r="A570" s="3"/>
      <c r="B570" s="3"/>
      <c r="C570" s="3"/>
      <c r="D570" s="3"/>
      <c r="E570" s="3"/>
      <c r="F570" s="3"/>
      <c r="G570" s="3"/>
      <c r="H570" s="3"/>
      <c r="I570" s="3"/>
    </row>
    <row r="571" spans="1:9" x14ac:dyDescent="0.25">
      <c r="A571" s="3"/>
      <c r="B571" s="3"/>
      <c r="C571" s="3"/>
      <c r="D571" s="3"/>
      <c r="E571" s="3"/>
      <c r="F571" s="3"/>
      <c r="G571" s="3"/>
      <c r="H571" s="3"/>
      <c r="I571" s="3"/>
    </row>
    <row r="572" spans="1:9" x14ac:dyDescent="0.25">
      <c r="A572" s="3"/>
      <c r="B572" s="3"/>
      <c r="C572" s="3"/>
      <c r="D572" s="3"/>
      <c r="E572" s="3"/>
      <c r="F572" s="3"/>
      <c r="G572" s="3"/>
      <c r="H572" s="3"/>
      <c r="I572" s="3"/>
    </row>
    <row r="573" spans="1:9" x14ac:dyDescent="0.25">
      <c r="A573" s="3"/>
      <c r="B573" s="3"/>
      <c r="C573" s="3"/>
      <c r="D573" s="3"/>
      <c r="E573" s="3"/>
      <c r="F573" s="3"/>
      <c r="G573" s="3"/>
      <c r="H573" s="3"/>
      <c r="I573" s="3"/>
    </row>
    <row r="574" spans="1:9" x14ac:dyDescent="0.25">
      <c r="A574" s="3"/>
      <c r="B574" s="3"/>
      <c r="C574" s="3"/>
      <c r="D574" s="3"/>
      <c r="E574" s="3"/>
      <c r="F574" s="3"/>
      <c r="G574" s="3"/>
      <c r="H574" s="3"/>
      <c r="I574" s="3"/>
    </row>
    <row r="575" spans="1:9" x14ac:dyDescent="0.25">
      <c r="A575" s="3"/>
      <c r="B575" s="3"/>
      <c r="C575" s="3"/>
      <c r="D575" s="3"/>
      <c r="E575" s="3"/>
      <c r="F575" s="3"/>
      <c r="G575" s="3"/>
      <c r="H575" s="3"/>
      <c r="I575" s="3"/>
    </row>
    <row r="576" spans="1:9" x14ac:dyDescent="0.25">
      <c r="A576" s="3"/>
      <c r="B576" s="3"/>
      <c r="C576" s="3"/>
      <c r="D576" s="3"/>
      <c r="E576" s="3"/>
      <c r="F576" s="3"/>
      <c r="G576" s="3"/>
      <c r="H576" s="3"/>
      <c r="I576" s="3"/>
    </row>
    <row r="577" spans="1:9" x14ac:dyDescent="0.25">
      <c r="A577" s="3"/>
      <c r="B577" s="3"/>
      <c r="C577" s="3"/>
      <c r="D577" s="3"/>
      <c r="E577" s="3"/>
      <c r="F577" s="3"/>
      <c r="G577" s="3"/>
      <c r="H577" s="3"/>
      <c r="I577" s="3"/>
    </row>
    <row r="578" spans="1:9" x14ac:dyDescent="0.25">
      <c r="A578" s="3"/>
      <c r="B578" s="3"/>
      <c r="C578" s="3"/>
      <c r="D578" s="3"/>
      <c r="E578" s="3"/>
      <c r="F578" s="3"/>
      <c r="G578" s="3"/>
      <c r="H578" s="3"/>
      <c r="I578" s="3"/>
    </row>
    <row r="579" spans="1:9" x14ac:dyDescent="0.25">
      <c r="A579" s="3"/>
      <c r="B579" s="3"/>
      <c r="C579" s="3"/>
      <c r="D579" s="3"/>
      <c r="E579" s="3"/>
      <c r="F579" s="3"/>
      <c r="G579" s="3"/>
      <c r="H579" s="3"/>
      <c r="I579" s="3"/>
    </row>
    <row r="580" spans="1:9" x14ac:dyDescent="0.25">
      <c r="A580" s="3"/>
      <c r="B580" s="3"/>
      <c r="C580" s="3"/>
      <c r="D580" s="3"/>
      <c r="E580" s="3"/>
      <c r="F580" s="3"/>
      <c r="G580" s="3"/>
      <c r="H580" s="3"/>
      <c r="I580" s="3"/>
    </row>
    <row r="581" spans="1:9" x14ac:dyDescent="0.25">
      <c r="A581" s="3"/>
      <c r="B581" s="3"/>
      <c r="C581" s="3"/>
      <c r="D581" s="3"/>
      <c r="E581" s="3"/>
      <c r="F581" s="3"/>
      <c r="G581" s="3"/>
      <c r="H581" s="3"/>
      <c r="I581" s="3"/>
    </row>
    <row r="582" spans="1:9" x14ac:dyDescent="0.25">
      <c r="A582" s="3"/>
      <c r="B582" s="3"/>
      <c r="C582" s="3"/>
      <c r="D582" s="3"/>
      <c r="E582" s="3"/>
      <c r="F582" s="3"/>
      <c r="G582" s="3"/>
      <c r="H582" s="3"/>
      <c r="I582" s="3"/>
    </row>
    <row r="583" spans="1:9" x14ac:dyDescent="0.25">
      <c r="A583" s="3"/>
      <c r="B583" s="3"/>
      <c r="C583" s="3"/>
      <c r="D583" s="3"/>
      <c r="E583" s="3"/>
      <c r="F583" s="3"/>
      <c r="G583" s="3"/>
      <c r="H583" s="3"/>
      <c r="I583" s="3"/>
    </row>
    <row r="584" spans="1:9" x14ac:dyDescent="0.25">
      <c r="A584" s="3"/>
      <c r="B584" s="3"/>
      <c r="C584" s="3"/>
      <c r="D584" s="3"/>
      <c r="E584" s="3"/>
      <c r="F584" s="3"/>
      <c r="G584" s="3"/>
      <c r="H584" s="3"/>
      <c r="I584" s="3"/>
    </row>
    <row r="585" spans="1:9" x14ac:dyDescent="0.25">
      <c r="A585" s="3"/>
      <c r="B585" s="3"/>
      <c r="C585" s="3"/>
      <c r="D585" s="3"/>
      <c r="E585" s="3"/>
      <c r="F585" s="3"/>
      <c r="G585" s="3"/>
      <c r="H585" s="3"/>
      <c r="I585" s="3"/>
    </row>
    <row r="586" spans="1:9" x14ac:dyDescent="0.25">
      <c r="A586" s="3"/>
      <c r="B586" s="3"/>
      <c r="C586" s="3"/>
      <c r="D586" s="3"/>
      <c r="E586" s="3"/>
      <c r="F586" s="3"/>
      <c r="G586" s="3"/>
      <c r="H586" s="3"/>
      <c r="I586" s="3"/>
    </row>
    <row r="587" spans="1:9" x14ac:dyDescent="0.25">
      <c r="A587" s="3"/>
      <c r="B587" s="3"/>
      <c r="C587" s="3"/>
      <c r="D587" s="3"/>
      <c r="E587" s="3"/>
      <c r="F587" s="3"/>
      <c r="G587" s="3"/>
      <c r="H587" s="3"/>
      <c r="I587" s="3"/>
    </row>
    <row r="588" spans="1:9" x14ac:dyDescent="0.25">
      <c r="A588" s="3"/>
      <c r="B588" s="3"/>
      <c r="C588" s="3"/>
      <c r="D588" s="3"/>
      <c r="E588" s="3"/>
      <c r="F588" s="3"/>
      <c r="G588" s="3"/>
      <c r="H588" s="3"/>
      <c r="I588" s="3"/>
    </row>
    <row r="589" spans="1:9" x14ac:dyDescent="0.25">
      <c r="A589" s="3"/>
      <c r="B589" s="3"/>
      <c r="C589" s="3"/>
      <c r="D589" s="3"/>
      <c r="E589" s="3"/>
      <c r="F589" s="3"/>
      <c r="G589" s="3"/>
      <c r="H589" s="3"/>
      <c r="I589" s="3"/>
    </row>
    <row r="590" spans="1:9" x14ac:dyDescent="0.25">
      <c r="A590" s="3"/>
      <c r="B590" s="3"/>
      <c r="C590" s="3"/>
      <c r="D590" s="3"/>
      <c r="E590" s="3"/>
      <c r="F590" s="3"/>
      <c r="G590" s="3"/>
      <c r="H590" s="3"/>
      <c r="I590" s="3"/>
    </row>
    <row r="591" spans="1:9" x14ac:dyDescent="0.25">
      <c r="A591" s="3"/>
      <c r="B591" s="3"/>
      <c r="C591" s="3"/>
      <c r="D591" s="3"/>
      <c r="E591" s="3"/>
      <c r="F591" s="3"/>
      <c r="G591" s="3"/>
      <c r="H591" s="3"/>
      <c r="I591" s="3"/>
    </row>
    <row r="592" spans="1:9" x14ac:dyDescent="0.25">
      <c r="A592" s="3"/>
      <c r="B592" s="3"/>
      <c r="C592" s="3"/>
      <c r="D592" s="3"/>
      <c r="E592" s="3"/>
      <c r="F592" s="3"/>
      <c r="G592" s="3"/>
      <c r="H592" s="3"/>
      <c r="I592" s="3"/>
    </row>
    <row r="593" spans="1:9" x14ac:dyDescent="0.25">
      <c r="A593" s="3"/>
      <c r="B593" s="3"/>
      <c r="C593" s="3"/>
      <c r="D593" s="3"/>
      <c r="E593" s="3"/>
      <c r="F593" s="3"/>
      <c r="G593" s="3"/>
      <c r="H593" s="3"/>
      <c r="I593" s="3"/>
    </row>
    <row r="594" spans="1:9" x14ac:dyDescent="0.25">
      <c r="A594" s="3"/>
      <c r="B594" s="3"/>
      <c r="C594" s="3"/>
      <c r="D594" s="3"/>
      <c r="E594" s="3"/>
      <c r="F594" s="3"/>
      <c r="G594" s="3"/>
      <c r="H594" s="3"/>
      <c r="I594" s="3"/>
    </row>
    <row r="595" spans="1:9" x14ac:dyDescent="0.25">
      <c r="A595" s="3"/>
      <c r="B595" s="3"/>
      <c r="C595" s="3"/>
      <c r="D595" s="3"/>
      <c r="E595" s="3"/>
      <c r="F595" s="3"/>
      <c r="G595" s="3"/>
      <c r="H595" s="3"/>
      <c r="I595" s="3"/>
    </row>
    <row r="596" spans="1:9" x14ac:dyDescent="0.25">
      <c r="A596" s="3"/>
      <c r="B596" s="3"/>
      <c r="C596" s="3"/>
      <c r="D596" s="3"/>
      <c r="E596" s="3"/>
      <c r="F596" s="3"/>
      <c r="G596" s="3"/>
      <c r="H596" s="3"/>
      <c r="I596" s="3"/>
    </row>
    <row r="597" spans="1:9" x14ac:dyDescent="0.25">
      <c r="A597" s="3"/>
      <c r="B597" s="3"/>
      <c r="C597" s="3"/>
      <c r="D597" s="3"/>
      <c r="E597" s="3"/>
      <c r="F597" s="3"/>
      <c r="G597" s="3"/>
      <c r="H597" s="3"/>
      <c r="I597" s="3"/>
    </row>
    <row r="598" spans="1:9" x14ac:dyDescent="0.25">
      <c r="A598" s="3"/>
      <c r="B598" s="3"/>
      <c r="C598" s="3"/>
      <c r="D598" s="3"/>
      <c r="E598" s="3"/>
      <c r="F598" s="3"/>
      <c r="G598" s="3"/>
      <c r="H598" s="3"/>
      <c r="I598" s="3"/>
    </row>
    <row r="599" spans="1:9" x14ac:dyDescent="0.25">
      <c r="A599" s="3"/>
      <c r="B599" s="3"/>
      <c r="C599" s="3"/>
      <c r="D599" s="3"/>
      <c r="E599" s="3"/>
      <c r="F599" s="3"/>
      <c r="G599" s="3"/>
      <c r="H599" s="3"/>
      <c r="I599" s="3"/>
    </row>
    <row r="600" spans="1:9" x14ac:dyDescent="0.25">
      <c r="A600" s="3"/>
      <c r="B600" s="3"/>
      <c r="C600" s="3"/>
      <c r="D600" s="3"/>
      <c r="E600" s="3"/>
      <c r="F600" s="3"/>
      <c r="G600" s="3"/>
      <c r="H600" s="3"/>
      <c r="I600" s="3"/>
    </row>
    <row r="601" spans="1:9" x14ac:dyDescent="0.25">
      <c r="A601" s="3"/>
      <c r="B601" s="3"/>
      <c r="C601" s="3"/>
      <c r="D601" s="3"/>
      <c r="E601" s="3"/>
      <c r="F601" s="3"/>
      <c r="G601" s="3"/>
      <c r="H601" s="3"/>
      <c r="I601" s="3"/>
    </row>
    <row r="602" spans="1:9" x14ac:dyDescent="0.25">
      <c r="A602" s="3"/>
      <c r="B602" s="3"/>
      <c r="C602" s="3"/>
      <c r="D602" s="3"/>
      <c r="E602" s="3"/>
      <c r="F602" s="3"/>
      <c r="G602" s="3"/>
      <c r="H602" s="3"/>
      <c r="I602" s="3"/>
    </row>
    <row r="603" spans="1:9" x14ac:dyDescent="0.25">
      <c r="A603" s="3"/>
      <c r="B603" s="3"/>
      <c r="C603" s="3"/>
      <c r="D603" s="3"/>
      <c r="E603" s="3"/>
      <c r="F603" s="3"/>
      <c r="G603" s="3"/>
      <c r="H603" s="3"/>
      <c r="I603" s="3"/>
    </row>
    <row r="604" spans="1:9" x14ac:dyDescent="0.25">
      <c r="A604" s="3"/>
      <c r="B604" s="3"/>
      <c r="C604" s="3"/>
      <c r="D604" s="3"/>
      <c r="E604" s="3"/>
      <c r="F604" s="3"/>
      <c r="G604" s="3"/>
      <c r="H604" s="3"/>
      <c r="I604" s="3"/>
    </row>
    <row r="605" spans="1:9" x14ac:dyDescent="0.25">
      <c r="A605" s="3"/>
      <c r="B605" s="3"/>
      <c r="C605" s="3"/>
      <c r="D605" s="3"/>
      <c r="E605" s="3"/>
      <c r="F605" s="3"/>
      <c r="G605" s="3"/>
      <c r="H605" s="3"/>
      <c r="I605" s="3"/>
    </row>
    <row r="606" spans="1:9" x14ac:dyDescent="0.25">
      <c r="A606" s="3"/>
      <c r="B606" s="3"/>
      <c r="C606" s="3"/>
      <c r="D606" s="3"/>
      <c r="E606" s="3"/>
      <c r="F606" s="3"/>
      <c r="G606" s="3"/>
      <c r="H606" s="3"/>
      <c r="I606" s="3"/>
    </row>
    <row r="607" spans="1:9" x14ac:dyDescent="0.25">
      <c r="A607" s="3"/>
      <c r="B607" s="3"/>
      <c r="C607" s="3"/>
      <c r="D607" s="3"/>
      <c r="E607" s="3"/>
      <c r="F607" s="3"/>
      <c r="G607" s="3"/>
      <c r="H607" s="3"/>
      <c r="I607" s="3"/>
    </row>
    <row r="608" spans="1:9" x14ac:dyDescent="0.25">
      <c r="A608" s="3"/>
      <c r="B608" s="3"/>
      <c r="C608" s="3"/>
      <c r="D608" s="3"/>
      <c r="E608" s="3"/>
      <c r="F608" s="3"/>
      <c r="G608" s="3"/>
      <c r="H608" s="3"/>
      <c r="I608" s="3"/>
    </row>
    <row r="609" spans="1:9" x14ac:dyDescent="0.25">
      <c r="A609" s="3"/>
      <c r="B609" s="3"/>
      <c r="C609" s="3"/>
      <c r="D609" s="3"/>
      <c r="E609" s="3"/>
      <c r="F609" s="3"/>
      <c r="G609" s="3"/>
      <c r="H609" s="3"/>
      <c r="I609" s="3"/>
    </row>
    <row r="610" spans="1:9" x14ac:dyDescent="0.25">
      <c r="A610" s="3"/>
      <c r="B610" s="3"/>
      <c r="C610" s="3"/>
      <c r="D610" s="3"/>
      <c r="E610" s="3"/>
      <c r="F610" s="3"/>
      <c r="G610" s="3"/>
      <c r="H610" s="3"/>
      <c r="I610" s="3"/>
    </row>
    <row r="611" spans="1:9" x14ac:dyDescent="0.25">
      <c r="A611" s="3"/>
      <c r="B611" s="3"/>
      <c r="C611" s="3"/>
      <c r="D611" s="3"/>
      <c r="E611" s="3"/>
      <c r="F611" s="3"/>
      <c r="G611" s="3"/>
      <c r="H611" s="3"/>
      <c r="I611" s="3"/>
    </row>
    <row r="612" spans="1:9" x14ac:dyDescent="0.25">
      <c r="A612" s="3"/>
      <c r="B612" s="3"/>
      <c r="C612" s="3"/>
      <c r="D612" s="3"/>
      <c r="E612" s="3"/>
      <c r="F612" s="3"/>
      <c r="G612" s="3"/>
      <c r="H612" s="3"/>
      <c r="I612" s="3"/>
    </row>
    <row r="613" spans="1:9" x14ac:dyDescent="0.25">
      <c r="A613" s="3"/>
      <c r="B613" s="3"/>
      <c r="C613" s="3"/>
      <c r="D613" s="3"/>
      <c r="E613" s="3"/>
      <c r="F613" s="3"/>
      <c r="G613" s="3"/>
      <c r="H613" s="3"/>
      <c r="I613" s="3"/>
    </row>
    <row r="614" spans="1:9" x14ac:dyDescent="0.25">
      <c r="A614" s="3"/>
      <c r="B614" s="3"/>
      <c r="C614" s="3"/>
      <c r="D614" s="3"/>
      <c r="E614" s="3"/>
      <c r="F614" s="3"/>
      <c r="G614" s="3"/>
      <c r="H614" s="3"/>
      <c r="I614" s="3"/>
    </row>
    <row r="615" spans="1:9" x14ac:dyDescent="0.25">
      <c r="A615" s="3"/>
      <c r="B615" s="3"/>
      <c r="C615" s="3"/>
      <c r="D615" s="3"/>
      <c r="E615" s="3"/>
      <c r="F615" s="3"/>
      <c r="G615" s="3"/>
      <c r="H615" s="3"/>
      <c r="I615" s="3"/>
    </row>
    <row r="616" spans="1:9" x14ac:dyDescent="0.25">
      <c r="A616" s="3"/>
      <c r="B616" s="3"/>
      <c r="C616" s="3"/>
      <c r="D616" s="3"/>
      <c r="E616" s="3"/>
      <c r="F616" s="3"/>
      <c r="G616" s="3"/>
      <c r="H616" s="3"/>
      <c r="I616" s="3"/>
    </row>
    <row r="617" spans="1:9" x14ac:dyDescent="0.25">
      <c r="A617" s="3"/>
      <c r="B617" s="3"/>
      <c r="C617" s="3"/>
      <c r="D617" s="3"/>
      <c r="E617" s="3"/>
      <c r="F617" s="3"/>
      <c r="G617" s="3"/>
      <c r="H617" s="3"/>
      <c r="I617" s="3"/>
    </row>
    <row r="618" spans="1:9" x14ac:dyDescent="0.25">
      <c r="A618" s="3"/>
      <c r="B618" s="3"/>
      <c r="C618" s="3"/>
      <c r="D618" s="3"/>
      <c r="E618" s="3"/>
      <c r="F618" s="3"/>
      <c r="G618" s="3"/>
      <c r="H618" s="3"/>
      <c r="I618" s="3"/>
    </row>
    <row r="619" spans="1:9" x14ac:dyDescent="0.25">
      <c r="A619" s="3"/>
      <c r="B619" s="3"/>
      <c r="C619" s="3"/>
      <c r="D619" s="3"/>
      <c r="E619" s="3"/>
      <c r="F619" s="3"/>
      <c r="G619" s="3"/>
      <c r="H619" s="3"/>
      <c r="I619" s="3"/>
    </row>
    <row r="620" spans="1:9" x14ac:dyDescent="0.25">
      <c r="A620" s="3"/>
      <c r="B620" s="3"/>
      <c r="C620" s="3"/>
      <c r="D620" s="3"/>
      <c r="E620" s="3"/>
      <c r="F620" s="3"/>
      <c r="G620" s="3"/>
      <c r="H620" s="3"/>
      <c r="I620" s="3"/>
    </row>
    <row r="621" spans="1:9" x14ac:dyDescent="0.25">
      <c r="A621" s="3"/>
      <c r="B621" s="3"/>
      <c r="C621" s="3"/>
      <c r="D621" s="3"/>
      <c r="E621" s="3"/>
      <c r="F621" s="3"/>
      <c r="G621" s="3"/>
      <c r="H621" s="3"/>
      <c r="I621" s="3"/>
    </row>
    <row r="622" spans="1:9" x14ac:dyDescent="0.25">
      <c r="A622" s="3"/>
      <c r="B622" s="3"/>
      <c r="C622" s="3"/>
      <c r="D622" s="3"/>
      <c r="E622" s="3"/>
      <c r="F622" s="3"/>
      <c r="G622" s="3"/>
      <c r="H622" s="3"/>
      <c r="I622" s="3"/>
    </row>
    <row r="623" spans="1:9" x14ac:dyDescent="0.25">
      <c r="A623" s="3"/>
      <c r="B623" s="3"/>
      <c r="C623" s="3"/>
      <c r="D623" s="3"/>
      <c r="E623" s="3"/>
      <c r="F623" s="3"/>
      <c r="G623" s="3"/>
      <c r="H623" s="3"/>
      <c r="I623" s="3"/>
    </row>
    <row r="624" spans="1:9" x14ac:dyDescent="0.25">
      <c r="A624" s="3"/>
      <c r="B624" s="3"/>
      <c r="C624" s="3"/>
      <c r="D624" s="3"/>
      <c r="E624" s="3"/>
      <c r="F624" s="3"/>
      <c r="G624" s="3"/>
      <c r="H624" s="3"/>
      <c r="I624" s="3"/>
    </row>
    <row r="625" spans="1:9" x14ac:dyDescent="0.25">
      <c r="A625" s="3"/>
      <c r="B625" s="3"/>
      <c r="C625" s="3"/>
      <c r="D625" s="3"/>
      <c r="E625" s="3"/>
      <c r="F625" s="3"/>
      <c r="G625" s="3"/>
      <c r="H625" s="3"/>
      <c r="I625" s="3"/>
    </row>
    <row r="626" spans="1:9" x14ac:dyDescent="0.25">
      <c r="A626" s="3"/>
      <c r="B626" s="3"/>
      <c r="C626" s="3"/>
      <c r="D626" s="3"/>
      <c r="E626" s="3"/>
      <c r="F626" s="3"/>
      <c r="G626" s="3"/>
      <c r="H626" s="3"/>
      <c r="I626" s="3"/>
    </row>
    <row r="627" spans="1:9" x14ac:dyDescent="0.25">
      <c r="A627" s="3"/>
      <c r="B627" s="3"/>
      <c r="C627" s="3"/>
      <c r="D627" s="3"/>
      <c r="E627" s="3"/>
      <c r="F627" s="3"/>
      <c r="G627" s="3"/>
      <c r="H627" s="3"/>
      <c r="I627" s="3"/>
    </row>
    <row r="628" spans="1:9" x14ac:dyDescent="0.25">
      <c r="A628" s="3"/>
      <c r="B628" s="3"/>
      <c r="C628" s="3"/>
      <c r="D628" s="3"/>
      <c r="E628" s="3"/>
      <c r="F628" s="3"/>
      <c r="G628" s="3"/>
      <c r="H628" s="3"/>
      <c r="I628" s="3"/>
    </row>
    <row r="629" spans="1:9" x14ac:dyDescent="0.25">
      <c r="A629" s="3"/>
      <c r="B629" s="3"/>
      <c r="C629" s="3"/>
      <c r="D629" s="3"/>
      <c r="E629" s="3"/>
      <c r="F629" s="3"/>
      <c r="G629" s="3"/>
      <c r="H629" s="3"/>
      <c r="I629" s="3"/>
    </row>
    <row r="630" spans="1:9" x14ac:dyDescent="0.25">
      <c r="A630" s="3"/>
      <c r="B630" s="3"/>
      <c r="C630" s="3"/>
      <c r="D630" s="3"/>
      <c r="E630" s="3"/>
      <c r="F630" s="3"/>
      <c r="G630" s="3"/>
      <c r="H630" s="3"/>
      <c r="I630" s="3"/>
    </row>
    <row r="631" spans="1:9" x14ac:dyDescent="0.25">
      <c r="A631" s="3"/>
      <c r="B631" s="3"/>
      <c r="C631" s="3"/>
      <c r="D631" s="3"/>
      <c r="E631" s="3"/>
      <c r="F631" s="3"/>
      <c r="G631" s="3"/>
      <c r="H631" s="3"/>
      <c r="I631" s="3"/>
    </row>
    <row r="632" spans="1:9" x14ac:dyDescent="0.25">
      <c r="A632" s="3"/>
      <c r="B632" s="3"/>
      <c r="C632" s="3"/>
      <c r="D632" s="3"/>
      <c r="E632" s="3"/>
      <c r="F632" s="3"/>
      <c r="G632" s="3"/>
      <c r="H632" s="3"/>
      <c r="I632" s="3"/>
    </row>
    <row r="633" spans="1:9" x14ac:dyDescent="0.25">
      <c r="A633" s="3"/>
      <c r="B633" s="3"/>
      <c r="C633" s="3"/>
      <c r="D633" s="3"/>
      <c r="E633" s="3"/>
      <c r="F633" s="3"/>
      <c r="G633" s="3"/>
      <c r="H633" s="3"/>
      <c r="I633" s="3"/>
    </row>
    <row r="634" spans="1:9" x14ac:dyDescent="0.25">
      <c r="A634" s="3"/>
      <c r="B634" s="3"/>
      <c r="C634" s="3"/>
      <c r="D634" s="3"/>
      <c r="E634" s="3"/>
      <c r="F634" s="3"/>
      <c r="G634" s="3"/>
      <c r="H634" s="3"/>
      <c r="I634" s="3"/>
    </row>
    <row r="635" spans="1:9" x14ac:dyDescent="0.25">
      <c r="A635" s="3"/>
      <c r="B635" s="3"/>
      <c r="C635" s="3"/>
      <c r="D635" s="3"/>
      <c r="E635" s="3"/>
      <c r="F635" s="3"/>
      <c r="G635" s="3"/>
      <c r="H635" s="3"/>
      <c r="I635" s="3"/>
    </row>
    <row r="636" spans="1:9" x14ac:dyDescent="0.25">
      <c r="A636" s="3"/>
      <c r="B636" s="3"/>
      <c r="C636" s="3"/>
      <c r="D636" s="3"/>
      <c r="E636" s="3"/>
      <c r="F636" s="3"/>
      <c r="G636" s="3"/>
      <c r="H636" s="3"/>
      <c r="I636" s="3"/>
    </row>
    <row r="637" spans="1:9" x14ac:dyDescent="0.25">
      <c r="A637" s="3"/>
      <c r="B637" s="3"/>
      <c r="C637" s="3"/>
      <c r="D637" s="3"/>
      <c r="E637" s="3"/>
      <c r="F637" s="3"/>
      <c r="G637" s="3"/>
      <c r="H637" s="3"/>
      <c r="I637" s="3"/>
    </row>
    <row r="638" spans="1:9" x14ac:dyDescent="0.25">
      <c r="A638" s="3"/>
      <c r="B638" s="3"/>
      <c r="C638" s="3"/>
      <c r="D638" s="3"/>
      <c r="E638" s="3"/>
      <c r="F638" s="3"/>
      <c r="G638" s="3"/>
      <c r="H638" s="3"/>
      <c r="I638" s="3"/>
    </row>
    <row r="639" spans="1:9" x14ac:dyDescent="0.25">
      <c r="A639" s="3"/>
      <c r="B639" s="3"/>
      <c r="C639" s="3"/>
      <c r="D639" s="3"/>
      <c r="E639" s="3"/>
      <c r="F639" s="3"/>
      <c r="G639" s="3"/>
      <c r="H639" s="3"/>
      <c r="I639" s="3"/>
    </row>
    <row r="640" spans="1:9" x14ac:dyDescent="0.25">
      <c r="A640" s="3"/>
      <c r="B640" s="3"/>
      <c r="C640" s="3"/>
      <c r="D640" s="3"/>
      <c r="E640" s="3"/>
      <c r="F640" s="3"/>
      <c r="G640" s="3"/>
      <c r="H640" s="3"/>
      <c r="I640" s="3"/>
    </row>
    <row r="641" spans="1:9" x14ac:dyDescent="0.25">
      <c r="A641" s="3"/>
      <c r="B641" s="3"/>
      <c r="C641" s="3"/>
      <c r="D641" s="3"/>
      <c r="E641" s="3"/>
      <c r="F641" s="3"/>
      <c r="G641" s="3"/>
      <c r="H641" s="3"/>
      <c r="I641" s="3"/>
    </row>
    <row r="642" spans="1:9" x14ac:dyDescent="0.25">
      <c r="A642" s="3"/>
      <c r="B642" s="3"/>
      <c r="C642" s="3"/>
      <c r="D642" s="3"/>
      <c r="E642" s="3"/>
      <c r="F642" s="3"/>
      <c r="G642" s="3"/>
      <c r="H642" s="3"/>
      <c r="I642" s="3"/>
    </row>
    <row r="643" spans="1:9" x14ac:dyDescent="0.25">
      <c r="A643" s="3"/>
      <c r="B643" s="3"/>
      <c r="C643" s="3"/>
      <c r="D643" s="3"/>
      <c r="E643" s="3"/>
      <c r="F643" s="3"/>
      <c r="G643" s="3"/>
      <c r="H643" s="3"/>
      <c r="I643" s="3"/>
    </row>
    <row r="644" spans="1:9" x14ac:dyDescent="0.25">
      <c r="A644" s="3"/>
      <c r="B644" s="3"/>
      <c r="C644" s="3"/>
      <c r="D644" s="3"/>
      <c r="E644" s="3"/>
      <c r="F644" s="3"/>
      <c r="G644" s="3"/>
      <c r="H644" s="3"/>
      <c r="I644" s="3"/>
    </row>
    <row r="645" spans="1:9" x14ac:dyDescent="0.25">
      <c r="A645" s="3"/>
      <c r="B645" s="3"/>
      <c r="C645" s="3"/>
      <c r="D645" s="3"/>
      <c r="E645" s="3"/>
      <c r="F645" s="3"/>
      <c r="G645" s="3"/>
      <c r="H645" s="3"/>
      <c r="I645" s="3"/>
    </row>
    <row r="646" spans="1:9" x14ac:dyDescent="0.25">
      <c r="A646" s="3"/>
      <c r="B646" s="3"/>
      <c r="C646" s="3"/>
      <c r="D646" s="3"/>
      <c r="E646" s="3"/>
      <c r="F646" s="3"/>
      <c r="G646" s="3"/>
      <c r="H646" s="3"/>
      <c r="I646" s="3"/>
    </row>
    <row r="647" spans="1:9" x14ac:dyDescent="0.25">
      <c r="A647" s="3"/>
      <c r="B647" s="3"/>
      <c r="C647" s="3"/>
      <c r="D647" s="3"/>
      <c r="E647" s="3"/>
      <c r="F647" s="3"/>
      <c r="G647" s="3"/>
      <c r="H647" s="3"/>
      <c r="I647" s="3"/>
    </row>
    <row r="648" spans="1:9" x14ac:dyDescent="0.25">
      <c r="A648" s="3"/>
      <c r="B648" s="3"/>
      <c r="C648" s="3"/>
      <c r="D648" s="3"/>
      <c r="E648" s="3"/>
      <c r="F648" s="3"/>
      <c r="G648" s="3"/>
      <c r="H648" s="3"/>
      <c r="I648" s="3"/>
    </row>
    <row r="649" spans="1:9" x14ac:dyDescent="0.25">
      <c r="A649" s="3"/>
      <c r="B649" s="3"/>
      <c r="C649" s="3"/>
      <c r="D649" s="3"/>
      <c r="E649" s="3"/>
      <c r="F649" s="3"/>
      <c r="G649" s="3"/>
      <c r="H649" s="3"/>
      <c r="I649" s="3"/>
    </row>
    <row r="650" spans="1:9" x14ac:dyDescent="0.25">
      <c r="A650" s="3"/>
      <c r="B650" s="3"/>
      <c r="C650" s="3"/>
      <c r="D650" s="3"/>
      <c r="E650" s="3"/>
      <c r="F650" s="3"/>
      <c r="G650" s="3"/>
      <c r="H650" s="3"/>
      <c r="I650" s="3"/>
    </row>
    <row r="651" spans="1:9" x14ac:dyDescent="0.25">
      <c r="A651" s="3"/>
      <c r="B651" s="3"/>
      <c r="C651" s="3"/>
      <c r="D651" s="3"/>
      <c r="E651" s="3"/>
      <c r="F651" s="3"/>
      <c r="G651" s="3"/>
      <c r="H651" s="3"/>
      <c r="I651" s="3"/>
    </row>
    <row r="652" spans="1:9" x14ac:dyDescent="0.25">
      <c r="A652" s="3"/>
      <c r="B652" s="3"/>
      <c r="C652" s="3"/>
      <c r="D652" s="3"/>
      <c r="E652" s="3"/>
      <c r="F652" s="3"/>
      <c r="G652" s="3"/>
      <c r="H652" s="3"/>
      <c r="I652" s="3"/>
    </row>
    <row r="653" spans="1:9" x14ac:dyDescent="0.25">
      <c r="A653" s="3"/>
      <c r="B653" s="3"/>
      <c r="C653" s="3"/>
      <c r="D653" s="3"/>
      <c r="E653" s="3"/>
      <c r="F653" s="3"/>
      <c r="G653" s="3"/>
      <c r="H653" s="3"/>
      <c r="I653" s="3"/>
    </row>
    <row r="654" spans="1:9" x14ac:dyDescent="0.25">
      <c r="A654" s="3"/>
      <c r="B654" s="3"/>
      <c r="C654" s="3"/>
      <c r="D654" s="3"/>
      <c r="E654" s="3"/>
      <c r="F654" s="3"/>
      <c r="G654" s="3"/>
      <c r="H654" s="3"/>
      <c r="I654" s="3"/>
    </row>
    <row r="655" spans="1:9" x14ac:dyDescent="0.25">
      <c r="A655" s="3"/>
      <c r="B655" s="3"/>
      <c r="C655" s="3"/>
      <c r="D655" s="3"/>
      <c r="E655" s="3"/>
      <c r="F655" s="3"/>
      <c r="G655" s="3"/>
      <c r="H655" s="3"/>
      <c r="I655" s="3"/>
    </row>
    <row r="656" spans="1:9" x14ac:dyDescent="0.25">
      <c r="A656" s="3"/>
      <c r="B656" s="3"/>
      <c r="C656" s="3"/>
      <c r="D656" s="3"/>
      <c r="E656" s="3"/>
      <c r="F656" s="3"/>
      <c r="G656" s="3"/>
      <c r="H656" s="3"/>
      <c r="I656" s="3"/>
    </row>
    <row r="657" spans="1:9" x14ac:dyDescent="0.25">
      <c r="A657" s="3"/>
      <c r="B657" s="3"/>
      <c r="C657" s="3"/>
      <c r="D657" s="3"/>
      <c r="E657" s="3"/>
      <c r="F657" s="3"/>
      <c r="G657" s="3"/>
      <c r="H657" s="3"/>
      <c r="I657" s="3"/>
    </row>
    <row r="658" spans="1:9" x14ac:dyDescent="0.25">
      <c r="A658" s="3"/>
      <c r="B658" s="3"/>
      <c r="C658" s="3"/>
      <c r="D658" s="3"/>
      <c r="E658" s="3"/>
      <c r="F658" s="3"/>
      <c r="G658" s="3"/>
      <c r="H658" s="3"/>
      <c r="I658" s="3"/>
    </row>
    <row r="659" spans="1:9" x14ac:dyDescent="0.25">
      <c r="A659" s="3"/>
      <c r="B659" s="3"/>
      <c r="C659" s="3"/>
      <c r="D659" s="3"/>
      <c r="E659" s="3"/>
      <c r="F659" s="3"/>
      <c r="G659" s="3"/>
      <c r="H659" s="3"/>
      <c r="I659" s="3"/>
    </row>
    <row r="660" spans="1:9" x14ac:dyDescent="0.25">
      <c r="A660" s="3"/>
      <c r="B660" s="3"/>
      <c r="C660" s="3"/>
      <c r="D660" s="3"/>
      <c r="E660" s="3"/>
      <c r="F660" s="3"/>
      <c r="G660" s="3"/>
      <c r="H660" s="3"/>
      <c r="I660" s="3"/>
    </row>
    <row r="661" spans="1:9" x14ac:dyDescent="0.25">
      <c r="A661" s="3"/>
      <c r="B661" s="3"/>
      <c r="C661" s="3"/>
      <c r="D661" s="3"/>
      <c r="E661" s="3"/>
      <c r="F661" s="3"/>
      <c r="G661" s="3"/>
      <c r="H661" s="3"/>
      <c r="I661" s="3"/>
    </row>
    <row r="662" spans="1:9" x14ac:dyDescent="0.25">
      <c r="A662" s="3"/>
      <c r="B662" s="3"/>
      <c r="C662" s="3"/>
      <c r="D662" s="3"/>
      <c r="E662" s="3"/>
      <c r="F662" s="3"/>
      <c r="G662" s="3"/>
      <c r="H662" s="3"/>
      <c r="I662" s="3"/>
    </row>
    <row r="663" spans="1:9" x14ac:dyDescent="0.25">
      <c r="A663" s="3"/>
      <c r="B663" s="3"/>
      <c r="C663" s="3"/>
      <c r="D663" s="3"/>
      <c r="E663" s="3"/>
      <c r="F663" s="3"/>
      <c r="G663" s="3"/>
      <c r="H663" s="3"/>
      <c r="I663" s="3"/>
    </row>
    <row r="664" spans="1:9" x14ac:dyDescent="0.25">
      <c r="A664" s="3"/>
      <c r="B664" s="3"/>
      <c r="C664" s="3"/>
      <c r="D664" s="3"/>
      <c r="E664" s="3"/>
      <c r="F664" s="3"/>
      <c r="G664" s="3"/>
      <c r="H664" s="3"/>
      <c r="I664" s="3"/>
    </row>
    <row r="665" spans="1:9" x14ac:dyDescent="0.25">
      <c r="A665" s="3"/>
      <c r="B665" s="3"/>
      <c r="C665" s="3"/>
      <c r="D665" s="3"/>
      <c r="E665" s="3"/>
      <c r="F665" s="3"/>
      <c r="G665" s="3"/>
      <c r="H665" s="3"/>
      <c r="I665" s="3"/>
    </row>
    <row r="666" spans="1:9" x14ac:dyDescent="0.25">
      <c r="A666" s="3"/>
      <c r="B666" s="3"/>
      <c r="C666" s="3"/>
      <c r="D666" s="3"/>
      <c r="E666" s="3"/>
      <c r="F666" s="3"/>
      <c r="G666" s="3"/>
      <c r="H666" s="3"/>
      <c r="I666" s="3"/>
    </row>
    <row r="667" spans="1:9" x14ac:dyDescent="0.25">
      <c r="A667" s="3"/>
      <c r="B667" s="3"/>
      <c r="C667" s="3"/>
      <c r="D667" s="3"/>
      <c r="E667" s="3"/>
      <c r="F667" s="3"/>
      <c r="G667" s="3"/>
      <c r="H667" s="3"/>
      <c r="I667" s="3"/>
    </row>
    <row r="668" spans="1:9" x14ac:dyDescent="0.25">
      <c r="A668" s="3"/>
      <c r="B668" s="3"/>
      <c r="C668" s="3"/>
      <c r="D668" s="3"/>
      <c r="E668" s="3"/>
      <c r="F668" s="3"/>
      <c r="G668" s="3"/>
      <c r="H668" s="3"/>
      <c r="I668" s="3"/>
    </row>
    <row r="669" spans="1:9" x14ac:dyDescent="0.25">
      <c r="A669" s="3"/>
      <c r="B669" s="3"/>
      <c r="C669" s="3"/>
      <c r="D669" s="3"/>
      <c r="E669" s="3"/>
      <c r="F669" s="3"/>
      <c r="G669" s="3"/>
      <c r="H669" s="3"/>
      <c r="I669" s="3"/>
    </row>
    <row r="670" spans="1:9" x14ac:dyDescent="0.25">
      <c r="A670" s="3"/>
      <c r="B670" s="3"/>
      <c r="C670" s="3"/>
      <c r="D670" s="3"/>
      <c r="E670" s="3"/>
      <c r="F670" s="3"/>
      <c r="G670" s="3"/>
      <c r="H670" s="3"/>
      <c r="I670" s="3"/>
    </row>
    <row r="671" spans="1:9" x14ac:dyDescent="0.25">
      <c r="A671" s="3"/>
      <c r="B671" s="3"/>
      <c r="C671" s="3"/>
      <c r="D671" s="3"/>
      <c r="E671" s="3"/>
      <c r="F671" s="3"/>
      <c r="G671" s="3"/>
      <c r="H671" s="3"/>
      <c r="I671" s="3"/>
    </row>
    <row r="672" spans="1:9" x14ac:dyDescent="0.25">
      <c r="A672" s="3"/>
      <c r="B672" s="3"/>
      <c r="C672" s="3"/>
      <c r="D672" s="3"/>
      <c r="E672" s="3"/>
      <c r="F672" s="3"/>
      <c r="G672" s="3"/>
      <c r="H672" s="3"/>
      <c r="I672" s="3"/>
    </row>
    <row r="673" spans="1:9" x14ac:dyDescent="0.25">
      <c r="A673" s="3"/>
      <c r="B673" s="3"/>
      <c r="C673" s="3"/>
      <c r="D673" s="3"/>
      <c r="E673" s="3"/>
      <c r="F673" s="3"/>
      <c r="G673" s="3"/>
      <c r="H673" s="3"/>
      <c r="I673" s="3"/>
    </row>
    <row r="674" spans="1:9" x14ac:dyDescent="0.25">
      <c r="A674" s="3"/>
      <c r="B674" s="3"/>
      <c r="C674" s="3"/>
      <c r="D674" s="3"/>
      <c r="E674" s="3"/>
      <c r="F674" s="3"/>
      <c r="G674" s="3"/>
      <c r="H674" s="3"/>
      <c r="I674" s="3"/>
    </row>
    <row r="675" spans="1:9" x14ac:dyDescent="0.25">
      <c r="A675" s="3"/>
      <c r="B675" s="3"/>
      <c r="C675" s="3"/>
      <c r="D675" s="3"/>
      <c r="E675" s="3"/>
      <c r="F675" s="3"/>
      <c r="G675" s="3"/>
      <c r="H675" s="3"/>
      <c r="I675" s="3"/>
    </row>
    <row r="676" spans="1:9" x14ac:dyDescent="0.25">
      <c r="A676" s="3"/>
      <c r="B676" s="3"/>
      <c r="C676" s="3"/>
      <c r="D676" s="3"/>
      <c r="E676" s="3"/>
      <c r="F676" s="3"/>
      <c r="G676" s="3"/>
      <c r="H676" s="3"/>
      <c r="I676" s="3"/>
    </row>
    <row r="677" spans="1:9" x14ac:dyDescent="0.25">
      <c r="A677" s="3"/>
      <c r="B677" s="3"/>
      <c r="C677" s="3"/>
      <c r="D677" s="3"/>
      <c r="E677" s="3"/>
      <c r="F677" s="3"/>
      <c r="G677" s="3"/>
      <c r="H677" s="3"/>
      <c r="I677" s="3"/>
    </row>
    <row r="678" spans="1:9" x14ac:dyDescent="0.25">
      <c r="A678" s="3"/>
      <c r="B678" s="3"/>
      <c r="C678" s="3"/>
      <c r="D678" s="3"/>
      <c r="E678" s="3"/>
      <c r="F678" s="3"/>
      <c r="G678" s="3"/>
      <c r="H678" s="3"/>
      <c r="I678" s="3"/>
    </row>
    <row r="679" spans="1:9" x14ac:dyDescent="0.25">
      <c r="A679" s="3"/>
      <c r="B679" s="3"/>
      <c r="C679" s="3"/>
      <c r="D679" s="3"/>
      <c r="E679" s="3"/>
      <c r="F679" s="3"/>
      <c r="G679" s="3"/>
      <c r="H679" s="3"/>
      <c r="I679" s="3"/>
    </row>
    <row r="680" spans="1:9" x14ac:dyDescent="0.25">
      <c r="A680" s="3"/>
      <c r="B680" s="3"/>
      <c r="C680" s="3"/>
      <c r="D680" s="3"/>
      <c r="E680" s="3"/>
      <c r="F680" s="3"/>
      <c r="G680" s="3"/>
      <c r="H680" s="3"/>
      <c r="I680" s="3"/>
    </row>
    <row r="681" spans="1:9" x14ac:dyDescent="0.25">
      <c r="A681" s="3"/>
      <c r="B681" s="3"/>
      <c r="C681" s="3"/>
      <c r="D681" s="3"/>
      <c r="E681" s="3"/>
      <c r="F681" s="3"/>
      <c r="G681" s="3"/>
      <c r="H681" s="3"/>
      <c r="I681" s="3"/>
    </row>
    <row r="682" spans="1:9" x14ac:dyDescent="0.25">
      <c r="A682" s="3"/>
      <c r="B682" s="3"/>
      <c r="C682" s="3"/>
      <c r="D682" s="3"/>
      <c r="E682" s="3"/>
      <c r="F682" s="3"/>
      <c r="G682" s="3"/>
      <c r="H682" s="3"/>
      <c r="I682" s="3"/>
    </row>
    <row r="683" spans="1:9" x14ac:dyDescent="0.25">
      <c r="A683" s="3"/>
      <c r="B683" s="3"/>
      <c r="C683" s="3"/>
      <c r="D683" s="3"/>
      <c r="E683" s="3"/>
      <c r="F683" s="3"/>
      <c r="G683" s="3"/>
      <c r="H683" s="3"/>
      <c r="I683" s="3"/>
    </row>
    <row r="684" spans="1:9" x14ac:dyDescent="0.25">
      <c r="A684" s="3"/>
      <c r="B684" s="3"/>
      <c r="C684" s="3"/>
      <c r="D684" s="3"/>
      <c r="E684" s="3"/>
      <c r="F684" s="3"/>
      <c r="G684" s="3"/>
      <c r="H684" s="3"/>
      <c r="I684" s="3"/>
    </row>
    <row r="685" spans="1:9" x14ac:dyDescent="0.25">
      <c r="A685" s="3"/>
      <c r="B685" s="3"/>
      <c r="C685" s="3"/>
      <c r="D685" s="3"/>
      <c r="E685" s="3"/>
      <c r="F685" s="3"/>
      <c r="G685" s="3"/>
      <c r="H685" s="3"/>
      <c r="I685" s="3"/>
    </row>
    <row r="686" spans="1:9" x14ac:dyDescent="0.25">
      <c r="A686" s="3"/>
      <c r="B686" s="3"/>
      <c r="C686" s="3"/>
      <c r="D686" s="3"/>
      <c r="E686" s="3"/>
      <c r="F686" s="3"/>
      <c r="G686" s="3"/>
      <c r="H686" s="3"/>
      <c r="I686" s="3"/>
    </row>
    <row r="687" spans="1:9" x14ac:dyDescent="0.25">
      <c r="A687" s="3"/>
      <c r="B687" s="3"/>
      <c r="C687" s="3"/>
      <c r="D687" s="3"/>
      <c r="E687" s="3"/>
      <c r="F687" s="3"/>
      <c r="G687" s="3"/>
      <c r="H687" s="3"/>
      <c r="I687" s="3"/>
    </row>
    <row r="688" spans="1:9" x14ac:dyDescent="0.25">
      <c r="A688" s="3"/>
      <c r="B688" s="3"/>
      <c r="C688" s="3"/>
      <c r="D688" s="3"/>
      <c r="E688" s="3"/>
      <c r="F688" s="3"/>
      <c r="G688" s="3"/>
      <c r="H688" s="3"/>
      <c r="I688" s="3"/>
    </row>
    <row r="689" spans="1:9" x14ac:dyDescent="0.25">
      <c r="A689" s="3"/>
      <c r="B689" s="3"/>
      <c r="C689" s="3"/>
      <c r="D689" s="3"/>
      <c r="E689" s="3"/>
      <c r="F689" s="3"/>
      <c r="G689" s="3"/>
      <c r="H689" s="3"/>
      <c r="I689" s="3"/>
    </row>
    <row r="690" spans="1:9" x14ac:dyDescent="0.25">
      <c r="A690" s="3"/>
      <c r="B690" s="3"/>
      <c r="C690" s="3"/>
      <c r="D690" s="3"/>
      <c r="E690" s="3"/>
      <c r="F690" s="3"/>
      <c r="G690" s="3"/>
      <c r="H690" s="3"/>
      <c r="I690" s="3"/>
    </row>
    <row r="691" spans="1:9" x14ac:dyDescent="0.25">
      <c r="A691" s="3"/>
      <c r="B691" s="3"/>
      <c r="C691" s="3"/>
      <c r="D691" s="3"/>
      <c r="E691" s="3"/>
      <c r="F691" s="3"/>
      <c r="G691" s="3"/>
      <c r="H691" s="3"/>
      <c r="I691" s="3"/>
    </row>
    <row r="692" spans="1:9" x14ac:dyDescent="0.25">
      <c r="A692" s="3"/>
      <c r="B692" s="3"/>
      <c r="C692" s="3"/>
      <c r="D692" s="3"/>
      <c r="E692" s="3"/>
      <c r="F692" s="3"/>
      <c r="G692" s="3"/>
      <c r="H692" s="3"/>
      <c r="I692" s="3"/>
    </row>
    <row r="693" spans="1:9" x14ac:dyDescent="0.25">
      <c r="A693" s="3"/>
      <c r="B693" s="3"/>
      <c r="C693" s="3"/>
      <c r="D693" s="3"/>
      <c r="E693" s="3"/>
      <c r="F693" s="3"/>
      <c r="G693" s="3"/>
      <c r="H693" s="3"/>
      <c r="I693" s="3"/>
    </row>
    <row r="694" spans="1:9" x14ac:dyDescent="0.25">
      <c r="A694" s="3"/>
      <c r="B694" s="3"/>
      <c r="C694" s="3"/>
      <c r="D694" s="3"/>
      <c r="E694" s="3"/>
      <c r="F694" s="3"/>
      <c r="G694" s="3"/>
      <c r="H694" s="3"/>
      <c r="I694" s="3"/>
    </row>
    <row r="695" spans="1:9" x14ac:dyDescent="0.25">
      <c r="A695" s="3"/>
      <c r="B695" s="3"/>
      <c r="C695" s="3"/>
      <c r="D695" s="3"/>
      <c r="E695" s="3"/>
      <c r="F695" s="3"/>
      <c r="G695" s="3"/>
      <c r="H695" s="3"/>
      <c r="I695" s="3"/>
    </row>
    <row r="696" spans="1:9" x14ac:dyDescent="0.25">
      <c r="A696" s="3"/>
      <c r="B696" s="3"/>
      <c r="C696" s="3"/>
      <c r="D696" s="3"/>
      <c r="E696" s="3"/>
      <c r="F696" s="3"/>
      <c r="G696" s="3"/>
      <c r="H696" s="3"/>
      <c r="I696" s="3"/>
    </row>
    <row r="697" spans="1:9" x14ac:dyDescent="0.25">
      <c r="A697" s="3"/>
      <c r="B697" s="3"/>
      <c r="C697" s="3"/>
      <c r="D697" s="3"/>
      <c r="E697" s="3"/>
      <c r="F697" s="3"/>
      <c r="G697" s="3"/>
      <c r="H697" s="3"/>
      <c r="I697" s="3"/>
    </row>
    <row r="698" spans="1:9" x14ac:dyDescent="0.25">
      <c r="A698" s="3"/>
      <c r="B698" s="3"/>
      <c r="C698" s="3"/>
      <c r="D698" s="3"/>
      <c r="E698" s="3"/>
      <c r="F698" s="3"/>
      <c r="G698" s="3"/>
      <c r="H698" s="3"/>
      <c r="I698" s="3"/>
    </row>
    <row r="699" spans="1:9" x14ac:dyDescent="0.25">
      <c r="A699" s="3"/>
      <c r="B699" s="3"/>
      <c r="C699" s="3"/>
      <c r="D699" s="3"/>
      <c r="E699" s="3"/>
      <c r="F699" s="3"/>
      <c r="G699" s="3"/>
      <c r="H699" s="3"/>
      <c r="I699" s="3"/>
    </row>
    <row r="700" spans="1:9" x14ac:dyDescent="0.25">
      <c r="A700" s="3"/>
      <c r="B700" s="3"/>
      <c r="C700" s="3"/>
      <c r="D700" s="3"/>
      <c r="E700" s="3"/>
      <c r="F700" s="3"/>
      <c r="G700" s="3"/>
      <c r="H700" s="3"/>
      <c r="I700" s="3"/>
    </row>
    <row r="701" spans="1:9" x14ac:dyDescent="0.25">
      <c r="A701" s="3"/>
      <c r="B701" s="3"/>
      <c r="C701" s="3"/>
      <c r="D701" s="3"/>
      <c r="E701" s="3"/>
      <c r="F701" s="3"/>
      <c r="G701" s="3"/>
      <c r="H701" s="3"/>
      <c r="I701" s="3"/>
    </row>
    <row r="702" spans="1:9" x14ac:dyDescent="0.25">
      <c r="A702" s="3"/>
      <c r="B702" s="3"/>
      <c r="C702" s="3"/>
      <c r="D702" s="3"/>
      <c r="E702" s="3"/>
      <c r="F702" s="3"/>
      <c r="G702" s="3"/>
      <c r="H702" s="3"/>
      <c r="I702" s="3"/>
    </row>
    <row r="703" spans="1:9" x14ac:dyDescent="0.25">
      <c r="A703" s="3"/>
      <c r="B703" s="3"/>
      <c r="C703" s="3"/>
      <c r="D703" s="3"/>
      <c r="E703" s="3"/>
      <c r="F703" s="3"/>
      <c r="G703" s="3"/>
      <c r="H703" s="3"/>
      <c r="I703" s="3"/>
    </row>
    <row r="704" spans="1:9" x14ac:dyDescent="0.25">
      <c r="A704" s="3"/>
      <c r="B704" s="3"/>
      <c r="C704" s="3"/>
      <c r="D704" s="3"/>
      <c r="E704" s="3"/>
      <c r="F704" s="3"/>
      <c r="G704" s="3"/>
      <c r="H704" s="3"/>
      <c r="I704" s="3"/>
    </row>
    <row r="705" spans="1:9" x14ac:dyDescent="0.25">
      <c r="A705" s="3"/>
      <c r="B705" s="3"/>
      <c r="C705" s="3"/>
      <c r="D705" s="3"/>
      <c r="E705" s="3"/>
      <c r="F705" s="3"/>
      <c r="G705" s="3"/>
      <c r="H705" s="3"/>
      <c r="I705" s="3"/>
    </row>
    <row r="706" spans="1:9" x14ac:dyDescent="0.25">
      <c r="A706" s="3"/>
      <c r="B706" s="3"/>
      <c r="C706" s="3"/>
      <c r="D706" s="3"/>
      <c r="E706" s="3"/>
      <c r="F706" s="3"/>
      <c r="G706" s="3"/>
      <c r="H706" s="3"/>
      <c r="I706" s="3"/>
    </row>
    <row r="707" spans="1:9" x14ac:dyDescent="0.25">
      <c r="A707" s="3"/>
      <c r="B707" s="3"/>
      <c r="C707" s="3"/>
      <c r="D707" s="3"/>
      <c r="E707" s="3"/>
      <c r="F707" s="3"/>
      <c r="G707" s="3"/>
      <c r="H707" s="3"/>
      <c r="I707" s="3"/>
    </row>
    <row r="708" spans="1:9" x14ac:dyDescent="0.25">
      <c r="A708" s="3"/>
      <c r="B708" s="3"/>
      <c r="C708" s="3"/>
      <c r="D708" s="3"/>
      <c r="E708" s="3"/>
      <c r="F708" s="3"/>
      <c r="G708" s="3"/>
      <c r="H708" s="3"/>
      <c r="I708" s="3"/>
    </row>
    <row r="709" spans="1:9" x14ac:dyDescent="0.25">
      <c r="B709" s="3"/>
      <c r="C709" s="3"/>
      <c r="D709" s="3"/>
      <c r="E709" s="3"/>
      <c r="F709" s="3"/>
      <c r="G709" s="3"/>
      <c r="H709" s="3"/>
      <c r="I709" s="3"/>
    </row>
    <row r="710" spans="1:9" x14ac:dyDescent="0.25">
      <c r="B710" s="3"/>
      <c r="C710" s="3"/>
      <c r="D710" s="3"/>
      <c r="E710" s="3"/>
      <c r="F710" s="3"/>
      <c r="G710" s="3"/>
      <c r="H710" s="3"/>
      <c r="I710" s="3"/>
    </row>
    <row r="711" spans="1:9" x14ac:dyDescent="0.25">
      <c r="B711" s="3"/>
      <c r="C711" s="3"/>
      <c r="D711" s="3"/>
      <c r="E711" s="3"/>
      <c r="F711" s="3"/>
      <c r="G711" s="3"/>
      <c r="H711" s="3"/>
      <c r="I711" s="3"/>
    </row>
    <row r="712" spans="1:9" x14ac:dyDescent="0.25">
      <c r="B712" s="3"/>
      <c r="C712" s="3"/>
      <c r="D712" s="3"/>
      <c r="E712" s="3"/>
      <c r="F712" s="3"/>
      <c r="G712" s="3"/>
      <c r="H712" s="3"/>
      <c r="I712" s="3"/>
    </row>
    <row r="713" spans="1:9" x14ac:dyDescent="0.25">
      <c r="B713" s="3"/>
      <c r="C713" s="3"/>
      <c r="D713" s="3"/>
      <c r="E713" s="3"/>
      <c r="F713" s="3"/>
      <c r="G713" s="3"/>
      <c r="H713" s="3"/>
      <c r="I713" s="3"/>
    </row>
  </sheetData>
  <mergeCells count="5">
    <mergeCell ref="A8:F8"/>
    <mergeCell ref="A63:B63"/>
    <mergeCell ref="C63:D63"/>
    <mergeCell ref="C64:D64"/>
    <mergeCell ref="A64:B64"/>
  </mergeCells>
  <phoneticPr fontId="0" type="noConversion"/>
  <printOptions horizontalCentered="1" verticalCentered="1"/>
  <pageMargins left="0.5" right="0" top="0.35" bottom="0.05" header="0" footer="0"/>
  <pageSetup scale="94" orientation="portrait" horizontalDpi="360" verticalDpi="360"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pageSetUpPr fitToPage="1"/>
  </sheetPr>
  <dimension ref="A1:H64"/>
  <sheetViews>
    <sheetView showGridLines="0" showZeros="0" zoomScaleNormal="100" workbookViewId="0">
      <selection activeCell="B14" sqref="B14"/>
    </sheetView>
  </sheetViews>
  <sheetFormatPr baseColWidth="10" defaultColWidth="19.44140625" defaultRowHeight="12.6" x14ac:dyDescent="0.25"/>
  <cols>
    <col min="1" max="1" width="14.88671875" style="405" customWidth="1"/>
    <col min="2" max="2" width="12" style="405" customWidth="1"/>
    <col min="3" max="3" width="11.44140625" style="405" customWidth="1"/>
    <col min="4" max="4" width="10.6640625" style="405" customWidth="1"/>
    <col min="5" max="5" width="10.44140625" style="405" customWidth="1"/>
    <col min="6" max="6" width="12.88671875" style="405" customWidth="1"/>
    <col min="7" max="7" width="19.44140625" style="405" customWidth="1"/>
    <col min="8" max="8" width="9.5546875" style="405" customWidth="1"/>
    <col min="9" max="16384" width="19.44140625" style="405"/>
  </cols>
  <sheetData>
    <row r="1" spans="1:8" ht="18.600000000000001" thickTop="1" x14ac:dyDescent="0.35">
      <c r="A1" s="402"/>
      <c r="B1" s="403"/>
      <c r="C1" s="403"/>
      <c r="D1" s="403"/>
      <c r="E1" s="404"/>
      <c r="F1" s="746" t="s">
        <v>199</v>
      </c>
      <c r="G1" s="746"/>
      <c r="H1" s="747"/>
    </row>
    <row r="2" spans="1:8" ht="13.2" x14ac:dyDescent="0.25">
      <c r="A2" s="406"/>
      <c r="E2" s="407"/>
      <c r="F2" s="748" t="s">
        <v>178</v>
      </c>
      <c r="G2" s="748"/>
      <c r="H2" s="749"/>
    </row>
    <row r="3" spans="1:8" ht="13.2" x14ac:dyDescent="0.25">
      <c r="A3" s="409"/>
      <c r="H3" s="408"/>
    </row>
    <row r="4" spans="1:8" ht="13.2" thickBot="1" x14ac:dyDescent="0.3">
      <c r="A4" s="406"/>
      <c r="H4" s="408"/>
    </row>
    <row r="5" spans="1:8" ht="13.2" x14ac:dyDescent="0.25">
      <c r="A5" s="410" t="s">
        <v>194</v>
      </c>
      <c r="B5" s="59" t="str">
        <f xml:space="preserve"> [1]IFE!B6</f>
        <v>Cardon IV</v>
      </c>
      <c r="C5" s="4"/>
      <c r="D5" s="411"/>
      <c r="E5" s="412" t="s">
        <v>5</v>
      </c>
      <c r="F5" s="413">
        <f>SUM([1]IFE!$B$119)</f>
        <v>39989</v>
      </c>
      <c r="G5" s="411"/>
      <c r="H5" s="414"/>
    </row>
    <row r="6" spans="1:8" x14ac:dyDescent="0.25">
      <c r="A6" s="415" t="s">
        <v>200</v>
      </c>
      <c r="B6" s="62" t="str">
        <f xml:space="preserve"> [1]IFE!B8</f>
        <v>Perla-1X</v>
      </c>
      <c r="E6" s="416" t="s">
        <v>201</v>
      </c>
      <c r="F6" s="417">
        <f>SUM([1]IFE!$B$166)</f>
        <v>9</v>
      </c>
      <c r="H6" s="408"/>
    </row>
    <row r="7" spans="1:8" ht="13.2" thickBot="1" x14ac:dyDescent="0.3">
      <c r="A7" s="418"/>
      <c r="B7" s="419"/>
      <c r="C7" s="419"/>
      <c r="D7" s="419"/>
      <c r="E7" s="419"/>
      <c r="F7" s="419"/>
      <c r="G7" s="419"/>
      <c r="H7" s="420"/>
    </row>
    <row r="8" spans="1:8" x14ac:dyDescent="0.25">
      <c r="A8" s="421" t="s">
        <v>202</v>
      </c>
      <c r="B8" s="422" t="s">
        <v>203</v>
      </c>
      <c r="C8" s="422" t="s">
        <v>204</v>
      </c>
      <c r="D8" s="422" t="s">
        <v>205</v>
      </c>
      <c r="E8" s="422" t="s">
        <v>70</v>
      </c>
      <c r="F8" s="422" t="s">
        <v>206</v>
      </c>
      <c r="G8" s="758" t="s">
        <v>207</v>
      </c>
      <c r="H8" s="759"/>
    </row>
    <row r="9" spans="1:8" ht="9" customHeight="1" thickBot="1" x14ac:dyDescent="0.3">
      <c r="A9" s="423"/>
      <c r="B9" s="424" t="str">
        <f>[1]IFE!$B$32</f>
        <v>bbl</v>
      </c>
      <c r="C9" s="424" t="str">
        <f>[1]IFE!$B$39</f>
        <v>lb/gal</v>
      </c>
      <c r="D9" s="424" t="str">
        <f>[1]IFE!$B$32</f>
        <v>bbl</v>
      </c>
      <c r="E9" s="425"/>
      <c r="F9" s="425"/>
      <c r="G9" s="760"/>
      <c r="H9" s="761"/>
    </row>
    <row r="10" spans="1:8" ht="13.2" thickBot="1" x14ac:dyDescent="0.3">
      <c r="A10" s="426" t="str">
        <f>[1]IFE!$BN$3</f>
        <v>Pit # 3</v>
      </c>
      <c r="B10" s="427">
        <f>[1]IFE!$BN$423</f>
        <v>586</v>
      </c>
      <c r="C10" s="428">
        <f>[1]IFE!$BN$63</f>
        <v>0</v>
      </c>
      <c r="D10" s="428">
        <f>[1]IFE!$BN$93</f>
        <v>420</v>
      </c>
      <c r="E10" s="429">
        <f>[1]IFE!BN343</f>
        <v>0</v>
      </c>
      <c r="F10" s="430" t="str">
        <f>[1]IFE!$BN$33</f>
        <v>Reserve</v>
      </c>
      <c r="G10" s="431" t="s">
        <v>208</v>
      </c>
      <c r="H10" s="432" t="str">
        <f>[1]IFE!$B$32</f>
        <v>bbl</v>
      </c>
    </row>
    <row r="11" spans="1:8" x14ac:dyDescent="0.25">
      <c r="A11" s="433" t="str">
        <f>[1]IFE!$BN$4</f>
        <v>Trip tank # 1</v>
      </c>
      <c r="B11" s="434">
        <f>[1]IFE!$BN$424</f>
        <v>40</v>
      </c>
      <c r="C11" s="435">
        <f>[1]IFE!$BN$64</f>
        <v>0</v>
      </c>
      <c r="D11" s="435">
        <f>[1]IFE!$BN$94</f>
        <v>0</v>
      </c>
      <c r="E11" s="436">
        <f>[1]IFE!BN344</f>
        <v>0</v>
      </c>
      <c r="F11" s="437" t="str">
        <f>[1]IFE!$BN$34</f>
        <v>Reserve</v>
      </c>
      <c r="G11" s="438" t="s">
        <v>209</v>
      </c>
      <c r="H11" s="439">
        <f>[1]IFE!$BH$209</f>
        <v>0</v>
      </c>
    </row>
    <row r="12" spans="1:8" x14ac:dyDescent="0.25">
      <c r="A12" s="433" t="str">
        <f>[1]IFE!$BN$5</f>
        <v>Trip tank # 2</v>
      </c>
      <c r="B12" s="434">
        <f>[1]IFE!$BN$425</f>
        <v>40</v>
      </c>
      <c r="C12" s="435">
        <f>[1]IFE!$BN$65</f>
        <v>0</v>
      </c>
      <c r="D12" s="435">
        <f>[1]IFE!$BN$95</f>
        <v>0</v>
      </c>
      <c r="E12" s="436">
        <f>[1]IFE!BN345</f>
        <v>0</v>
      </c>
      <c r="F12" s="437" t="str">
        <f>[1]IFE!$BN$35</f>
        <v>Reserve</v>
      </c>
      <c r="G12" s="440" t="s">
        <v>210</v>
      </c>
      <c r="H12" s="441">
        <f>[1]IFE!$BH$210</f>
        <v>1418</v>
      </c>
    </row>
    <row r="13" spans="1:8" x14ac:dyDescent="0.25">
      <c r="A13" s="433" t="str">
        <f>[1]IFE!$BN$6</f>
        <v>Pit # 1</v>
      </c>
      <c r="B13" s="434">
        <f>[1]IFE!$BN$426</f>
        <v>512</v>
      </c>
      <c r="C13" s="435">
        <f>[1]IFE!$BN$66</f>
        <v>0</v>
      </c>
      <c r="D13" s="435">
        <f>[1]IFE!$BN$96</f>
        <v>501</v>
      </c>
      <c r="E13" s="436">
        <f>[1]IFE!BN346</f>
        <v>0</v>
      </c>
      <c r="F13" s="437" t="str">
        <f>[1]IFE!$BN$36</f>
        <v>Reserve</v>
      </c>
      <c r="G13" s="440" t="s">
        <v>211</v>
      </c>
      <c r="H13" s="442">
        <f>[1]IFE!$BH$211</f>
        <v>0</v>
      </c>
    </row>
    <row r="14" spans="1:8" x14ac:dyDescent="0.25">
      <c r="A14" s="433" t="str">
        <f>[1]IFE!$BN$7</f>
        <v>Pit # 2</v>
      </c>
      <c r="B14" s="434">
        <f>[1]IFE!$BN$427</f>
        <v>586</v>
      </c>
      <c r="C14" s="435">
        <f>[1]IFE!$BN$67</f>
        <v>0</v>
      </c>
      <c r="D14" s="435">
        <f>[1]IFE!$BN$97</f>
        <v>497</v>
      </c>
      <c r="E14" s="436">
        <f>[1]IFE!BN347</f>
        <v>0</v>
      </c>
      <c r="F14" s="437" t="str">
        <f>[1]IFE!$BN$37</f>
        <v>Reserve</v>
      </c>
      <c r="G14" s="443" t="s">
        <v>212</v>
      </c>
      <c r="H14" s="444"/>
    </row>
    <row r="15" spans="1:8" x14ac:dyDescent="0.25">
      <c r="A15" s="433" t="str">
        <f>[1]IFE!$BN$8</f>
        <v>Slug Pit</v>
      </c>
      <c r="B15" s="434">
        <f>[1]IFE!$BN$428</f>
        <v>75</v>
      </c>
      <c r="C15" s="435">
        <f>[1]IFE!$BN$68</f>
        <v>0</v>
      </c>
      <c r="D15" s="435">
        <f>[1]IFE!$BN$98</f>
        <v>0</v>
      </c>
      <c r="E15" s="436">
        <f>[1]IFE!BN348</f>
        <v>0</v>
      </c>
      <c r="F15" s="437" t="str">
        <f>[1]IFE!$BN$38</f>
        <v>Reserve</v>
      </c>
      <c r="G15" s="445" t="str">
        <f>[1]IFE!$BG$213</f>
        <v>Base Oil</v>
      </c>
      <c r="H15" s="441">
        <f>[1]IFE!$BH$213</f>
        <v>0</v>
      </c>
    </row>
    <row r="16" spans="1:8" x14ac:dyDescent="0.25">
      <c r="A16" s="433" t="str">
        <f>[1]IFE!$BN$9</f>
        <v>Sand Traps</v>
      </c>
      <c r="B16" s="434">
        <f>[1]IFE!$BN$429</f>
        <v>170</v>
      </c>
      <c r="C16" s="435">
        <f>[1]IFE!$BN$69</f>
        <v>0</v>
      </c>
      <c r="D16" s="435">
        <f>[1]IFE!$BN$99</f>
        <v>0</v>
      </c>
      <c r="E16" s="436">
        <f>[1]IFE!BN349</f>
        <v>0</v>
      </c>
      <c r="F16" s="437" t="str">
        <f>[1]IFE!$BN$39</f>
        <v>Reserve</v>
      </c>
      <c r="G16" s="445" t="str">
        <f>[1]IFE!$BG$214</f>
        <v>Brine</v>
      </c>
      <c r="H16" s="441">
        <f>[1]IFE!$BH$214</f>
        <v>0</v>
      </c>
    </row>
    <row r="17" spans="1:8" x14ac:dyDescent="0.25">
      <c r="A17" s="433">
        <f>[1]IFE!$BN$10</f>
        <v>0</v>
      </c>
      <c r="B17" s="434">
        <f>[1]IFE!$BN$430</f>
        <v>0</v>
      </c>
      <c r="C17" s="435">
        <f>[1]IFE!$BN$70</f>
        <v>0</v>
      </c>
      <c r="D17" s="435">
        <f>[1]IFE!$BN$100</f>
        <v>0</v>
      </c>
      <c r="E17" s="436">
        <f>[1]IFE!BN350</f>
        <v>0</v>
      </c>
      <c r="F17" s="437">
        <f>[1]IFE!$BN$40</f>
        <v>0</v>
      </c>
      <c r="G17" s="445" t="str">
        <f>[1]IFE!$BG$215</f>
        <v>Hole</v>
      </c>
      <c r="H17" s="441">
        <f>[1]IFE!$BH$215</f>
        <v>0</v>
      </c>
    </row>
    <row r="18" spans="1:8" x14ac:dyDescent="0.25">
      <c r="A18" s="433">
        <f>[1]IFE!$BN$11</f>
        <v>0</v>
      </c>
      <c r="B18" s="434">
        <f>[1]IFE!$BN$431</f>
        <v>0</v>
      </c>
      <c r="C18" s="435">
        <f>[1]IFE!$BN$71</f>
        <v>0</v>
      </c>
      <c r="D18" s="435">
        <f>[1]IFE!$BN$101</f>
        <v>0</v>
      </c>
      <c r="E18" s="436">
        <f>[1]IFE!BN351</f>
        <v>0</v>
      </c>
      <c r="F18" s="437">
        <f>[1]IFE!$BN$41</f>
        <v>0</v>
      </c>
      <c r="G18" s="445">
        <f>[1]IFE!$BG$216</f>
        <v>0</v>
      </c>
      <c r="H18" s="441">
        <f>[1]IFE!$BH$216</f>
        <v>0</v>
      </c>
    </row>
    <row r="19" spans="1:8" x14ac:dyDescent="0.25">
      <c r="A19" s="433">
        <f>[1]IFE!$BN$12</f>
        <v>0</v>
      </c>
      <c r="B19" s="434">
        <f>[1]IFE!$BN$432</f>
        <v>0</v>
      </c>
      <c r="C19" s="435">
        <f>[1]IFE!$BN$72</f>
        <v>0</v>
      </c>
      <c r="D19" s="435">
        <f>[1]IFE!$BN$102</f>
        <v>0</v>
      </c>
      <c r="E19" s="436">
        <f>[1]IFE!BN352</f>
        <v>0</v>
      </c>
      <c r="F19" s="437">
        <f>[1]IFE!$BN$42</f>
        <v>0</v>
      </c>
      <c r="G19" s="446">
        <f>[1]IFE!$BG$217</f>
        <v>0</v>
      </c>
      <c r="H19" s="441">
        <f>[1]IFE!$BH$217</f>
        <v>0</v>
      </c>
    </row>
    <row r="20" spans="1:8" x14ac:dyDescent="0.25">
      <c r="A20" s="433">
        <f>[1]IFE!$BN$13</f>
        <v>0</v>
      </c>
      <c r="B20" s="434">
        <f>[1]IFE!$BN$433</f>
        <v>0</v>
      </c>
      <c r="C20" s="435">
        <f>[1]IFE!$BN$73</f>
        <v>0</v>
      </c>
      <c r="D20" s="435">
        <f>[1]IFE!$BN$103</f>
        <v>0</v>
      </c>
      <c r="E20" s="436">
        <f>[1]IFE!BN353</f>
        <v>0</v>
      </c>
      <c r="F20" s="437">
        <f>[1]IFE!$BN$43</f>
        <v>0</v>
      </c>
      <c r="G20" s="446">
        <f>[1]IFE!$BG$218</f>
        <v>0</v>
      </c>
      <c r="H20" s="441">
        <f>[1]IFE!$BH$218</f>
        <v>0</v>
      </c>
    </row>
    <row r="21" spans="1:8" x14ac:dyDescent="0.25">
      <c r="A21" s="433">
        <f>[1]IFE!$BN$14</f>
        <v>0</v>
      </c>
      <c r="B21" s="434">
        <f>[1]IFE!$BN$434</f>
        <v>0</v>
      </c>
      <c r="C21" s="435">
        <f>[1]IFE!$BN$74</f>
        <v>0</v>
      </c>
      <c r="D21" s="435">
        <f>[1]IFE!$BN$104</f>
        <v>0</v>
      </c>
      <c r="E21" s="436">
        <f>[1]IFE!BN354</f>
        <v>0</v>
      </c>
      <c r="F21" s="437">
        <f>[1]IFE!$BN$44</f>
        <v>0</v>
      </c>
      <c r="G21" s="446">
        <f>[1]IFE!$BG$219</f>
        <v>0</v>
      </c>
      <c r="H21" s="441">
        <f>[1]IFE!$BH$219</f>
        <v>0</v>
      </c>
    </row>
    <row r="22" spans="1:8" x14ac:dyDescent="0.25">
      <c r="A22" s="433">
        <f>[1]IFE!$BN$15</f>
        <v>0</v>
      </c>
      <c r="B22" s="434">
        <f>[1]IFE!$BN$435</f>
        <v>0</v>
      </c>
      <c r="C22" s="435">
        <f>[1]IFE!$BN$75</f>
        <v>0</v>
      </c>
      <c r="D22" s="435">
        <f>[1]IFE!$BN$105</f>
        <v>0</v>
      </c>
      <c r="E22" s="436">
        <f>[1]IFE!BN355</f>
        <v>0</v>
      </c>
      <c r="F22" s="437">
        <f>[1]IFE!$BN$45</f>
        <v>0</v>
      </c>
      <c r="G22" s="446">
        <f>[1]IFE!$BG$220</f>
        <v>0</v>
      </c>
      <c r="H22" s="441">
        <f>[1]IFE!$BH$220</f>
        <v>0</v>
      </c>
    </row>
    <row r="23" spans="1:8" x14ac:dyDescent="0.25">
      <c r="A23" s="433">
        <f>[1]IFE!$BN$16</f>
        <v>0</v>
      </c>
      <c r="B23" s="434">
        <f>[1]IFE!$BN$436</f>
        <v>0</v>
      </c>
      <c r="C23" s="435">
        <f>[1]IFE!$BN$76</f>
        <v>0</v>
      </c>
      <c r="D23" s="435">
        <f>[1]IFE!$BN$106</f>
        <v>0</v>
      </c>
      <c r="E23" s="436">
        <f>[1]IFE!BN356</f>
        <v>0</v>
      </c>
      <c r="F23" s="437">
        <f>[1]IFE!$BN$46</f>
        <v>0</v>
      </c>
      <c r="G23" s="446">
        <f>[1]IFE!$BG$221</f>
        <v>0</v>
      </c>
      <c r="H23" s="441">
        <f>[1]IFE!$BH$221</f>
        <v>0</v>
      </c>
    </row>
    <row r="24" spans="1:8" x14ac:dyDescent="0.25">
      <c r="A24" s="433">
        <f>[1]IFE!$BN$17</f>
        <v>0</v>
      </c>
      <c r="B24" s="434">
        <f>[1]IFE!$BN$437</f>
        <v>0</v>
      </c>
      <c r="C24" s="435">
        <f>[1]IFE!$BN$77</f>
        <v>0</v>
      </c>
      <c r="D24" s="435">
        <f>[1]IFE!$BN$107</f>
        <v>0</v>
      </c>
      <c r="E24" s="436">
        <f>[1]IFE!BN357</f>
        <v>0</v>
      </c>
      <c r="F24" s="437">
        <f>[1]IFE!$BN$47</f>
        <v>0</v>
      </c>
      <c r="G24" s="446">
        <f>[1]IFE!$BG$222</f>
        <v>0</v>
      </c>
      <c r="H24" s="441">
        <f>[1]IFE!$BH$222</f>
        <v>0</v>
      </c>
    </row>
    <row r="25" spans="1:8" x14ac:dyDescent="0.25">
      <c r="A25" s="433">
        <f>[1]IFE!$BN$18</f>
        <v>0</v>
      </c>
      <c r="B25" s="434">
        <f>[1]IFE!$BN$438</f>
        <v>0</v>
      </c>
      <c r="C25" s="435">
        <f>[1]IFE!$BN$78</f>
        <v>0</v>
      </c>
      <c r="D25" s="435">
        <f>[1]IFE!$BN$108</f>
        <v>0</v>
      </c>
      <c r="E25" s="436">
        <f>[1]IFE!BN358</f>
        <v>0</v>
      </c>
      <c r="F25" s="437">
        <f>[1]IFE!$BN$48</f>
        <v>0</v>
      </c>
      <c r="G25" s="446">
        <f>[1]IFE!$BG$223</f>
        <v>0</v>
      </c>
      <c r="H25" s="441">
        <f>[1]IFE!$BH$223</f>
        <v>0</v>
      </c>
    </row>
    <row r="26" spans="1:8" x14ac:dyDescent="0.25">
      <c r="A26" s="433">
        <f>[1]IFE!$BN$19</f>
        <v>0</v>
      </c>
      <c r="B26" s="434">
        <f>[1]IFE!$BN$439</f>
        <v>0</v>
      </c>
      <c r="C26" s="435">
        <f>[1]IFE!$BN$79</f>
        <v>0</v>
      </c>
      <c r="D26" s="435">
        <f>[1]IFE!$BN$109</f>
        <v>0</v>
      </c>
      <c r="E26" s="436">
        <f>[1]IFE!BN359</f>
        <v>0</v>
      </c>
      <c r="F26" s="437">
        <f>[1]IFE!$BN$49</f>
        <v>0</v>
      </c>
      <c r="G26" s="446">
        <f>[1]IFE!$BG$224</f>
        <v>0</v>
      </c>
      <c r="H26" s="441">
        <f>[1]IFE!$BH$224</f>
        <v>0</v>
      </c>
    </row>
    <row r="27" spans="1:8" x14ac:dyDescent="0.25">
      <c r="A27" s="433">
        <f>[1]IFE!$BN$20</f>
        <v>0</v>
      </c>
      <c r="B27" s="434">
        <f>[1]IFE!$BN$440</f>
        <v>0</v>
      </c>
      <c r="C27" s="435">
        <f>[1]IFE!$BN$80</f>
        <v>0</v>
      </c>
      <c r="D27" s="435">
        <f>[1]IFE!$BN$110</f>
        <v>0</v>
      </c>
      <c r="E27" s="436">
        <f>[1]IFE!BN360</f>
        <v>0</v>
      </c>
      <c r="F27" s="437">
        <f>[1]IFE!$BN$50</f>
        <v>0</v>
      </c>
      <c r="G27" s="446">
        <f>[1]IFE!$BG$225</f>
        <v>0</v>
      </c>
      <c r="H27" s="441">
        <f>[1]IFE!$BH$225</f>
        <v>0</v>
      </c>
    </row>
    <row r="28" spans="1:8" ht="13.2" thickBot="1" x14ac:dyDescent="0.3">
      <c r="A28" s="433">
        <f>[1]IFE!$BN$21</f>
        <v>0</v>
      </c>
      <c r="B28" s="434">
        <f>[1]IFE!$BN$441</f>
        <v>0</v>
      </c>
      <c r="C28" s="435">
        <f>[1]IFE!$BN$81</f>
        <v>0</v>
      </c>
      <c r="D28" s="435">
        <f>[1]IFE!$BN$111</f>
        <v>0</v>
      </c>
      <c r="E28" s="436">
        <f>[1]IFE!BN361</f>
        <v>0</v>
      </c>
      <c r="F28" s="437">
        <f>[1]IFE!$BN$51</f>
        <v>0</v>
      </c>
      <c r="G28" s="640">
        <f>[1]IFE!$BG$226</f>
        <v>0</v>
      </c>
      <c r="H28" s="641">
        <f>[1]IFE!$BH$226</f>
        <v>0</v>
      </c>
    </row>
    <row r="29" spans="1:8" ht="13.2" thickTop="1" x14ac:dyDescent="0.25">
      <c r="A29" s="433">
        <f>[1]IFE!$BN$22</f>
        <v>0</v>
      </c>
      <c r="B29" s="434">
        <f>[1]IFE!$BN$442</f>
        <v>0</v>
      </c>
      <c r="C29" s="435">
        <f>[1]IFE!$BN$82</f>
        <v>0</v>
      </c>
      <c r="D29" s="435">
        <f>[1]IFE!$BN$112</f>
        <v>0</v>
      </c>
      <c r="E29" s="436">
        <f>[1]IFE!BN362</f>
        <v>0</v>
      </c>
      <c r="F29" s="642">
        <f>[1]IFE!$BN$52</f>
        <v>0</v>
      </c>
      <c r="G29" s="643"/>
      <c r="H29" s="644"/>
    </row>
    <row r="30" spans="1:8" x14ac:dyDescent="0.25">
      <c r="A30" s="433">
        <f>[1]IFE!$BN$23</f>
        <v>0</v>
      </c>
      <c r="B30" s="434">
        <f>[1]IFE!$BN$443</f>
        <v>0</v>
      </c>
      <c r="C30" s="435">
        <f>[1]IFE!$BN$83</f>
        <v>0</v>
      </c>
      <c r="D30" s="435">
        <f>[1]IFE!$BN$113</f>
        <v>0</v>
      </c>
      <c r="E30" s="436">
        <f>[1]IFE!BN363</f>
        <v>0</v>
      </c>
      <c r="F30" s="642">
        <f>[1]IFE!$BN$53</f>
        <v>0</v>
      </c>
      <c r="H30" s="408"/>
    </row>
    <row r="31" spans="1:8" x14ac:dyDescent="0.25">
      <c r="A31" s="433">
        <f>[1]IFE!$BN$24</f>
        <v>0</v>
      </c>
      <c r="B31" s="434">
        <f>[1]IFE!$BN$444</f>
        <v>0</v>
      </c>
      <c r="C31" s="435">
        <f>[1]IFE!$BN$84</f>
        <v>0</v>
      </c>
      <c r="D31" s="435">
        <f>[1]IFE!$BN$114</f>
        <v>0</v>
      </c>
      <c r="E31" s="436">
        <f>[1]IFE!BN364</f>
        <v>0</v>
      </c>
      <c r="F31" s="642">
        <f>[1]IFE!$BN$54</f>
        <v>0</v>
      </c>
      <c r="H31" s="408"/>
    </row>
    <row r="32" spans="1:8" x14ac:dyDescent="0.25">
      <c r="A32" s="449">
        <f>[1]IFE!$BN$25</f>
        <v>0</v>
      </c>
      <c r="B32" s="645">
        <f>[1]IFE!$BN$445</f>
        <v>0</v>
      </c>
      <c r="C32" s="646">
        <f>[1]IFE!$BN$85</f>
        <v>0</v>
      </c>
      <c r="D32" s="646">
        <f>[1]IFE!$BN$115</f>
        <v>0</v>
      </c>
      <c r="E32" s="436">
        <f>[1]IFE!BN365</f>
        <v>0</v>
      </c>
      <c r="F32" s="647">
        <f>[1]IFE!$BN$55</f>
        <v>0</v>
      </c>
      <c r="H32" s="408"/>
    </row>
    <row r="33" spans="1:8" x14ac:dyDescent="0.25">
      <c r="A33" s="433">
        <f>[1]IFE!$BN26</f>
        <v>0</v>
      </c>
      <c r="B33" s="434">
        <f>[1]IFE!$BN446</f>
        <v>0</v>
      </c>
      <c r="C33" s="435">
        <f>[1]IFE!$BN86</f>
        <v>0</v>
      </c>
      <c r="D33" s="435">
        <f>[1]IFE!$BN116</f>
        <v>0</v>
      </c>
      <c r="E33" s="436">
        <f>[1]IFE!BN366</f>
        <v>0</v>
      </c>
      <c r="F33" s="648">
        <f>[1]IFE!$BN56</f>
        <v>0</v>
      </c>
      <c r="H33" s="408"/>
    </row>
    <row r="34" spans="1:8" x14ac:dyDescent="0.25">
      <c r="A34" s="433">
        <f>[1]IFE!$BN27</f>
        <v>0</v>
      </c>
      <c r="B34" s="434">
        <f>[1]IFE!$BN447</f>
        <v>0</v>
      </c>
      <c r="C34" s="435">
        <f>[1]IFE!$BN87</f>
        <v>0</v>
      </c>
      <c r="D34" s="435">
        <f>[1]IFE!$BN117</f>
        <v>0</v>
      </c>
      <c r="E34" s="436">
        <f>[1]IFE!BN367</f>
        <v>0</v>
      </c>
      <c r="F34" s="648">
        <f>[1]IFE!$BN57</f>
        <v>0</v>
      </c>
      <c r="H34" s="408"/>
    </row>
    <row r="35" spans="1:8" x14ac:dyDescent="0.25">
      <c r="A35" s="433">
        <f>[1]IFE!$BN28</f>
        <v>0</v>
      </c>
      <c r="B35" s="434">
        <f>[1]IFE!$BN448</f>
        <v>0</v>
      </c>
      <c r="C35" s="435">
        <f>[1]IFE!$BN88</f>
        <v>0</v>
      </c>
      <c r="D35" s="435">
        <f>[1]IFE!$BN118</f>
        <v>0</v>
      </c>
      <c r="E35" s="436">
        <f>[1]IFE!BN368</f>
        <v>0</v>
      </c>
      <c r="F35" s="648">
        <f>[1]IFE!$BN58</f>
        <v>0</v>
      </c>
      <c r="H35" s="408"/>
    </row>
    <row r="36" spans="1:8" x14ac:dyDescent="0.25">
      <c r="A36" s="433">
        <f>[1]IFE!$BN29</f>
        <v>0</v>
      </c>
      <c r="B36" s="434">
        <f>[1]IFE!$BN449</f>
        <v>0</v>
      </c>
      <c r="C36" s="435">
        <f>[1]IFE!$BN89</f>
        <v>0</v>
      </c>
      <c r="D36" s="435">
        <f>[1]IFE!$BN119</f>
        <v>0</v>
      </c>
      <c r="E36" s="436">
        <f>[1]IFE!BN369</f>
        <v>0</v>
      </c>
      <c r="F36" s="648">
        <f>[1]IFE!$BN59</f>
        <v>0</v>
      </c>
      <c r="H36" s="408"/>
    </row>
    <row r="37" spans="1:8" x14ac:dyDescent="0.25">
      <c r="A37" s="433">
        <f>[1]IFE!$BN30</f>
        <v>0</v>
      </c>
      <c r="B37" s="434">
        <f>[1]IFE!$BN450</f>
        <v>0</v>
      </c>
      <c r="C37" s="435">
        <f>[1]IFE!$BN90</f>
        <v>0</v>
      </c>
      <c r="D37" s="435">
        <f>[1]IFE!$BN120</f>
        <v>0</v>
      </c>
      <c r="E37" s="436">
        <f>[1]IFE!BN370</f>
        <v>0</v>
      </c>
      <c r="F37" s="648">
        <f>[1]IFE!$BN60</f>
        <v>0</v>
      </c>
      <c r="H37" s="408"/>
    </row>
    <row r="38" spans="1:8" x14ac:dyDescent="0.25">
      <c r="A38" s="433">
        <f>[1]IFE!$BN31</f>
        <v>0</v>
      </c>
      <c r="B38" s="434">
        <f>[1]IFE!$BN451</f>
        <v>0</v>
      </c>
      <c r="C38" s="435">
        <f>[1]IFE!$BN91</f>
        <v>0</v>
      </c>
      <c r="D38" s="435">
        <f>[1]IFE!$BN121</f>
        <v>0</v>
      </c>
      <c r="E38" s="436">
        <f>[1]IFE!BN371</f>
        <v>0</v>
      </c>
      <c r="F38" s="648">
        <f>[1]IFE!$BN61</f>
        <v>0</v>
      </c>
      <c r="H38" s="408"/>
    </row>
    <row r="39" spans="1:8" ht="13.2" thickBot="1" x14ac:dyDescent="0.3">
      <c r="A39" s="649">
        <f>[1]IFE!$BN32</f>
        <v>0</v>
      </c>
      <c r="B39" s="650">
        <f>[1]IFE!$BN452</f>
        <v>0</v>
      </c>
      <c r="C39" s="651">
        <f>[1]IFE!$BN92</f>
        <v>0</v>
      </c>
      <c r="D39" s="651">
        <f>[1]IFE!$BN122</f>
        <v>0</v>
      </c>
      <c r="E39" s="652">
        <f>[1]IFE!BN372</f>
        <v>0</v>
      </c>
      <c r="F39" s="653">
        <f>[1]IFE!$BN62</f>
        <v>0</v>
      </c>
      <c r="G39" s="654"/>
      <c r="H39" s="655"/>
    </row>
    <row r="40" spans="1:8" ht="13.8" thickTop="1" x14ac:dyDescent="0.25">
      <c r="A40" s="406"/>
      <c r="C40" s="656" t="s">
        <v>242</v>
      </c>
      <c r="H40" s="408"/>
    </row>
    <row r="41" spans="1:8" x14ac:dyDescent="0.25">
      <c r="A41" s="449" t="s">
        <v>213</v>
      </c>
      <c r="B41" s="450" t="s">
        <v>214</v>
      </c>
      <c r="C41" s="744" t="s">
        <v>215</v>
      </c>
      <c r="D41" s="745"/>
      <c r="E41" s="752" t="s">
        <v>216</v>
      </c>
      <c r="F41" s="753"/>
      <c r="G41" s="764" t="s">
        <v>217</v>
      </c>
      <c r="H41" s="765"/>
    </row>
    <row r="42" spans="1:8" ht="3" customHeight="1" x14ac:dyDescent="0.25">
      <c r="A42" s="451"/>
      <c r="B42" s="452"/>
      <c r="C42" s="754"/>
      <c r="D42" s="755"/>
      <c r="E42" s="754"/>
      <c r="F42" s="755"/>
      <c r="G42" s="766"/>
      <c r="H42" s="767"/>
    </row>
    <row r="43" spans="1:8" x14ac:dyDescent="0.25">
      <c r="A43" s="433" t="s">
        <v>218</v>
      </c>
      <c r="B43" s="436">
        <f>[1]IFE!$BE$84</f>
        <v>0</v>
      </c>
      <c r="C43" s="750">
        <f>[1]IFE!$BE$83</f>
        <v>0</v>
      </c>
      <c r="D43" s="751"/>
      <c r="E43" s="750">
        <f>[1]IFE!$BE$85</f>
        <v>429</v>
      </c>
      <c r="F43" s="751"/>
      <c r="G43" s="756">
        <f>B43+C43+E43</f>
        <v>429</v>
      </c>
      <c r="H43" s="757"/>
    </row>
    <row r="44" spans="1:8" x14ac:dyDescent="0.25">
      <c r="A44" s="433" t="s">
        <v>219</v>
      </c>
      <c r="B44" s="436">
        <f>[1]IFE!$BE$36</f>
        <v>0</v>
      </c>
      <c r="C44" s="750">
        <f>[1]IFE!$BE$37</f>
        <v>0</v>
      </c>
      <c r="D44" s="751"/>
      <c r="E44" s="750">
        <f>[1]IFE!$BE$38</f>
        <v>429</v>
      </c>
      <c r="F44" s="751"/>
      <c r="G44" s="756">
        <f>B44+C44+E44</f>
        <v>429</v>
      </c>
      <c r="H44" s="757"/>
    </row>
    <row r="45" spans="1:8" ht="13.2" thickBot="1" x14ac:dyDescent="0.3">
      <c r="A45" s="453" t="s">
        <v>220</v>
      </c>
      <c r="B45" s="448">
        <f>B43-B44</f>
        <v>0</v>
      </c>
      <c r="C45" s="742">
        <f>C43-C44</f>
        <v>0</v>
      </c>
      <c r="D45" s="743"/>
      <c r="E45" s="742">
        <f>E43-E44</f>
        <v>0</v>
      </c>
      <c r="F45" s="743"/>
      <c r="G45" s="768">
        <f>G43-G44</f>
        <v>0</v>
      </c>
      <c r="H45" s="769"/>
    </row>
    <row r="46" spans="1:8" ht="0.75" customHeight="1" thickBot="1" x14ac:dyDescent="0.3">
      <c r="A46" s="418"/>
      <c r="B46" s="419"/>
      <c r="C46" s="419"/>
      <c r="D46" s="419"/>
      <c r="E46" s="419"/>
      <c r="F46" s="419"/>
      <c r="G46" s="454"/>
      <c r="H46" s="455"/>
    </row>
    <row r="47" spans="1:8" ht="13.2" x14ac:dyDescent="0.25">
      <c r="A47" s="406"/>
      <c r="C47" s="657" t="s">
        <v>243</v>
      </c>
      <c r="G47" s="762" t="s">
        <v>244</v>
      </c>
      <c r="H47" s="763"/>
    </row>
    <row r="48" spans="1:8" ht="12.75" customHeight="1" x14ac:dyDescent="0.25">
      <c r="A48" s="770" t="s">
        <v>221</v>
      </c>
      <c r="B48" s="745"/>
      <c r="C48" s="450" t="s">
        <v>222</v>
      </c>
      <c r="D48" s="450" t="s">
        <v>223</v>
      </c>
      <c r="E48" s="450" t="s">
        <v>224</v>
      </c>
      <c r="F48" s="456" t="s">
        <v>217</v>
      </c>
      <c r="G48" s="457" t="str">
        <f>[1]IFE!$BD$40</f>
        <v>Shakers</v>
      </c>
      <c r="H48" s="458">
        <f>[1]IFE!$BE$40</f>
        <v>0</v>
      </c>
    </row>
    <row r="49" spans="1:8" ht="12.75" customHeight="1" x14ac:dyDescent="0.25">
      <c r="A49" s="459"/>
      <c r="B49" s="460"/>
      <c r="C49" s="461"/>
      <c r="D49" s="461"/>
      <c r="E49" s="461"/>
      <c r="F49" s="462"/>
      <c r="G49" s="457" t="str">
        <f>[1]IFE!$BD$41</f>
        <v>Evaporation</v>
      </c>
      <c r="H49" s="458">
        <f>[1]IFE!$BE$41</f>
        <v>0</v>
      </c>
    </row>
    <row r="50" spans="1:8" ht="13.2" x14ac:dyDescent="0.25">
      <c r="A50" s="463" t="s">
        <v>225</v>
      </c>
      <c r="B50" s="464"/>
      <c r="C50" s="628">
        <f>[1]IFE!B330</f>
        <v>0</v>
      </c>
      <c r="D50" s="628">
        <f>[1]IFE!C330</f>
        <v>1419</v>
      </c>
      <c r="E50" s="628">
        <f>[1]IFE!D330</f>
        <v>0</v>
      </c>
      <c r="F50" s="629">
        <f>[1]IFE!E330</f>
        <v>1419</v>
      </c>
      <c r="G50" s="457" t="str">
        <f>[1]IFE!$BD$42</f>
        <v>Centrifuge</v>
      </c>
      <c r="H50" s="458">
        <f>[1]IFE!$BE$42</f>
        <v>0</v>
      </c>
    </row>
    <row r="51" spans="1:8" ht="13.2" x14ac:dyDescent="0.25">
      <c r="A51" s="465" t="s">
        <v>73</v>
      </c>
      <c r="B51" s="464"/>
      <c r="C51" s="628">
        <f>[1]IFE!B331</f>
        <v>0</v>
      </c>
      <c r="D51" s="628">
        <f>[1]IFE!C331</f>
        <v>0</v>
      </c>
      <c r="E51" s="628">
        <f>[1]IFE!D331</f>
        <v>0</v>
      </c>
      <c r="F51" s="629">
        <f>[1]IFE!E331</f>
        <v>0</v>
      </c>
      <c r="G51" s="457" t="str">
        <f>[1]IFE!$BD$43</f>
        <v>Formation</v>
      </c>
      <c r="H51" s="458">
        <f>[1]IFE!$BE$43</f>
        <v>0</v>
      </c>
    </row>
    <row r="52" spans="1:8" ht="13.2" x14ac:dyDescent="0.25">
      <c r="A52" s="465" t="s">
        <v>76</v>
      </c>
      <c r="B52" s="464"/>
      <c r="C52" s="628">
        <f>[1]IFE!B332</f>
        <v>0</v>
      </c>
      <c r="D52" s="628">
        <f>[1]IFE!C332</f>
        <v>0</v>
      </c>
      <c r="E52" s="628">
        <f>[1]IFE!D332</f>
        <v>0</v>
      </c>
      <c r="F52" s="630">
        <f>[1]IFE!E332</f>
        <v>0</v>
      </c>
      <c r="G52" s="457" t="str">
        <f>[1]IFE!$BD$44</f>
        <v>Left in Hole</v>
      </c>
      <c r="H52" s="458">
        <f>[1]IFE!$BE$44</f>
        <v>0</v>
      </c>
    </row>
    <row r="53" spans="1:8" ht="13.2" x14ac:dyDescent="0.25">
      <c r="A53" s="465" t="s">
        <v>226</v>
      </c>
      <c r="B53" s="464"/>
      <c r="C53" s="628">
        <f>[1]IFE!B333</f>
        <v>0</v>
      </c>
      <c r="D53" s="628">
        <f>[1]IFE!C333</f>
        <v>0</v>
      </c>
      <c r="E53" s="628">
        <f>[1]IFE!D333</f>
        <v>0</v>
      </c>
      <c r="F53" s="629">
        <f>[1]IFE!E333</f>
        <v>0</v>
      </c>
      <c r="G53" s="457" t="str">
        <f>[1]IFE!$BD$45</f>
        <v>Other</v>
      </c>
      <c r="H53" s="458">
        <f>[1]IFE!$BE$45</f>
        <v>0</v>
      </c>
    </row>
    <row r="54" spans="1:8" ht="13.2" x14ac:dyDescent="0.25">
      <c r="A54" s="465" t="s">
        <v>227</v>
      </c>
      <c r="B54" s="464"/>
      <c r="C54" s="628">
        <f>[1]IFE!B334</f>
        <v>0</v>
      </c>
      <c r="D54" s="628">
        <f>[1]IFE!C334</f>
        <v>0</v>
      </c>
      <c r="E54" s="628">
        <f>[1]IFE!D334</f>
        <v>0</v>
      </c>
      <c r="F54" s="630">
        <f>[1]IFE!E334</f>
        <v>0</v>
      </c>
      <c r="G54" s="457" t="str">
        <f>[1]IFE!$BD$46</f>
        <v>Discharged</v>
      </c>
      <c r="H54" s="458">
        <f>[1]IFE!$BE$46</f>
        <v>0</v>
      </c>
    </row>
    <row r="55" spans="1:8" ht="13.2" x14ac:dyDescent="0.25">
      <c r="A55" s="463" t="s">
        <v>228</v>
      </c>
      <c r="B55" s="464"/>
      <c r="C55" s="631">
        <f>[1]IFE!B335</f>
        <v>0</v>
      </c>
      <c r="D55" s="631">
        <f>[1]IFE!C335</f>
        <v>0</v>
      </c>
      <c r="E55" s="631">
        <f>[1]IFE!D335</f>
        <v>0</v>
      </c>
      <c r="F55" s="632">
        <f>[1]IFE!E335</f>
        <v>0</v>
      </c>
      <c r="G55" s="457" t="str">
        <f>[1]IFE!$BD$47</f>
        <v>Pit Cleaning</v>
      </c>
      <c r="H55" s="458">
        <f>[1]IFE!$BE$47</f>
        <v>0</v>
      </c>
    </row>
    <row r="56" spans="1:8" ht="13.2" x14ac:dyDescent="0.25">
      <c r="A56" s="465" t="s">
        <v>98</v>
      </c>
      <c r="B56" s="466"/>
      <c r="C56" s="628">
        <f>[1]IFE!B336</f>
        <v>0</v>
      </c>
      <c r="D56" s="628">
        <f>[1]IFE!C336</f>
        <v>0</v>
      </c>
      <c r="E56" s="628">
        <f>[1]IFE!D336</f>
        <v>0</v>
      </c>
      <c r="F56" s="629">
        <f>[1]IFE!E336</f>
        <v>0</v>
      </c>
      <c r="G56" s="440">
        <f>[1]IFE!$BD$48</f>
        <v>0</v>
      </c>
      <c r="H56" s="458">
        <f>[1]IFE!$BE$48</f>
        <v>0</v>
      </c>
    </row>
    <row r="57" spans="1:8" ht="13.2" x14ac:dyDescent="0.25">
      <c r="A57" s="465" t="s">
        <v>99</v>
      </c>
      <c r="B57" s="466"/>
      <c r="C57" s="628">
        <f>[1]IFE!B337</f>
        <v>0</v>
      </c>
      <c r="D57" s="628">
        <f>[1]IFE!C337</f>
        <v>0</v>
      </c>
      <c r="E57" s="628">
        <f>[1]IFE!D337</f>
        <v>0</v>
      </c>
      <c r="F57" s="629">
        <f>[1]IFE!E337</f>
        <v>0</v>
      </c>
      <c r="G57" s="440">
        <f>[1]IFE!$BD$49</f>
        <v>0</v>
      </c>
      <c r="H57" s="458">
        <f>[1]IFE!$BE$49</f>
        <v>0</v>
      </c>
    </row>
    <row r="58" spans="1:8" ht="13.2" x14ac:dyDescent="0.25">
      <c r="A58" s="465" t="s">
        <v>229</v>
      </c>
      <c r="B58" s="464"/>
      <c r="C58" s="633"/>
      <c r="D58" s="634">
        <f>[1]IFE!C338</f>
        <v>0</v>
      </c>
      <c r="E58" s="634">
        <f>[1]IFE!D338</f>
        <v>0</v>
      </c>
      <c r="F58" s="635">
        <f>[1]IFE!E338</f>
        <v>0</v>
      </c>
      <c r="G58" s="440"/>
      <c r="H58" s="458"/>
    </row>
    <row r="59" spans="1:8" ht="13.2" x14ac:dyDescent="0.25">
      <c r="A59" s="465" t="s">
        <v>230</v>
      </c>
      <c r="B59" s="464"/>
      <c r="C59" s="628">
        <f>[1]IFE!B339</f>
        <v>0</v>
      </c>
      <c r="D59" s="633"/>
      <c r="E59" s="634">
        <f>[1]IFE!D339</f>
        <v>0</v>
      </c>
      <c r="F59" s="635">
        <f>[1]IFE!E339</f>
        <v>0</v>
      </c>
      <c r="G59" s="447"/>
      <c r="H59" s="458"/>
    </row>
    <row r="60" spans="1:8" ht="13.2" x14ac:dyDescent="0.25">
      <c r="A60" s="465" t="s">
        <v>231</v>
      </c>
      <c r="B60" s="464"/>
      <c r="C60" s="628">
        <f>[1]IFE!B340</f>
        <v>0</v>
      </c>
      <c r="D60" s="628">
        <f>[1]IFE!C340</f>
        <v>0</v>
      </c>
      <c r="E60" s="633"/>
      <c r="F60" s="635">
        <f>[1]IFE!E340</f>
        <v>0</v>
      </c>
      <c r="G60" s="447"/>
      <c r="H60" s="458"/>
    </row>
    <row r="61" spans="1:8" ht="13.2" x14ac:dyDescent="0.25">
      <c r="A61" s="465" t="s">
        <v>232</v>
      </c>
      <c r="B61" s="464"/>
      <c r="C61" s="628">
        <f>[1]IFE!B341</f>
        <v>0</v>
      </c>
      <c r="D61" s="628">
        <f>[1]IFE!C341</f>
        <v>0</v>
      </c>
      <c r="E61" s="628">
        <f>[1]IFE!D341</f>
        <v>0</v>
      </c>
      <c r="F61" s="629">
        <f>[1]IFE!E341</f>
        <v>0</v>
      </c>
      <c r="G61" s="447"/>
      <c r="H61" s="458"/>
    </row>
    <row r="62" spans="1:8" ht="13.2" x14ac:dyDescent="0.25">
      <c r="A62" s="463" t="s">
        <v>233</v>
      </c>
      <c r="B62" s="464"/>
      <c r="C62" s="636">
        <f>[1]IFE!B342</f>
        <v>0</v>
      </c>
      <c r="D62" s="628">
        <f>[1]IFE!C342</f>
        <v>1419</v>
      </c>
      <c r="E62" s="637">
        <f>[1]IFE!D342</f>
        <v>0</v>
      </c>
      <c r="F62" s="629">
        <f>[1]IFE!E342</f>
        <v>1419</v>
      </c>
      <c r="G62" s="440" t="s">
        <v>234</v>
      </c>
      <c r="H62" s="467">
        <f>H48+H49+H50+H51+H52+H53+H54+H55+H56+H58</f>
        <v>0</v>
      </c>
    </row>
    <row r="63" spans="1:8" ht="13.8" thickBot="1" x14ac:dyDescent="0.3">
      <c r="A63" s="468"/>
      <c r="B63" s="469"/>
      <c r="C63" s="638"/>
      <c r="D63" s="638"/>
      <c r="E63" s="638"/>
      <c r="F63" s="639"/>
      <c r="G63" s="470"/>
      <c r="H63" s="471"/>
    </row>
    <row r="64" spans="1:8" ht="13.2" thickTop="1" x14ac:dyDescent="0.25"/>
  </sheetData>
  <mergeCells count="21">
    <mergeCell ref="A48:B48"/>
    <mergeCell ref="G47:H47"/>
    <mergeCell ref="G41:H41"/>
    <mergeCell ref="G42:H42"/>
    <mergeCell ref="G43:H43"/>
    <mergeCell ref="G45:H45"/>
    <mergeCell ref="E45:F45"/>
    <mergeCell ref="C41:D41"/>
    <mergeCell ref="F1:H1"/>
    <mergeCell ref="F2:H2"/>
    <mergeCell ref="E44:F44"/>
    <mergeCell ref="E41:F41"/>
    <mergeCell ref="E42:F42"/>
    <mergeCell ref="E43:F43"/>
    <mergeCell ref="G44:H44"/>
    <mergeCell ref="G8:H8"/>
    <mergeCell ref="G9:H9"/>
    <mergeCell ref="C45:D45"/>
    <mergeCell ref="C42:D42"/>
    <mergeCell ref="C43:D43"/>
    <mergeCell ref="C44:D44"/>
  </mergeCells>
  <phoneticPr fontId="0" type="noConversion"/>
  <pageMargins left="0.78" right="0.52" top="0.52" bottom="0.51" header="0.5" footer="0.5"/>
  <pageSetup scale="92" orientation="portrait" horizontalDpi="4294967292" verticalDpi="300"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
  <dimension ref="A1:AC181"/>
  <sheetViews>
    <sheetView showGridLines="0" showZeros="0" zoomScaleNormal="100" workbookViewId="0"/>
  </sheetViews>
  <sheetFormatPr baseColWidth="10" defaultColWidth="8.88671875" defaultRowHeight="13.2" x14ac:dyDescent="0.25"/>
  <cols>
    <col min="1" max="1" width="13.44140625" customWidth="1"/>
    <col min="2" max="2" width="7.5546875" customWidth="1"/>
    <col min="3" max="3" width="8.6640625" customWidth="1"/>
    <col min="4" max="4" width="7.5546875" customWidth="1"/>
    <col min="5" max="5" width="7.109375" customWidth="1"/>
    <col min="6" max="6" width="5.33203125" customWidth="1"/>
    <col min="7" max="7" width="6.6640625" customWidth="1"/>
    <col min="8" max="8" width="5.33203125" customWidth="1"/>
    <col min="9" max="10" width="6.6640625" customWidth="1"/>
    <col min="11" max="11" width="8.6640625" customWidth="1"/>
    <col min="12" max="12" width="6.6640625" customWidth="1"/>
    <col min="14" max="14" width="6.5546875" hidden="1" customWidth="1"/>
    <col min="15" max="15" width="0.109375" hidden="1" customWidth="1"/>
    <col min="18" max="18" width="11.109375" customWidth="1"/>
  </cols>
  <sheetData>
    <row r="1" spans="1:19" ht="20.100000000000001" customHeight="1" x14ac:dyDescent="0.3">
      <c r="E1" s="623"/>
      <c r="F1" s="623"/>
      <c r="G1" s="771" t="s">
        <v>196</v>
      </c>
      <c r="H1" s="771"/>
      <c r="I1" s="771"/>
      <c r="J1" s="771"/>
      <c r="K1" s="771"/>
      <c r="L1" s="771"/>
      <c r="M1" s="771"/>
    </row>
    <row r="2" spans="1:19" ht="24.9" customHeight="1" x14ac:dyDescent="0.25">
      <c r="E2" s="624"/>
      <c r="F2" s="624"/>
      <c r="G2" s="772" t="s">
        <v>178</v>
      </c>
      <c r="H2" s="772"/>
      <c r="I2" s="772"/>
      <c r="J2" s="772"/>
      <c r="K2" s="772"/>
      <c r="L2" s="772"/>
      <c r="M2" s="772"/>
    </row>
    <row r="3" spans="1:19" ht="12.75" customHeight="1" x14ac:dyDescent="0.25">
      <c r="A3" s="3"/>
      <c r="B3" s="283" t="s">
        <v>11</v>
      </c>
      <c r="C3" s="284" t="str">
        <f>[1]IFE!$B$6</f>
        <v>Cardon IV</v>
      </c>
      <c r="D3" s="284"/>
      <c r="E3" s="285"/>
      <c r="F3" s="3"/>
      <c r="G3" s="3"/>
      <c r="H3" s="3"/>
      <c r="I3" s="286" t="s">
        <v>179</v>
      </c>
      <c r="J3" s="777">
        <f>[1]IFE!$B$119</f>
        <v>39989</v>
      </c>
      <c r="K3" s="777"/>
      <c r="L3" s="287"/>
    </row>
    <row r="4" spans="1:19" ht="12.75" customHeight="1" x14ac:dyDescent="0.25">
      <c r="A4" s="3"/>
      <c r="B4" s="283" t="s">
        <v>8</v>
      </c>
      <c r="C4" s="284" t="str">
        <f>[1]IFE!$B$8</f>
        <v>Perla-1X</v>
      </c>
      <c r="D4" s="284"/>
      <c r="E4" s="3"/>
      <c r="F4" s="3"/>
      <c r="G4" s="3"/>
      <c r="H4" s="3"/>
      <c r="I4" s="288" t="s">
        <v>180</v>
      </c>
      <c r="J4" s="289">
        <f>[1]IFE!$B$166</f>
        <v>9</v>
      </c>
      <c r="K4" s="3"/>
      <c r="M4" s="290"/>
    </row>
    <row r="5" spans="1:19" ht="12.75" customHeight="1" thickBot="1" x14ac:dyDescent="0.3">
      <c r="A5" s="3"/>
      <c r="B5" s="283" t="s">
        <v>181</v>
      </c>
      <c r="C5" s="291" t="str">
        <f>[1]IFE!$B$11</f>
        <v>Offshore</v>
      </c>
      <c r="D5" s="291"/>
      <c r="E5" s="283"/>
      <c r="F5" s="284"/>
      <c r="G5" s="3"/>
      <c r="H5" s="3"/>
      <c r="I5" s="283" t="s">
        <v>182</v>
      </c>
      <c r="J5" s="292">
        <v>1</v>
      </c>
      <c r="K5" s="3"/>
      <c r="M5" s="290"/>
    </row>
    <row r="6" spans="1:19" ht="12.75" customHeight="1" thickTop="1" x14ac:dyDescent="0.25">
      <c r="A6" s="293"/>
      <c r="B6" s="294"/>
      <c r="C6" s="295"/>
      <c r="D6" s="295"/>
      <c r="E6" s="779" t="s">
        <v>183</v>
      </c>
      <c r="F6" s="779"/>
      <c r="G6" s="779"/>
      <c r="H6" s="779"/>
      <c r="I6" s="779"/>
      <c r="J6" s="296"/>
      <c r="K6" s="297"/>
      <c r="L6" s="297"/>
      <c r="M6" s="298"/>
    </row>
    <row r="7" spans="1:19" ht="12.75" customHeight="1" x14ac:dyDescent="0.25">
      <c r="A7" s="299"/>
      <c r="B7" s="283"/>
      <c r="C7" s="291"/>
      <c r="D7" s="300" t="s">
        <v>184</v>
      </c>
      <c r="E7" s="283"/>
      <c r="F7" s="780">
        <f>[1]IFE!$B$134</f>
        <v>5749.32</v>
      </c>
      <c r="G7" s="780"/>
      <c r="H7" s="301"/>
      <c r="I7" s="283"/>
      <c r="J7" s="300" t="s">
        <v>238</v>
      </c>
      <c r="K7" s="774">
        <f>SUM(F7)-R15</f>
        <v>0</v>
      </c>
      <c r="L7" s="775"/>
      <c r="M7" s="302"/>
    </row>
    <row r="8" spans="1:19" ht="12.75" customHeight="1" thickBot="1" x14ac:dyDescent="0.3">
      <c r="A8" s="303"/>
      <c r="B8" s="304"/>
      <c r="C8" s="304"/>
      <c r="D8" s="305" t="s">
        <v>185</v>
      </c>
      <c r="E8" s="304"/>
      <c r="F8" s="776">
        <f>[1]IFE!$B$135</f>
        <v>89939.53</v>
      </c>
      <c r="G8" s="776"/>
      <c r="H8" s="304"/>
      <c r="I8" s="304"/>
      <c r="J8" s="304"/>
      <c r="K8" s="304"/>
      <c r="L8" s="304"/>
      <c r="M8" s="306"/>
    </row>
    <row r="9" spans="1:19" ht="12" customHeight="1" thickTop="1" x14ac:dyDescent="0.25">
      <c r="A9" s="307" t="s">
        <v>186</v>
      </c>
      <c r="B9" s="308"/>
      <c r="C9" s="309" t="s">
        <v>187</v>
      </c>
      <c r="D9" s="309" t="s">
        <v>161</v>
      </c>
      <c r="E9" s="309" t="s">
        <v>95</v>
      </c>
      <c r="F9" s="309" t="s">
        <v>138</v>
      </c>
      <c r="G9" s="309" t="s">
        <v>188</v>
      </c>
      <c r="H9" s="309" t="s">
        <v>138</v>
      </c>
      <c r="I9" s="309" t="s">
        <v>188</v>
      </c>
      <c r="J9" s="309" t="s">
        <v>138</v>
      </c>
      <c r="K9" s="309" t="s">
        <v>189</v>
      </c>
      <c r="L9" s="310" t="s">
        <v>100</v>
      </c>
      <c r="M9" s="516" t="s">
        <v>190</v>
      </c>
      <c r="N9" s="311" t="s">
        <v>138</v>
      </c>
      <c r="O9" s="312" t="s">
        <v>189</v>
      </c>
    </row>
    <row r="10" spans="1:19" ht="12" customHeight="1" thickBot="1" x14ac:dyDescent="0.3">
      <c r="A10" s="614"/>
      <c r="B10" s="615"/>
      <c r="C10" s="352" t="s">
        <v>49</v>
      </c>
      <c r="D10" s="352" t="s">
        <v>191</v>
      </c>
      <c r="E10" s="352" t="s">
        <v>195</v>
      </c>
      <c r="F10" s="352" t="s">
        <v>97</v>
      </c>
      <c r="G10" s="352" t="s">
        <v>97</v>
      </c>
      <c r="H10" s="352" t="s">
        <v>192</v>
      </c>
      <c r="I10" s="352" t="s">
        <v>192</v>
      </c>
      <c r="J10" s="352" t="s">
        <v>99</v>
      </c>
      <c r="K10" s="352" t="s">
        <v>99</v>
      </c>
      <c r="L10" s="353" t="s">
        <v>193</v>
      </c>
      <c r="M10" s="517" t="s">
        <v>159</v>
      </c>
      <c r="N10" s="313" t="s">
        <v>159</v>
      </c>
      <c r="O10" s="314" t="s">
        <v>159</v>
      </c>
    </row>
    <row r="11" spans="1:19" ht="11.1" customHeight="1" thickTop="1" x14ac:dyDescent="0.25">
      <c r="A11" s="354" t="str">
        <f>[1]IFE!$AO$1</f>
        <v>M-I BAR BULK</v>
      </c>
      <c r="B11" s="355"/>
      <c r="C11" s="317" t="str">
        <f>[1]IFE!$AO$2</f>
        <v>100. LB BG</v>
      </c>
      <c r="D11" s="592">
        <f>[1]IFE!$AO$10</f>
        <v>20.25</v>
      </c>
      <c r="E11" s="319">
        <f>[1]IFE!$AO$4</f>
        <v>1153</v>
      </c>
      <c r="F11" s="320">
        <f>[1]IFE!$AO$3</f>
        <v>0</v>
      </c>
      <c r="G11" s="319">
        <f>[1]IFE!$AO$9</f>
        <v>2206</v>
      </c>
      <c r="H11" s="319">
        <f>[1]IFE!$AO$5</f>
        <v>0</v>
      </c>
      <c r="I11" s="319">
        <f>[1]IFE!$AQ2</f>
        <v>3359</v>
      </c>
      <c r="J11" s="319">
        <f>[1]IFE!$AO$6</f>
        <v>0</v>
      </c>
      <c r="K11" s="319">
        <f>[1]IFE!$AQ3</f>
        <v>0</v>
      </c>
      <c r="L11" s="321">
        <f>[1]IFE!$AO$7</f>
        <v>1153</v>
      </c>
      <c r="M11" s="356">
        <f t="shared" ref="M11:M60" si="0">D11*F11</f>
        <v>0</v>
      </c>
      <c r="N11" s="323">
        <f>[1]IFE!$AO$48*F11</f>
        <v>0</v>
      </c>
      <c r="O11" s="324">
        <f>[1]IFE!$AO$48*G11</f>
        <v>40700.699999999997</v>
      </c>
    </row>
    <row r="12" spans="1:19" ht="11.1" customHeight="1" x14ac:dyDescent="0.25">
      <c r="A12" s="315" t="str">
        <f>[1]IFE!$AO$11</f>
        <v>SODA ASH</v>
      </c>
      <c r="B12" s="316"/>
      <c r="C12" s="317" t="str">
        <f>[1]IFE!$AO$12</f>
        <v>50. KG BG</v>
      </c>
      <c r="D12" s="592">
        <f>[1]IFE!$AO$20</f>
        <v>55.51</v>
      </c>
      <c r="E12" s="319">
        <f>[1]IFE!$AO$14</f>
        <v>10</v>
      </c>
      <c r="F12" s="320">
        <f>[1]IFE!$AO$13</f>
        <v>0</v>
      </c>
      <c r="G12" s="319">
        <f>[1]IFE!$AO$19</f>
        <v>6</v>
      </c>
      <c r="H12" s="319">
        <f>[1]IFE!$AO$15</f>
        <v>0</v>
      </c>
      <c r="I12" s="319">
        <f>[1]IFE!$AQ12</f>
        <v>16</v>
      </c>
      <c r="J12" s="319">
        <f>[1]IFE!$AO$16</f>
        <v>0</v>
      </c>
      <c r="K12" s="319">
        <f>[1]IFE!$AQ13</f>
        <v>0</v>
      </c>
      <c r="L12" s="321">
        <f>[1]IFE!$AO$17</f>
        <v>10</v>
      </c>
      <c r="M12" s="322">
        <f t="shared" si="0"/>
        <v>0</v>
      </c>
      <c r="N12" s="323"/>
      <c r="O12" s="324"/>
      <c r="Q12" s="781" t="s">
        <v>239</v>
      </c>
      <c r="R12" s="782"/>
      <c r="S12" s="783"/>
    </row>
    <row r="13" spans="1:19" ht="11.1" customHeight="1" x14ac:dyDescent="0.25">
      <c r="A13" s="315" t="str">
        <f>[1]IFE!$AO$21</f>
        <v>SODIUM BICARBONATE</v>
      </c>
      <c r="B13" s="316"/>
      <c r="C13" s="317" t="str">
        <f>[1]IFE!$AO$22</f>
        <v>50. LB BG</v>
      </c>
      <c r="D13" s="592">
        <f>[1]IFE!$AO$30</f>
        <v>52.87</v>
      </c>
      <c r="E13" s="319">
        <f>[1]IFE!$AO$24</f>
        <v>27</v>
      </c>
      <c r="F13" s="320">
        <f>[1]IFE!$AO$23</f>
        <v>0</v>
      </c>
      <c r="G13" s="319">
        <f>[1]IFE!$AO$29</f>
        <v>0</v>
      </c>
      <c r="H13" s="319">
        <f>[1]IFE!$AO$25</f>
        <v>0</v>
      </c>
      <c r="I13" s="319">
        <f>[1]IFE!$AQ22</f>
        <v>27</v>
      </c>
      <c r="J13" s="319">
        <f>[1]IFE!$AO$26</f>
        <v>0</v>
      </c>
      <c r="K13" s="319">
        <f>[1]IFE!$AQ23</f>
        <v>0</v>
      </c>
      <c r="L13" s="321">
        <f>[1]IFE!$AO$27</f>
        <v>27</v>
      </c>
      <c r="M13" s="322">
        <f t="shared" si="0"/>
        <v>0</v>
      </c>
      <c r="N13" s="323"/>
      <c r="O13" s="324"/>
      <c r="R13" s="531">
        <f>SUM(M11:M60,M71:M120,M131:M180)</f>
        <v>5749.32</v>
      </c>
    </row>
    <row r="14" spans="1:19" ht="11.1" customHeight="1" x14ac:dyDescent="0.25">
      <c r="A14" s="315" t="str">
        <f>[1]IFE!$AO$31</f>
        <v>POLYPAC R</v>
      </c>
      <c r="B14" s="316"/>
      <c r="C14" s="317" t="str">
        <f>[1]IFE!$AO$32</f>
        <v>50. LB BG</v>
      </c>
      <c r="D14" s="592">
        <f>[1]IFE!$AO$40</f>
        <v>184.5</v>
      </c>
      <c r="E14" s="319">
        <f>[1]IFE!$AO$34</f>
        <v>52</v>
      </c>
      <c r="F14" s="320">
        <f>[1]IFE!$AO$33</f>
        <v>0</v>
      </c>
      <c r="G14" s="319">
        <f>[1]IFE!$AO$39</f>
        <v>18</v>
      </c>
      <c r="H14" s="319">
        <f>[1]IFE!$AO$35</f>
        <v>0</v>
      </c>
      <c r="I14" s="319">
        <f>[1]IFE!$AQ32</f>
        <v>70</v>
      </c>
      <c r="J14" s="319">
        <f>[1]IFE!$AO$36</f>
        <v>0</v>
      </c>
      <c r="K14" s="319">
        <f>[1]IFE!$AQ33</f>
        <v>0</v>
      </c>
      <c r="L14" s="321">
        <f>[1]IFE!$AO$37</f>
        <v>52</v>
      </c>
      <c r="M14" s="322">
        <f t="shared" si="0"/>
        <v>0</v>
      </c>
      <c r="N14" s="323"/>
      <c r="O14" s="324"/>
      <c r="Q14" s="781" t="s">
        <v>241</v>
      </c>
      <c r="R14" s="782"/>
      <c r="S14" s="783"/>
    </row>
    <row r="15" spans="1:19" ht="11.1" customHeight="1" x14ac:dyDescent="0.25">
      <c r="A15" s="315" t="str">
        <f>[1]IFE!$AO$41</f>
        <v>LOWA TECH 70/75</v>
      </c>
      <c r="B15" s="316"/>
      <c r="C15" s="317" t="str">
        <f>[1]IFE!$AO$42</f>
        <v>50. LB BG</v>
      </c>
      <c r="D15" s="592">
        <f>[1]IFE!$AO$50</f>
        <v>18.45</v>
      </c>
      <c r="E15" s="319">
        <f>[1]IFE!$AO$44</f>
        <v>112</v>
      </c>
      <c r="F15" s="320">
        <f>[1]IFE!$AO$43</f>
        <v>0</v>
      </c>
      <c r="G15" s="319">
        <f>[1]IFE!$AO$49</f>
        <v>0</v>
      </c>
      <c r="H15" s="319">
        <f>[1]IFE!$AO$45</f>
        <v>0</v>
      </c>
      <c r="I15" s="319">
        <f>[1]IFE!$AQ42</f>
        <v>224</v>
      </c>
      <c r="J15" s="319">
        <f>[1]IFE!$AO$46</f>
        <v>0</v>
      </c>
      <c r="K15" s="319">
        <f>[1]IFE!$AQ43</f>
        <v>112</v>
      </c>
      <c r="L15" s="321">
        <f>[1]IFE!$AO$47</f>
        <v>112</v>
      </c>
      <c r="M15" s="322">
        <f t="shared" si="0"/>
        <v>0</v>
      </c>
      <c r="N15" s="323"/>
      <c r="O15" s="324"/>
      <c r="R15" s="531">
        <f>SUMPRODUCT([1]IFE!$C$1201:$C$1340,[1]IFE!$N$1201:$N$1340)</f>
        <v>5749.32</v>
      </c>
    </row>
    <row r="16" spans="1:19" ht="11.1" customHeight="1" x14ac:dyDescent="0.25">
      <c r="A16" s="315" t="str">
        <f>[1]IFE!$AO$51</f>
        <v>CELL-U-SEAL FINE</v>
      </c>
      <c r="B16" s="316"/>
      <c r="C16" s="325" t="str">
        <f>[1]IFE!$AO$52</f>
        <v>30. LB BG</v>
      </c>
      <c r="D16" s="592">
        <f>[1]IFE!$AO$60</f>
        <v>69.67</v>
      </c>
      <c r="E16" s="326">
        <f>[1]IFE!$AO$54</f>
        <v>114</v>
      </c>
      <c r="F16" s="326">
        <f>[1]IFE!$AO$53</f>
        <v>0</v>
      </c>
      <c r="G16" s="326">
        <f>[1]IFE!$AO$59</f>
        <v>0</v>
      </c>
      <c r="H16" s="326">
        <f>[1]IFE!$AO$55</f>
        <v>0</v>
      </c>
      <c r="I16" s="319">
        <f>[1]IFE!$AQ52</f>
        <v>114</v>
      </c>
      <c r="J16" s="326">
        <f>[1]IFE!$AO$56</f>
        <v>0</v>
      </c>
      <c r="K16" s="319">
        <f>[1]IFE!$AQ53</f>
        <v>0</v>
      </c>
      <c r="L16" s="327">
        <f>[1]IFE!$AO$57</f>
        <v>114</v>
      </c>
      <c r="M16" s="322">
        <f t="shared" si="0"/>
        <v>0</v>
      </c>
      <c r="N16" s="323">
        <f>[1]IFE!$AO$58*F16</f>
        <v>0</v>
      </c>
      <c r="O16" s="328">
        <f>[1]IFE!$AO$58*G16</f>
        <v>0</v>
      </c>
    </row>
    <row r="17" spans="1:15" ht="11.1" customHeight="1" x14ac:dyDescent="0.25">
      <c r="A17" s="315" t="str">
        <f>[1]IFE!$AO$61</f>
        <v>CAUSTIC POTASH (POTASSIUM HYDROXIDE - KOH)</v>
      </c>
      <c r="B17" s="316"/>
      <c r="C17" s="325" t="str">
        <f>[1]IFE!$AO$62</f>
        <v>25. KG BG</v>
      </c>
      <c r="D17" s="592">
        <f>[1]IFE!$AO$70</f>
        <v>113.32</v>
      </c>
      <c r="E17" s="326">
        <f>[1]IFE!$AO$64</f>
        <v>14</v>
      </c>
      <c r="F17" s="326">
        <f>[1]IFE!$AO$63</f>
        <v>0</v>
      </c>
      <c r="G17" s="326">
        <f>[1]IFE!$AO$69</f>
        <v>0</v>
      </c>
      <c r="H17" s="326">
        <f>[1]IFE!$AO$65</f>
        <v>0</v>
      </c>
      <c r="I17" s="319">
        <f>[1]IFE!$AQ62</f>
        <v>14</v>
      </c>
      <c r="J17" s="326">
        <f>[1]IFE!$AO$66</f>
        <v>0</v>
      </c>
      <c r="K17" s="319">
        <f>[1]IFE!$AQ63</f>
        <v>0</v>
      </c>
      <c r="L17" s="327">
        <f>[1]IFE!$AO$67</f>
        <v>14</v>
      </c>
      <c r="M17" s="322">
        <f t="shared" si="0"/>
        <v>0</v>
      </c>
      <c r="N17" s="323">
        <f>[1]IFE!$AO$68*F17</f>
        <v>0</v>
      </c>
      <c r="O17" s="328">
        <f>[1]IFE!$AO$68*G17</f>
        <v>0</v>
      </c>
    </row>
    <row r="18" spans="1:15" ht="11.1" customHeight="1" x14ac:dyDescent="0.25">
      <c r="A18" s="315" t="str">
        <f>[1]IFE!$AO$71</f>
        <v>ENGINEERING SERVICE</v>
      </c>
      <c r="B18" s="316"/>
      <c r="C18" s="325" t="str">
        <f>[1]IFE!$AO$72</f>
        <v>1.  EA</v>
      </c>
      <c r="D18" s="592">
        <f>[1]IFE!$AO$80</f>
        <v>1485</v>
      </c>
      <c r="E18" s="326">
        <f>[1]IFE!$AO$74</f>
        <v>0</v>
      </c>
      <c r="F18" s="326">
        <f>[1]IFE!$AO$73</f>
        <v>2</v>
      </c>
      <c r="G18" s="326">
        <f>[1]IFE!$AO$79</f>
        <v>13</v>
      </c>
      <c r="H18" s="326">
        <f>[1]IFE!$AO$75</f>
        <v>0</v>
      </c>
      <c r="I18" s="319">
        <f>[1]IFE!$AQ72</f>
        <v>0</v>
      </c>
      <c r="J18" s="326">
        <f>[1]IFE!$AO$76</f>
        <v>0</v>
      </c>
      <c r="K18" s="319">
        <f>[1]IFE!$AQ73</f>
        <v>0</v>
      </c>
      <c r="L18" s="327">
        <f>[1]IFE!$AO$77</f>
        <v>2</v>
      </c>
      <c r="M18" s="322">
        <f t="shared" si="0"/>
        <v>2970</v>
      </c>
      <c r="N18" s="323">
        <f>[1]IFE!$AO$78*F18</f>
        <v>2970</v>
      </c>
      <c r="O18" s="328">
        <f>[1]IFE!$AO$78*G18</f>
        <v>19305</v>
      </c>
    </row>
    <row r="19" spans="1:15" ht="11.1" customHeight="1" x14ac:dyDescent="0.25">
      <c r="A19" s="315" t="str">
        <f>[1]IFE!$AO$81</f>
        <v>BENTONITE WYOMING</v>
      </c>
      <c r="B19" s="316"/>
      <c r="C19" s="325" t="str">
        <f>[1]IFE!$AO$82</f>
        <v>100. LB BG</v>
      </c>
      <c r="D19" s="592">
        <f>[1]IFE!$AO$90</f>
        <v>28.72</v>
      </c>
      <c r="E19" s="326">
        <f>[1]IFE!$AO$84</f>
        <v>58</v>
      </c>
      <c r="F19" s="326">
        <f>[1]IFE!$AO$83</f>
        <v>1</v>
      </c>
      <c r="G19" s="326">
        <f>[1]IFE!$AO$89</f>
        <v>443</v>
      </c>
      <c r="H19" s="326">
        <f>[1]IFE!$AO$85</f>
        <v>0</v>
      </c>
      <c r="I19" s="319">
        <f>[1]IFE!$AQ82</f>
        <v>500</v>
      </c>
      <c r="J19" s="326">
        <f>[1]IFE!$AO$86</f>
        <v>0</v>
      </c>
      <c r="K19" s="319">
        <f>[1]IFE!$AQ83</f>
        <v>0</v>
      </c>
      <c r="L19" s="327">
        <f>[1]IFE!$AO$87</f>
        <v>57</v>
      </c>
      <c r="M19" s="322">
        <f t="shared" si="0"/>
        <v>28.72</v>
      </c>
      <c r="N19" s="323">
        <f>[1]IFE!$AO$88*F19</f>
        <v>28.72</v>
      </c>
      <c r="O19" s="328">
        <f>[1]IFE!$AO$88*G19</f>
        <v>12722.96</v>
      </c>
    </row>
    <row r="20" spans="1:15" ht="11.1" customHeight="1" x14ac:dyDescent="0.25">
      <c r="A20" s="315" t="str">
        <f>[1]IFE!$AO$91</f>
        <v>DUO-VIS</v>
      </c>
      <c r="B20" s="316"/>
      <c r="C20" s="325" t="str">
        <f>[1]IFE!$AO$92</f>
        <v>50. LB BG</v>
      </c>
      <c r="D20" s="592">
        <f>[1]IFE!$AO$100</f>
        <v>550.12</v>
      </c>
      <c r="E20" s="326">
        <f>[1]IFE!$AO$94</f>
        <v>0</v>
      </c>
      <c r="F20" s="326">
        <f>[1]IFE!$AO$93</f>
        <v>0</v>
      </c>
      <c r="G20" s="326">
        <f>[1]IFE!$AO$99</f>
        <v>0</v>
      </c>
      <c r="H20" s="326">
        <f>[1]IFE!$AO$95</f>
        <v>0</v>
      </c>
      <c r="I20" s="319">
        <f>[1]IFE!$AQ92</f>
        <v>0</v>
      </c>
      <c r="J20" s="326">
        <f>[1]IFE!$AO$96</f>
        <v>0</v>
      </c>
      <c r="K20" s="319">
        <f>[1]IFE!$AQ93</f>
        <v>0</v>
      </c>
      <c r="L20" s="327">
        <f>[1]IFE!$AO$97</f>
        <v>0</v>
      </c>
      <c r="M20" s="322">
        <f t="shared" si="0"/>
        <v>0</v>
      </c>
      <c r="N20" s="323">
        <f>[1]IFE!$AO$98*F20</f>
        <v>0</v>
      </c>
      <c r="O20" s="328">
        <f>[1]IFE!$AO$98*G20</f>
        <v>0</v>
      </c>
    </row>
    <row r="21" spans="1:15" ht="11.1" customHeight="1" x14ac:dyDescent="0.25">
      <c r="A21" s="315" t="str">
        <f>[1]IFE!$AO$101</f>
        <v>PIPE-LAX</v>
      </c>
      <c r="B21" s="316"/>
      <c r="C21" s="325" t="str">
        <f>[1]IFE!$AO$102</f>
        <v>55. GA DM</v>
      </c>
      <c r="D21" s="592">
        <f>[1]IFE!$AO$110</f>
        <v>2385.02</v>
      </c>
      <c r="E21" s="326">
        <f>[1]IFE!$AO$104</f>
        <v>20</v>
      </c>
      <c r="F21" s="326">
        <f>[1]IFE!$AO$103</f>
        <v>0</v>
      </c>
      <c r="G21" s="326">
        <f>[1]IFE!$AO$109</f>
        <v>0</v>
      </c>
      <c r="H21" s="326">
        <f>[1]IFE!$AO$105</f>
        <v>0</v>
      </c>
      <c r="I21" s="319">
        <f>[1]IFE!$AQ102</f>
        <v>20</v>
      </c>
      <c r="J21" s="326">
        <f>[1]IFE!$AO$106</f>
        <v>0</v>
      </c>
      <c r="K21" s="319">
        <f>[1]IFE!$AQ103</f>
        <v>0</v>
      </c>
      <c r="L21" s="327">
        <f>[1]IFE!$AO$107</f>
        <v>20</v>
      </c>
      <c r="M21" s="322">
        <f t="shared" si="0"/>
        <v>0</v>
      </c>
      <c r="N21" s="323">
        <f>[1]IFE!$AO$108*F21</f>
        <v>0</v>
      </c>
      <c r="O21" s="328">
        <f>[1]IFE!$AO$108*G21</f>
        <v>0</v>
      </c>
    </row>
    <row r="22" spans="1:15" ht="11.1" customHeight="1" x14ac:dyDescent="0.25">
      <c r="A22" s="315" t="str">
        <f>[1]IFE!$AO$111</f>
        <v>LIME</v>
      </c>
      <c r="B22" s="316"/>
      <c r="C22" s="325" t="str">
        <f>[1]IFE!$AO$112</f>
        <v>20. KG BG</v>
      </c>
      <c r="D22" s="592">
        <f>[1]IFE!$AO$120</f>
        <v>37.43</v>
      </c>
      <c r="E22" s="326">
        <f>[1]IFE!$AO$114</f>
        <v>39</v>
      </c>
      <c r="F22" s="326">
        <f>[1]IFE!$AO$113</f>
        <v>0</v>
      </c>
      <c r="G22" s="326">
        <f>[1]IFE!$AO$119</f>
        <v>0</v>
      </c>
      <c r="H22" s="326">
        <f>[1]IFE!$AO$115</f>
        <v>0</v>
      </c>
      <c r="I22" s="319">
        <f>[1]IFE!$AQ112</f>
        <v>39</v>
      </c>
      <c r="J22" s="326">
        <f>[1]IFE!$AO$116</f>
        <v>0</v>
      </c>
      <c r="K22" s="319">
        <f>[1]IFE!$AQ113</f>
        <v>0</v>
      </c>
      <c r="L22" s="327">
        <f>[1]IFE!$AO$117</f>
        <v>39</v>
      </c>
      <c r="M22" s="322">
        <f t="shared" si="0"/>
        <v>0</v>
      </c>
      <c r="N22" s="323">
        <f>[1]IFE!$AO$118*F22</f>
        <v>0</v>
      </c>
      <c r="O22" s="328">
        <f>[1]IFE!$AO$118*G22</f>
        <v>0</v>
      </c>
    </row>
    <row r="23" spans="1:15" ht="11.1" customHeight="1" x14ac:dyDescent="0.25">
      <c r="A23" s="315" t="str">
        <f>[1]IFE!$AO$121</f>
        <v>THINSMART</v>
      </c>
      <c r="B23" s="316"/>
      <c r="C23" s="325" t="str">
        <f>[1]IFE!$AO$122</f>
        <v>25. LB BG</v>
      </c>
      <c r="D23" s="592">
        <f>[1]IFE!$AO$130</f>
        <v>119.83</v>
      </c>
      <c r="E23" s="326">
        <f>[1]IFE!$AO$124</f>
        <v>117</v>
      </c>
      <c r="F23" s="326">
        <f>[1]IFE!$AO$123</f>
        <v>0</v>
      </c>
      <c r="G23" s="326">
        <f>[1]IFE!$AO$129</f>
        <v>43</v>
      </c>
      <c r="H23" s="326">
        <f>[1]IFE!$AO$125</f>
        <v>0</v>
      </c>
      <c r="I23" s="319">
        <f>[1]IFE!$AQ122</f>
        <v>160</v>
      </c>
      <c r="J23" s="326">
        <f>[1]IFE!$AO$126</f>
        <v>0</v>
      </c>
      <c r="K23" s="319">
        <f>[1]IFE!$AQ123</f>
        <v>0</v>
      </c>
      <c r="L23" s="327">
        <f>[1]IFE!$AO$127</f>
        <v>117</v>
      </c>
      <c r="M23" s="322">
        <f t="shared" si="0"/>
        <v>0</v>
      </c>
      <c r="N23" s="323">
        <f>[1]IFE!$AO$128*F23</f>
        <v>0</v>
      </c>
      <c r="O23" s="328">
        <f>[1]IFE!$AO$128*G23</f>
        <v>5152.6899999999996</v>
      </c>
    </row>
    <row r="24" spans="1:15" ht="11.1" customHeight="1" x14ac:dyDescent="0.25">
      <c r="A24" s="315" t="str">
        <f>[1]IFE!$AO$131</f>
        <v>CAUSTIC SODA</v>
      </c>
      <c r="B24" s="316"/>
      <c r="C24" s="325" t="str">
        <f>[1]IFE!$AO$132</f>
        <v>25. KG BG</v>
      </c>
      <c r="D24" s="592">
        <f>[1]IFE!$AO$140</f>
        <v>64.72</v>
      </c>
      <c r="E24" s="326">
        <f>[1]IFE!$AO$134</f>
        <v>21</v>
      </c>
      <c r="F24" s="326">
        <f>[1]IFE!$AO$133</f>
        <v>0</v>
      </c>
      <c r="G24" s="326">
        <f>[1]IFE!$AO$139</f>
        <v>9</v>
      </c>
      <c r="H24" s="326">
        <f>[1]IFE!$AO$135</f>
        <v>0</v>
      </c>
      <c r="I24" s="319">
        <f>[1]IFE!$AQ132</f>
        <v>30</v>
      </c>
      <c r="J24" s="326">
        <f>[1]IFE!$AO$136</f>
        <v>0</v>
      </c>
      <c r="K24" s="319">
        <f>[1]IFE!$AQ133</f>
        <v>0</v>
      </c>
      <c r="L24" s="327">
        <f>[1]IFE!$AO$137</f>
        <v>21</v>
      </c>
      <c r="M24" s="322">
        <f t="shared" si="0"/>
        <v>0</v>
      </c>
      <c r="N24" s="323">
        <f>[1]IFE!$AO$138*F24</f>
        <v>0</v>
      </c>
      <c r="O24" s="328">
        <f>[1]IFE!$AO$138*G24</f>
        <v>582.48</v>
      </c>
    </row>
    <row r="25" spans="1:15" ht="11.1" customHeight="1" x14ac:dyDescent="0.25">
      <c r="A25" s="315" t="str">
        <f>[1]IFE!$AO$141</f>
        <v>DRIL-KLEEN</v>
      </c>
      <c r="B25" s="316"/>
      <c r="C25" s="325" t="str">
        <f>[1]IFE!$AO$142</f>
        <v>5. GA CN</v>
      </c>
      <c r="D25" s="592">
        <f>[1]IFE!$AO$150</f>
        <v>322.20999999999998</v>
      </c>
      <c r="E25" s="326">
        <f>[1]IFE!$AO$144</f>
        <v>45</v>
      </c>
      <c r="F25" s="326">
        <f>[1]IFE!$AO$143</f>
        <v>0</v>
      </c>
      <c r="G25" s="326">
        <f>[1]IFE!$AO$149</f>
        <v>0</v>
      </c>
      <c r="H25" s="326">
        <f>[1]IFE!$AO$145</f>
        <v>0</v>
      </c>
      <c r="I25" s="319">
        <f>[1]IFE!$AQ142</f>
        <v>45</v>
      </c>
      <c r="J25" s="326">
        <f>[1]IFE!$AO$146</f>
        <v>0</v>
      </c>
      <c r="K25" s="319">
        <f>[1]IFE!$AQ143</f>
        <v>0</v>
      </c>
      <c r="L25" s="327">
        <f>[1]IFE!$AO$147</f>
        <v>45</v>
      </c>
      <c r="M25" s="322">
        <f t="shared" si="0"/>
        <v>0</v>
      </c>
      <c r="N25" s="323">
        <f>[1]IFE!$AO$148*F25</f>
        <v>0</v>
      </c>
      <c r="O25" s="328">
        <f>[1]IFE!$AO$148*G24</f>
        <v>2899.89</v>
      </c>
    </row>
    <row r="26" spans="1:15" ht="11.1" customHeight="1" x14ac:dyDescent="0.25">
      <c r="A26" s="315" t="str">
        <f>[1]IFE!$AO$151</f>
        <v>PECAN NUT PLUG CSE</v>
      </c>
      <c r="B26" s="316"/>
      <c r="C26" s="325" t="str">
        <f>[1]IFE!$AO$152</f>
        <v>50. LB BG</v>
      </c>
      <c r="D26" s="592">
        <f>[1]IFE!$AO$160</f>
        <v>65.290000000000006</v>
      </c>
      <c r="E26" s="326">
        <f>[1]IFE!$AO$154</f>
        <v>25</v>
      </c>
      <c r="F26" s="326">
        <f>[1]IFE!$AO$153</f>
        <v>0</v>
      </c>
      <c r="G26" s="326">
        <f>[1]IFE!$AO$159</f>
        <v>0</v>
      </c>
      <c r="H26" s="326">
        <f>[1]IFE!$AO$155</f>
        <v>0</v>
      </c>
      <c r="I26" s="319">
        <f>[1]IFE!$AQ152</f>
        <v>25</v>
      </c>
      <c r="J26" s="326">
        <f>[1]IFE!$AO$156</f>
        <v>0</v>
      </c>
      <c r="K26" s="319">
        <f>[1]IFE!$AQ153</f>
        <v>0</v>
      </c>
      <c r="L26" s="327">
        <f>[1]IFE!$AO$157</f>
        <v>25</v>
      </c>
      <c r="M26" s="322">
        <f t="shared" si="0"/>
        <v>0</v>
      </c>
      <c r="N26" s="323">
        <f>[1]IFE!$AO$158*F26</f>
        <v>0</v>
      </c>
      <c r="O26" s="328">
        <f>[1]IFE!$AO$158*G25</f>
        <v>0</v>
      </c>
    </row>
    <row r="27" spans="1:15" ht="11.1" customHeight="1" x14ac:dyDescent="0.25">
      <c r="A27" s="315" t="str">
        <f>[1]IFE!$AO$161</f>
        <v>G-SEAL PLUS</v>
      </c>
      <c r="B27" s="316"/>
      <c r="C27" s="325" t="str">
        <f>[1]IFE!$AO$162</f>
        <v>25. KG BG</v>
      </c>
      <c r="D27" s="592">
        <f>[1]IFE!$AO$170</f>
        <v>178.41</v>
      </c>
      <c r="E27" s="326">
        <f>[1]IFE!$AO$164</f>
        <v>35</v>
      </c>
      <c r="F27" s="326">
        <f>[1]IFE!$AO$163</f>
        <v>0</v>
      </c>
      <c r="G27" s="326">
        <f>[1]IFE!$AO$169</f>
        <v>0</v>
      </c>
      <c r="H27" s="326">
        <f>[1]IFE!$AO$165</f>
        <v>0</v>
      </c>
      <c r="I27" s="319">
        <f>[1]IFE!$AQ162</f>
        <v>35</v>
      </c>
      <c r="J27" s="326">
        <f>[1]IFE!$AO$166</f>
        <v>0</v>
      </c>
      <c r="K27" s="319">
        <f>[1]IFE!$AQ163</f>
        <v>0</v>
      </c>
      <c r="L27" s="327">
        <f>[1]IFE!$AO$167</f>
        <v>35</v>
      </c>
      <c r="M27" s="322">
        <f t="shared" si="0"/>
        <v>0</v>
      </c>
      <c r="N27" s="323">
        <f>[1]IFE!$AO$168*F27</f>
        <v>0</v>
      </c>
      <c r="O27" s="328">
        <f>[1]IFE!$AO$168*G26</f>
        <v>0</v>
      </c>
    </row>
    <row r="28" spans="1:15" ht="11.1" customHeight="1" x14ac:dyDescent="0.25">
      <c r="A28" s="315" t="str">
        <f>[1]IFE!$AO$171</f>
        <v>CALCIUM CARBONATE #6</v>
      </c>
      <c r="B28" s="316"/>
      <c r="C28" s="325" t="str">
        <f>[1]IFE!$AO$172</f>
        <v>50. LB BG</v>
      </c>
      <c r="D28" s="592">
        <f>[1]IFE!$AO$180</f>
        <v>18.45</v>
      </c>
      <c r="E28" s="326">
        <f>[1]IFE!$AO$174</f>
        <v>112</v>
      </c>
      <c r="F28" s="326">
        <f>[1]IFE!$AO$173</f>
        <v>0</v>
      </c>
      <c r="G28" s="326">
        <f>[1]IFE!$AO$179</f>
        <v>0</v>
      </c>
      <c r="H28" s="326">
        <f>[1]IFE!$AO$175</f>
        <v>0</v>
      </c>
      <c r="I28" s="319">
        <f>[1]IFE!$AQ172</f>
        <v>112</v>
      </c>
      <c r="J28" s="326">
        <f>[1]IFE!$AO$176</f>
        <v>0</v>
      </c>
      <c r="K28" s="319">
        <f>[1]IFE!$AQ173</f>
        <v>0</v>
      </c>
      <c r="L28" s="327">
        <f>[1]IFE!$AO$177</f>
        <v>112</v>
      </c>
      <c r="M28" s="322">
        <f t="shared" si="0"/>
        <v>0</v>
      </c>
      <c r="N28" s="323">
        <f>[1]IFE!$AO$178*F28</f>
        <v>0</v>
      </c>
      <c r="O28" s="328">
        <f>[1]IFE!$AO$178*G27</f>
        <v>0</v>
      </c>
    </row>
    <row r="29" spans="1:15" ht="11.1" customHeight="1" x14ac:dyDescent="0.25">
      <c r="A29" s="315" t="str">
        <f>[1]IFE!$AO$181</f>
        <v>DUO-VIS</v>
      </c>
      <c r="B29" s="316"/>
      <c r="C29" s="325" t="str">
        <f>[1]IFE!$AO$182</f>
        <v>25. KG BG</v>
      </c>
      <c r="D29" s="592">
        <f>[1]IFE!$AO$190</f>
        <v>550.12</v>
      </c>
      <c r="E29" s="326">
        <f>[1]IFE!$AO$184</f>
        <v>56</v>
      </c>
      <c r="F29" s="326">
        <f>[1]IFE!$AO$183</f>
        <v>5</v>
      </c>
      <c r="G29" s="326">
        <f>[1]IFE!$AO$189</f>
        <v>7</v>
      </c>
      <c r="H29" s="326">
        <f>[1]IFE!$AO$185</f>
        <v>0</v>
      </c>
      <c r="I29" s="319">
        <f>[1]IFE!$AQ182</f>
        <v>58</v>
      </c>
      <c r="J29" s="326">
        <f>[1]IFE!$AO$186</f>
        <v>0</v>
      </c>
      <c r="K29" s="319">
        <f>[1]IFE!$AQ183</f>
        <v>0</v>
      </c>
      <c r="L29" s="327">
        <f>[1]IFE!$AO$187</f>
        <v>51</v>
      </c>
      <c r="M29" s="322">
        <f t="shared" si="0"/>
        <v>2750.6</v>
      </c>
      <c r="N29" s="323">
        <f>[1]IFE!$AO$198*F29</f>
        <v>0</v>
      </c>
      <c r="O29" s="328">
        <f>[1]IFE!$AO$188*G28</f>
        <v>0</v>
      </c>
    </row>
    <row r="30" spans="1:15" ht="11.1" customHeight="1" x14ac:dyDescent="0.25">
      <c r="A30" s="315">
        <f>[1]IFE!$AO$191</f>
        <v>0</v>
      </c>
      <c r="B30" s="316"/>
      <c r="C30" s="325">
        <f>[1]IFE!$AO$192</f>
        <v>0</v>
      </c>
      <c r="D30" s="592">
        <f>[1]IFE!$AO$200</f>
        <v>0</v>
      </c>
      <c r="E30" s="326">
        <f>[1]IFE!$AO$194</f>
        <v>0</v>
      </c>
      <c r="F30" s="326">
        <f>[1]IFE!$AO$193</f>
        <v>0</v>
      </c>
      <c r="G30" s="326">
        <f>[1]IFE!$AO$199</f>
        <v>0</v>
      </c>
      <c r="H30" s="326">
        <f>[1]IFE!$AO$195</f>
        <v>0</v>
      </c>
      <c r="I30" s="319">
        <f>[1]IFE!$AQ192</f>
        <v>0</v>
      </c>
      <c r="J30" s="326">
        <f>[1]IFE!$AO$196</f>
        <v>0</v>
      </c>
      <c r="K30" s="319">
        <f>[1]IFE!$AQ193</f>
        <v>0</v>
      </c>
      <c r="L30" s="327">
        <f>[1]IFE!$AO$197</f>
        <v>0</v>
      </c>
      <c r="M30" s="322">
        <f t="shared" si="0"/>
        <v>0</v>
      </c>
      <c r="N30" s="323">
        <f>[1]IFE!$AO$208*F30</f>
        <v>0</v>
      </c>
      <c r="O30" s="328">
        <f>[1]IFE!$AO$198*G29</f>
        <v>0</v>
      </c>
    </row>
    <row r="31" spans="1:15" ht="11.1" customHeight="1" x14ac:dyDescent="0.25">
      <c r="A31" s="315">
        <f>[1]IFE!$AO$201</f>
        <v>0</v>
      </c>
      <c r="B31" s="316"/>
      <c r="C31" s="325">
        <f>[1]IFE!$AO$202</f>
        <v>0</v>
      </c>
      <c r="D31" s="592">
        <f>[1]IFE!$AO$210</f>
        <v>0</v>
      </c>
      <c r="E31" s="326">
        <f>[1]IFE!$AO$204</f>
        <v>0</v>
      </c>
      <c r="F31" s="326">
        <f>[1]IFE!$AO$203</f>
        <v>0</v>
      </c>
      <c r="G31" s="326">
        <f>[1]IFE!$AO$209</f>
        <v>0</v>
      </c>
      <c r="H31" s="326">
        <f>[1]IFE!$AO$205</f>
        <v>0</v>
      </c>
      <c r="I31" s="319">
        <f>[1]IFE!$AQ202</f>
        <v>0</v>
      </c>
      <c r="J31" s="326">
        <f>[1]IFE!$AO$206</f>
        <v>0</v>
      </c>
      <c r="K31" s="319">
        <f>[1]IFE!$AQ203</f>
        <v>0</v>
      </c>
      <c r="L31" s="327">
        <f>[1]IFE!$AO$207</f>
        <v>0</v>
      </c>
      <c r="M31" s="322">
        <f t="shared" si="0"/>
        <v>0</v>
      </c>
      <c r="N31" s="323">
        <f>[1]IFE!$AO$218*F31</f>
        <v>0</v>
      </c>
      <c r="O31" s="328">
        <f>[1]IFE!$AO$208*G30</f>
        <v>0</v>
      </c>
    </row>
    <row r="32" spans="1:15" ht="11.1" customHeight="1" x14ac:dyDescent="0.25">
      <c r="A32" s="315">
        <f>[1]IFE!$AO$211</f>
        <v>0</v>
      </c>
      <c r="B32" s="316"/>
      <c r="C32" s="325">
        <f>[1]IFE!$AO$212</f>
        <v>0</v>
      </c>
      <c r="D32" s="592">
        <f>[1]IFE!$AO$220</f>
        <v>0</v>
      </c>
      <c r="E32" s="326">
        <f>[1]IFE!$AO$214</f>
        <v>0</v>
      </c>
      <c r="F32" s="326">
        <f>[1]IFE!$AO$213</f>
        <v>0</v>
      </c>
      <c r="G32" s="326">
        <f>[1]IFE!$AO$219</f>
        <v>0</v>
      </c>
      <c r="H32" s="326">
        <f>[1]IFE!$AO$215</f>
        <v>0</v>
      </c>
      <c r="I32" s="319">
        <f>[1]IFE!$AQ212</f>
        <v>0</v>
      </c>
      <c r="J32" s="326">
        <f>[1]IFE!$AO$216</f>
        <v>0</v>
      </c>
      <c r="K32" s="319">
        <f>[1]IFE!$AQ213</f>
        <v>0</v>
      </c>
      <c r="L32" s="327">
        <f>[1]IFE!$AO$217</f>
        <v>0</v>
      </c>
      <c r="M32" s="322">
        <f t="shared" si="0"/>
        <v>0</v>
      </c>
      <c r="N32" s="323">
        <f>[1]IFE!$AO$228*F32</f>
        <v>0</v>
      </c>
      <c r="O32" s="328">
        <f>[1]IFE!$AO$218*G31</f>
        <v>0</v>
      </c>
    </row>
    <row r="33" spans="1:15" ht="11.1" customHeight="1" x14ac:dyDescent="0.25">
      <c r="A33" s="315">
        <f>[1]IFE!$AO$221</f>
        <v>0</v>
      </c>
      <c r="B33" s="316"/>
      <c r="C33" s="325">
        <f>[1]IFE!$AO$222</f>
        <v>0</v>
      </c>
      <c r="D33" s="592">
        <f>[1]IFE!$AO$230</f>
        <v>0</v>
      </c>
      <c r="E33" s="326">
        <f>[1]IFE!$AO$224</f>
        <v>0</v>
      </c>
      <c r="F33" s="326">
        <f>[1]IFE!$AO$223</f>
        <v>0</v>
      </c>
      <c r="G33" s="326">
        <f>[1]IFE!$AO$229</f>
        <v>0</v>
      </c>
      <c r="H33" s="326">
        <f>[1]IFE!$AO$225</f>
        <v>0</v>
      </c>
      <c r="I33" s="319">
        <f>[1]IFE!$AQ222</f>
        <v>0</v>
      </c>
      <c r="J33" s="326">
        <f>[1]IFE!$AO$226</f>
        <v>0</v>
      </c>
      <c r="K33" s="319">
        <f>[1]IFE!$AQ223</f>
        <v>0</v>
      </c>
      <c r="L33" s="327">
        <f>[1]IFE!$AO$227</f>
        <v>0</v>
      </c>
      <c r="M33" s="322">
        <f t="shared" si="0"/>
        <v>0</v>
      </c>
      <c r="N33" s="323">
        <f>[1]IFE!$AO$238*F33</f>
        <v>0</v>
      </c>
      <c r="O33" s="328">
        <f>[1]IFE!$AO$228*G32</f>
        <v>0</v>
      </c>
    </row>
    <row r="34" spans="1:15" ht="11.1" customHeight="1" x14ac:dyDescent="0.25">
      <c r="A34" s="315">
        <f>[1]IFE!$AO$231</f>
        <v>0</v>
      </c>
      <c r="B34" s="316"/>
      <c r="C34" s="325">
        <f>[1]IFE!$AO$232</f>
        <v>0</v>
      </c>
      <c r="D34" s="592">
        <f>[1]IFE!$AO$240</f>
        <v>0</v>
      </c>
      <c r="E34" s="326">
        <f>[1]IFE!$AO$234</f>
        <v>0</v>
      </c>
      <c r="F34" s="326">
        <f>[1]IFE!$AO$233</f>
        <v>0</v>
      </c>
      <c r="G34" s="326">
        <f>[1]IFE!$AO$239</f>
        <v>0</v>
      </c>
      <c r="H34" s="326">
        <f>[1]IFE!$AO$235</f>
        <v>0</v>
      </c>
      <c r="I34" s="319">
        <f>[1]IFE!$AQ232</f>
        <v>0</v>
      </c>
      <c r="J34" s="326">
        <f>[1]IFE!$AO$236</f>
        <v>0</v>
      </c>
      <c r="K34" s="319">
        <f>[1]IFE!$AQ233</f>
        <v>0</v>
      </c>
      <c r="L34" s="327">
        <f>[1]IFE!$AO$237</f>
        <v>0</v>
      </c>
      <c r="M34" s="322">
        <f t="shared" si="0"/>
        <v>0</v>
      </c>
      <c r="N34" s="323">
        <f>[1]IFE!$AO$248*F34</f>
        <v>0</v>
      </c>
      <c r="O34" s="328">
        <f>[1]IFE!$AO$238*G33</f>
        <v>0</v>
      </c>
    </row>
    <row r="35" spans="1:15" ht="11.1" customHeight="1" x14ac:dyDescent="0.25">
      <c r="A35" s="315">
        <f>[1]IFE!$AO$241</f>
        <v>0</v>
      </c>
      <c r="B35" s="316"/>
      <c r="C35" s="325">
        <f>[1]IFE!$AO$242</f>
        <v>0</v>
      </c>
      <c r="D35" s="592">
        <f>[1]IFE!$AO$250</f>
        <v>0</v>
      </c>
      <c r="E35" s="326">
        <f>[1]IFE!$AO$244</f>
        <v>0</v>
      </c>
      <c r="F35" s="326">
        <f>[1]IFE!$AO$243</f>
        <v>0</v>
      </c>
      <c r="G35" s="326">
        <f>[1]IFE!$AO$249</f>
        <v>0</v>
      </c>
      <c r="H35" s="326">
        <f>[1]IFE!$AO$245</f>
        <v>0</v>
      </c>
      <c r="I35" s="319">
        <f>[1]IFE!$AQ242</f>
        <v>0</v>
      </c>
      <c r="J35" s="326">
        <f>[1]IFE!$AO$246</f>
        <v>0</v>
      </c>
      <c r="K35" s="319">
        <f>[1]IFE!$AQ243</f>
        <v>0</v>
      </c>
      <c r="L35" s="327">
        <f>[1]IFE!$AO$247</f>
        <v>0</v>
      </c>
      <c r="M35" s="322">
        <f t="shared" si="0"/>
        <v>0</v>
      </c>
      <c r="N35" s="323">
        <f>[1]IFE!$AO$258*F35</f>
        <v>0</v>
      </c>
      <c r="O35" s="328">
        <f>[1]IFE!$AO$248*G34</f>
        <v>0</v>
      </c>
    </row>
    <row r="36" spans="1:15" ht="11.1" customHeight="1" x14ac:dyDescent="0.25">
      <c r="A36" s="315">
        <f>[1]IFE!$AO$251</f>
        <v>0</v>
      </c>
      <c r="B36" s="316"/>
      <c r="C36" s="325">
        <f>[1]IFE!$AO$252</f>
        <v>0</v>
      </c>
      <c r="D36" s="592">
        <f>[1]IFE!$AO$260</f>
        <v>0</v>
      </c>
      <c r="E36" s="326">
        <f>[1]IFE!$AO$254</f>
        <v>0</v>
      </c>
      <c r="F36" s="326">
        <f>[1]IFE!$AO$253</f>
        <v>0</v>
      </c>
      <c r="G36" s="326">
        <f>[1]IFE!$AO$259</f>
        <v>0</v>
      </c>
      <c r="H36" s="326">
        <f>[1]IFE!$AO$255</f>
        <v>0</v>
      </c>
      <c r="I36" s="319">
        <f>[1]IFE!$AQ252</f>
        <v>0</v>
      </c>
      <c r="J36" s="326">
        <f>[1]IFE!$AO$256</f>
        <v>0</v>
      </c>
      <c r="K36" s="319">
        <f>[1]IFE!$AQ253</f>
        <v>0</v>
      </c>
      <c r="L36" s="327">
        <f>[1]IFE!$AO$257</f>
        <v>0</v>
      </c>
      <c r="M36" s="322">
        <f t="shared" si="0"/>
        <v>0</v>
      </c>
      <c r="N36" s="323">
        <f>[1]IFE!$AO$268*F36</f>
        <v>0</v>
      </c>
      <c r="O36" s="328">
        <f>[1]IFE!$AO$258*G35</f>
        <v>0</v>
      </c>
    </row>
    <row r="37" spans="1:15" ht="11.1" customHeight="1" x14ac:dyDescent="0.25">
      <c r="A37" s="315">
        <f>[1]IFE!$AO$261</f>
        <v>0</v>
      </c>
      <c r="B37" s="316"/>
      <c r="C37" s="325">
        <f>[1]IFE!$AO$262</f>
        <v>0</v>
      </c>
      <c r="D37" s="592">
        <f>[1]IFE!$AO$270</f>
        <v>0</v>
      </c>
      <c r="E37" s="326">
        <f>[1]IFE!$AO$264</f>
        <v>0</v>
      </c>
      <c r="F37" s="326">
        <f>[1]IFE!$AO$263</f>
        <v>0</v>
      </c>
      <c r="G37" s="326">
        <f>[1]IFE!$AO$269</f>
        <v>0</v>
      </c>
      <c r="H37" s="326">
        <f>[1]IFE!$AO$265</f>
        <v>0</v>
      </c>
      <c r="I37" s="319">
        <f>[1]IFE!$AQ262</f>
        <v>0</v>
      </c>
      <c r="J37" s="326">
        <f>[1]IFE!$AO$266</f>
        <v>0</v>
      </c>
      <c r="K37" s="319">
        <f>[1]IFE!$AQ263</f>
        <v>0</v>
      </c>
      <c r="L37" s="327">
        <f>[1]IFE!$AO$267</f>
        <v>0</v>
      </c>
      <c r="M37" s="322">
        <f t="shared" si="0"/>
        <v>0</v>
      </c>
      <c r="N37" s="323">
        <f>[1]IFE!$AO$278*F37</f>
        <v>0</v>
      </c>
      <c r="O37" s="328">
        <f>[1]IFE!$AO$268*G36</f>
        <v>0</v>
      </c>
    </row>
    <row r="38" spans="1:15" ht="11.1" customHeight="1" x14ac:dyDescent="0.25">
      <c r="A38" s="315">
        <f>[1]IFE!$AO$271</f>
        <v>0</v>
      </c>
      <c r="B38" s="316"/>
      <c r="C38" s="325">
        <f>[1]IFE!$AO$272</f>
        <v>0</v>
      </c>
      <c r="D38" s="592">
        <f>[1]IFE!$AO$280</f>
        <v>0</v>
      </c>
      <c r="E38" s="326">
        <f>[1]IFE!$AO$274</f>
        <v>0</v>
      </c>
      <c r="F38" s="326">
        <f>[1]IFE!$AO$273</f>
        <v>0</v>
      </c>
      <c r="G38" s="326">
        <f>[1]IFE!$AO$279</f>
        <v>0</v>
      </c>
      <c r="H38" s="326">
        <f>[1]IFE!$AO$275</f>
        <v>0</v>
      </c>
      <c r="I38" s="319">
        <f>[1]IFE!$AQ272</f>
        <v>0</v>
      </c>
      <c r="J38" s="326">
        <f>[1]IFE!$AO$276</f>
        <v>0</v>
      </c>
      <c r="K38" s="319">
        <f>[1]IFE!$AQ273</f>
        <v>0</v>
      </c>
      <c r="L38" s="327">
        <f>[1]IFE!$AO$277</f>
        <v>0</v>
      </c>
      <c r="M38" s="322">
        <f t="shared" si="0"/>
        <v>0</v>
      </c>
      <c r="N38" s="323">
        <f>[1]IFE!$AO$288*F38</f>
        <v>0</v>
      </c>
      <c r="O38" s="328">
        <f>[1]IFE!$AO$278*G37</f>
        <v>0</v>
      </c>
    </row>
    <row r="39" spans="1:15" ht="11.1" customHeight="1" x14ac:dyDescent="0.25">
      <c r="A39" s="315">
        <f>[1]IFE!$AO$281</f>
        <v>0</v>
      </c>
      <c r="B39" s="316"/>
      <c r="C39" s="325">
        <f>[1]IFE!$AO$282</f>
        <v>0</v>
      </c>
      <c r="D39" s="592">
        <f>[1]IFE!$AO$290</f>
        <v>0</v>
      </c>
      <c r="E39" s="326">
        <f>[1]IFE!$AO$284</f>
        <v>0</v>
      </c>
      <c r="F39" s="326">
        <f>[1]IFE!$AO$283</f>
        <v>0</v>
      </c>
      <c r="G39" s="326">
        <f>[1]IFE!$AO$289</f>
        <v>0</v>
      </c>
      <c r="H39" s="326">
        <f>[1]IFE!$AO$285</f>
        <v>0</v>
      </c>
      <c r="I39" s="319">
        <f>[1]IFE!$AQ282</f>
        <v>0</v>
      </c>
      <c r="J39" s="326">
        <f>[1]IFE!$AO$286</f>
        <v>0</v>
      </c>
      <c r="K39" s="319">
        <f>[1]IFE!$AQ283</f>
        <v>0</v>
      </c>
      <c r="L39" s="327">
        <f>[1]IFE!$AO$287</f>
        <v>0</v>
      </c>
      <c r="M39" s="322">
        <f t="shared" si="0"/>
        <v>0</v>
      </c>
      <c r="N39" s="323">
        <f>[1]IFE!$AO$298*F39</f>
        <v>0</v>
      </c>
      <c r="O39" s="328">
        <f>[1]IFE!$AO$288*G38</f>
        <v>0</v>
      </c>
    </row>
    <row r="40" spans="1:15" ht="11.1" customHeight="1" x14ac:dyDescent="0.25">
      <c r="A40" s="315">
        <f>[1]IFE!$AO$291</f>
        <v>0</v>
      </c>
      <c r="B40" s="316"/>
      <c r="C40" s="325">
        <f>[1]IFE!$AO$292</f>
        <v>0</v>
      </c>
      <c r="D40" s="592">
        <f>[1]IFE!$AO$300</f>
        <v>0</v>
      </c>
      <c r="E40" s="326">
        <f>[1]IFE!$AO$294</f>
        <v>0</v>
      </c>
      <c r="F40" s="326">
        <f>[1]IFE!$AO$293</f>
        <v>0</v>
      </c>
      <c r="G40" s="326">
        <f>[1]IFE!$AO$299</f>
        <v>0</v>
      </c>
      <c r="H40" s="326">
        <f>[1]IFE!$AO$295</f>
        <v>0</v>
      </c>
      <c r="I40" s="319">
        <f>[1]IFE!$AQ292</f>
        <v>0</v>
      </c>
      <c r="J40" s="326">
        <f>[1]IFE!$AO$296</f>
        <v>0</v>
      </c>
      <c r="K40" s="319">
        <f>[1]IFE!$AQ293</f>
        <v>0</v>
      </c>
      <c r="L40" s="327">
        <f>[1]IFE!$AO$297</f>
        <v>0</v>
      </c>
      <c r="M40" s="322">
        <f t="shared" si="0"/>
        <v>0</v>
      </c>
      <c r="N40" s="323">
        <f>[1]IFE!$AO$308*F40</f>
        <v>0</v>
      </c>
      <c r="O40" s="328">
        <f>[1]IFE!$AO$298*G39</f>
        <v>0</v>
      </c>
    </row>
    <row r="41" spans="1:15" ht="11.1" customHeight="1" x14ac:dyDescent="0.25">
      <c r="A41" s="315">
        <f>[1]IFE!$AO$301</f>
        <v>0</v>
      </c>
      <c r="B41" s="316"/>
      <c r="C41" s="325">
        <f>[1]IFE!$AO$302</f>
        <v>0</v>
      </c>
      <c r="D41" s="592">
        <f>[1]IFE!$AO$310</f>
        <v>0</v>
      </c>
      <c r="E41" s="326">
        <f>[1]IFE!$AO$304</f>
        <v>0</v>
      </c>
      <c r="F41" s="326">
        <f>[1]IFE!$AO$303</f>
        <v>0</v>
      </c>
      <c r="G41" s="326">
        <f>[1]IFE!$AO$309</f>
        <v>0</v>
      </c>
      <c r="H41" s="326">
        <f>[1]IFE!$AO$305</f>
        <v>0</v>
      </c>
      <c r="I41" s="319">
        <f>[1]IFE!$AQ302</f>
        <v>0</v>
      </c>
      <c r="J41" s="326">
        <f>[1]IFE!$AO$306</f>
        <v>0</v>
      </c>
      <c r="K41" s="319">
        <f>[1]IFE!$AQ303</f>
        <v>0</v>
      </c>
      <c r="L41" s="327">
        <f>[1]IFE!$AO$307</f>
        <v>0</v>
      </c>
      <c r="M41" s="322">
        <f t="shared" si="0"/>
        <v>0</v>
      </c>
      <c r="N41" s="323">
        <f>[1]IFE!$AO$318*F41</f>
        <v>0</v>
      </c>
      <c r="O41" s="328">
        <f>[1]IFE!$AO$308*G40</f>
        <v>0</v>
      </c>
    </row>
    <row r="42" spans="1:15" ht="11.1" customHeight="1" x14ac:dyDescent="0.25">
      <c r="A42" s="315">
        <f>[1]IFE!$AO$311</f>
        <v>0</v>
      </c>
      <c r="B42" s="316"/>
      <c r="C42" s="325">
        <f>[1]IFE!$AO$312</f>
        <v>0</v>
      </c>
      <c r="D42" s="592">
        <f>[1]IFE!$AO$320</f>
        <v>0</v>
      </c>
      <c r="E42" s="326">
        <f>[1]IFE!$AO$314</f>
        <v>0</v>
      </c>
      <c r="F42" s="326">
        <f>[1]IFE!$AO$313</f>
        <v>0</v>
      </c>
      <c r="G42" s="326">
        <f>[1]IFE!$AO$319</f>
        <v>0</v>
      </c>
      <c r="H42" s="326">
        <f>[1]IFE!$AO$315</f>
        <v>0</v>
      </c>
      <c r="I42" s="319">
        <f>[1]IFE!$AQ312</f>
        <v>0</v>
      </c>
      <c r="J42" s="326">
        <f>[1]IFE!$AO$316</f>
        <v>0</v>
      </c>
      <c r="K42" s="319">
        <f>[1]IFE!$AQ313</f>
        <v>0</v>
      </c>
      <c r="L42" s="327">
        <f>[1]IFE!$AO$317</f>
        <v>0</v>
      </c>
      <c r="M42" s="322">
        <f t="shared" si="0"/>
        <v>0</v>
      </c>
      <c r="N42" s="323">
        <f>[1]IFE!$AO$328*F42</f>
        <v>0</v>
      </c>
      <c r="O42" s="328">
        <f>[1]IFE!$AO$318*G41</f>
        <v>0</v>
      </c>
    </row>
    <row r="43" spans="1:15" ht="11.1" customHeight="1" x14ac:dyDescent="0.25">
      <c r="A43" s="315">
        <f>[1]IFE!$AO$321</f>
        <v>0</v>
      </c>
      <c r="B43" s="316"/>
      <c r="C43" s="325">
        <f>[1]IFE!$AO$322</f>
        <v>0</v>
      </c>
      <c r="D43" s="592">
        <f>[1]IFE!$AO$330</f>
        <v>0</v>
      </c>
      <c r="E43" s="326">
        <f>[1]IFE!$AO$324</f>
        <v>0</v>
      </c>
      <c r="F43" s="326">
        <f>[1]IFE!$AO$323</f>
        <v>0</v>
      </c>
      <c r="G43" s="326">
        <f>[1]IFE!$AO$329</f>
        <v>0</v>
      </c>
      <c r="H43" s="326">
        <f>[1]IFE!$AO$325</f>
        <v>0</v>
      </c>
      <c r="I43" s="319">
        <f>[1]IFE!$AQ322</f>
        <v>0</v>
      </c>
      <c r="J43" s="326">
        <f>[1]IFE!$AO$326</f>
        <v>0</v>
      </c>
      <c r="K43" s="319">
        <f>[1]IFE!$AQ323</f>
        <v>0</v>
      </c>
      <c r="L43" s="327">
        <f>[1]IFE!$AO$327</f>
        <v>0</v>
      </c>
      <c r="M43" s="322">
        <f t="shared" si="0"/>
        <v>0</v>
      </c>
      <c r="N43" s="323">
        <f>[1]IFE!$AO$338*F43</f>
        <v>0</v>
      </c>
      <c r="O43" s="328">
        <f>[1]IFE!$AO$328*G42</f>
        <v>0</v>
      </c>
    </row>
    <row r="44" spans="1:15" ht="11.1" customHeight="1" x14ac:dyDescent="0.25">
      <c r="A44" s="315">
        <f>[1]IFE!$AO$331</f>
        <v>0</v>
      </c>
      <c r="B44" s="316"/>
      <c r="C44" s="325">
        <f>[1]IFE!$AO$332</f>
        <v>0</v>
      </c>
      <c r="D44" s="592">
        <f>[1]IFE!$AO$340</f>
        <v>0</v>
      </c>
      <c r="E44" s="326">
        <f>[1]IFE!$AO$334</f>
        <v>0</v>
      </c>
      <c r="F44" s="326">
        <f>[1]IFE!$AO$333</f>
        <v>0</v>
      </c>
      <c r="G44" s="326">
        <f>[1]IFE!$AO$339</f>
        <v>0</v>
      </c>
      <c r="H44" s="326">
        <f>[1]IFE!$AO$335</f>
        <v>0</v>
      </c>
      <c r="I44" s="319">
        <f>[1]IFE!$AQ332</f>
        <v>0</v>
      </c>
      <c r="J44" s="326">
        <f>[1]IFE!$AO$336</f>
        <v>0</v>
      </c>
      <c r="K44" s="319">
        <f>[1]IFE!$AQ333</f>
        <v>0</v>
      </c>
      <c r="L44" s="327">
        <f>[1]IFE!$AO$337</f>
        <v>0</v>
      </c>
      <c r="M44" s="322">
        <f t="shared" si="0"/>
        <v>0</v>
      </c>
      <c r="N44" s="323">
        <f>[1]IFE!$AO$348*F44</f>
        <v>0</v>
      </c>
      <c r="O44" s="328">
        <f>[1]IFE!$AO$338*G43</f>
        <v>0</v>
      </c>
    </row>
    <row r="45" spans="1:15" ht="11.1" customHeight="1" x14ac:dyDescent="0.25">
      <c r="A45" s="315">
        <f>[1]IFE!$AO$341</f>
        <v>0</v>
      </c>
      <c r="B45" s="316"/>
      <c r="C45" s="325">
        <f>[1]IFE!$AO$342</f>
        <v>0</v>
      </c>
      <c r="D45" s="592">
        <f>[1]IFE!$AO$350</f>
        <v>0</v>
      </c>
      <c r="E45" s="326">
        <f>[1]IFE!$AO$344</f>
        <v>0</v>
      </c>
      <c r="F45" s="326">
        <f>[1]IFE!$AO$343</f>
        <v>0</v>
      </c>
      <c r="G45" s="326">
        <f>[1]IFE!$AO$349</f>
        <v>0</v>
      </c>
      <c r="H45" s="326">
        <f>[1]IFE!$AO$345</f>
        <v>0</v>
      </c>
      <c r="I45" s="319">
        <f>[1]IFE!$AQ342</f>
        <v>0</v>
      </c>
      <c r="J45" s="326">
        <f>[1]IFE!$AO$346</f>
        <v>0</v>
      </c>
      <c r="K45" s="319">
        <f>[1]IFE!$AQ343</f>
        <v>0</v>
      </c>
      <c r="L45" s="327">
        <f>[1]IFE!$AO$347</f>
        <v>0</v>
      </c>
      <c r="M45" s="322">
        <f t="shared" si="0"/>
        <v>0</v>
      </c>
      <c r="N45" s="323">
        <f>[1]IFE!$AO$358*F45</f>
        <v>0</v>
      </c>
      <c r="O45" s="328">
        <f>[1]IFE!$AO$348*G44</f>
        <v>0</v>
      </c>
    </row>
    <row r="46" spans="1:15" ht="11.1" customHeight="1" x14ac:dyDescent="0.25">
      <c r="A46" s="315">
        <f>[1]IFE!$AO$351</f>
        <v>0</v>
      </c>
      <c r="B46" s="316"/>
      <c r="C46" s="325">
        <f>[1]IFE!$AO$352</f>
        <v>0</v>
      </c>
      <c r="D46" s="592">
        <f>[1]IFE!$AO$360</f>
        <v>0</v>
      </c>
      <c r="E46" s="326">
        <f>[1]IFE!$AO$354</f>
        <v>0</v>
      </c>
      <c r="F46" s="326">
        <f>[1]IFE!$AO$353</f>
        <v>0</v>
      </c>
      <c r="G46" s="326">
        <f>[1]IFE!$AO$359</f>
        <v>0</v>
      </c>
      <c r="H46" s="326">
        <f>[1]IFE!$AO$355</f>
        <v>0</v>
      </c>
      <c r="I46" s="319">
        <f>[1]IFE!$AQ352</f>
        <v>0</v>
      </c>
      <c r="J46" s="326">
        <f>[1]IFE!$AO$356</f>
        <v>0</v>
      </c>
      <c r="K46" s="319">
        <f>[1]IFE!$AQ353</f>
        <v>0</v>
      </c>
      <c r="L46" s="327">
        <f>[1]IFE!$AO$357</f>
        <v>0</v>
      </c>
      <c r="M46" s="322">
        <f t="shared" si="0"/>
        <v>0</v>
      </c>
      <c r="N46" s="323">
        <f>[1]IFE!$AO$368*F46</f>
        <v>0</v>
      </c>
      <c r="O46" s="328">
        <f>[1]IFE!$AO$358*G45</f>
        <v>0</v>
      </c>
    </row>
    <row r="47" spans="1:15" ht="11.1" customHeight="1" x14ac:dyDescent="0.25">
      <c r="A47" s="315">
        <f>[1]IFE!$AO$361</f>
        <v>0</v>
      </c>
      <c r="B47" s="316"/>
      <c r="C47" s="325">
        <f>[1]IFE!$AO$362</f>
        <v>0</v>
      </c>
      <c r="D47" s="592">
        <f>[1]IFE!$AO$370</f>
        <v>0</v>
      </c>
      <c r="E47" s="326">
        <f>[1]IFE!$AO$364</f>
        <v>0</v>
      </c>
      <c r="F47" s="326">
        <f>[1]IFE!$AO$363</f>
        <v>0</v>
      </c>
      <c r="G47" s="326">
        <f>[1]IFE!$AO$369</f>
        <v>0</v>
      </c>
      <c r="H47" s="326">
        <f>[1]IFE!$AO$365</f>
        <v>0</v>
      </c>
      <c r="I47" s="319">
        <f>[1]IFE!$AQ362</f>
        <v>0</v>
      </c>
      <c r="J47" s="326">
        <f>[1]IFE!$AO$366</f>
        <v>0</v>
      </c>
      <c r="K47" s="319">
        <f>[1]IFE!$AQ363</f>
        <v>0</v>
      </c>
      <c r="L47" s="327">
        <f>[1]IFE!$AO$367</f>
        <v>0</v>
      </c>
      <c r="M47" s="322">
        <f t="shared" si="0"/>
        <v>0</v>
      </c>
      <c r="N47" s="323">
        <f>[1]IFE!$AO$378*F47</f>
        <v>0</v>
      </c>
      <c r="O47" s="328">
        <f>[1]IFE!$AO$368*G46</f>
        <v>0</v>
      </c>
    </row>
    <row r="48" spans="1:15" ht="11.1" customHeight="1" x14ac:dyDescent="0.25">
      <c r="A48" s="315">
        <f>[1]IFE!$AO$371</f>
        <v>0</v>
      </c>
      <c r="B48" s="316"/>
      <c r="C48" s="325">
        <f>[1]IFE!$AO$372</f>
        <v>0</v>
      </c>
      <c r="D48" s="592">
        <f>[1]IFE!$AO$380</f>
        <v>0</v>
      </c>
      <c r="E48" s="326">
        <f>[1]IFE!$AO$374</f>
        <v>0</v>
      </c>
      <c r="F48" s="326">
        <f>[1]IFE!$AO$373</f>
        <v>0</v>
      </c>
      <c r="G48" s="326">
        <f>[1]IFE!$AO$379</f>
        <v>0</v>
      </c>
      <c r="H48" s="326">
        <f>[1]IFE!$AO$375</f>
        <v>0</v>
      </c>
      <c r="I48" s="319">
        <f>[1]IFE!$AQ372</f>
        <v>0</v>
      </c>
      <c r="J48" s="326">
        <f>[1]IFE!$AO$376</f>
        <v>0</v>
      </c>
      <c r="K48" s="319">
        <f>[1]IFE!$AQ373</f>
        <v>0</v>
      </c>
      <c r="L48" s="327">
        <f>[1]IFE!$AO$377</f>
        <v>0</v>
      </c>
      <c r="M48" s="322">
        <f t="shared" si="0"/>
        <v>0</v>
      </c>
      <c r="N48" s="323">
        <f>[1]IFE!$AO$388*F48</f>
        <v>0</v>
      </c>
      <c r="O48" s="328">
        <f>[1]IFE!$AO$378*G47</f>
        <v>0</v>
      </c>
    </row>
    <row r="49" spans="1:29" ht="11.1" customHeight="1" x14ac:dyDescent="0.25">
      <c r="A49" s="315">
        <f>[1]IFE!$AO$381</f>
        <v>0</v>
      </c>
      <c r="B49" s="316"/>
      <c r="C49" s="325">
        <f>[1]IFE!$AO$382</f>
        <v>0</v>
      </c>
      <c r="D49" s="592">
        <f>[1]IFE!$AO$390</f>
        <v>0</v>
      </c>
      <c r="E49" s="326">
        <f>[1]IFE!$AO$384</f>
        <v>0</v>
      </c>
      <c r="F49" s="326">
        <f>[1]IFE!$AO$383</f>
        <v>0</v>
      </c>
      <c r="G49" s="326">
        <f>[1]IFE!$AO$389</f>
        <v>0</v>
      </c>
      <c r="H49" s="326">
        <f>[1]IFE!$AO$385</f>
        <v>0</v>
      </c>
      <c r="I49" s="319">
        <f>[1]IFE!$AQ382</f>
        <v>0</v>
      </c>
      <c r="J49" s="326">
        <f>[1]IFE!$AO$386</f>
        <v>0</v>
      </c>
      <c r="K49" s="319">
        <f>[1]IFE!$AQ383</f>
        <v>0</v>
      </c>
      <c r="L49" s="327">
        <f>[1]IFE!$AO$387</f>
        <v>0</v>
      </c>
      <c r="M49" s="322">
        <f t="shared" si="0"/>
        <v>0</v>
      </c>
      <c r="N49" s="323">
        <f>[1]IFE!$AO$398*F49</f>
        <v>0</v>
      </c>
      <c r="O49" s="328">
        <f>[1]IFE!$AO$388*G48</f>
        <v>0</v>
      </c>
    </row>
    <row r="50" spans="1:29" ht="11.1" customHeight="1" x14ac:dyDescent="0.25">
      <c r="A50" s="315">
        <f>[1]IFE!$AO$391</f>
        <v>0</v>
      </c>
      <c r="B50" s="316"/>
      <c r="C50" s="325">
        <f>[1]IFE!$AO$392</f>
        <v>0</v>
      </c>
      <c r="D50" s="592">
        <f>[1]IFE!$AO$400</f>
        <v>0</v>
      </c>
      <c r="E50" s="326">
        <f>[1]IFE!$AO$394</f>
        <v>0</v>
      </c>
      <c r="F50" s="326">
        <f>[1]IFE!$AO$393</f>
        <v>0</v>
      </c>
      <c r="G50" s="326">
        <f>[1]IFE!$AO$399</f>
        <v>0</v>
      </c>
      <c r="H50" s="326">
        <f>[1]IFE!$AO$395</f>
        <v>0</v>
      </c>
      <c r="I50" s="319">
        <f>[1]IFE!$AQ392</f>
        <v>0</v>
      </c>
      <c r="J50" s="326">
        <f>[1]IFE!$AO$396</f>
        <v>0</v>
      </c>
      <c r="K50" s="319">
        <f>[1]IFE!$AQ393</f>
        <v>0</v>
      </c>
      <c r="L50" s="327">
        <f>[1]IFE!$AO$397</f>
        <v>0</v>
      </c>
      <c r="M50" s="322">
        <f t="shared" si="0"/>
        <v>0</v>
      </c>
      <c r="N50" s="323">
        <f>[1]IFE!$AO$408*F50</f>
        <v>0</v>
      </c>
      <c r="O50" s="328">
        <f>[1]IFE!$AO$398*G49</f>
        <v>0</v>
      </c>
    </row>
    <row r="51" spans="1:29" ht="11.1" customHeight="1" x14ac:dyDescent="0.25">
      <c r="A51" s="315">
        <f>[1]IFE!$AO$401</f>
        <v>0</v>
      </c>
      <c r="B51" s="316"/>
      <c r="C51" s="325">
        <f>[1]IFE!$AO$402</f>
        <v>0</v>
      </c>
      <c r="D51" s="592">
        <f>[1]IFE!$AO$410</f>
        <v>0</v>
      </c>
      <c r="E51" s="326">
        <f>[1]IFE!$AO$404</f>
        <v>0</v>
      </c>
      <c r="F51" s="326">
        <f>[1]IFE!$AO$403</f>
        <v>0</v>
      </c>
      <c r="G51" s="326">
        <f>[1]IFE!$AO$409</f>
        <v>0</v>
      </c>
      <c r="H51" s="326">
        <f>[1]IFE!$AO$405</f>
        <v>0</v>
      </c>
      <c r="I51" s="319">
        <f>[1]IFE!$AQ402</f>
        <v>0</v>
      </c>
      <c r="J51" s="326">
        <f>[1]IFE!$AO$406</f>
        <v>0</v>
      </c>
      <c r="K51" s="319">
        <f>[1]IFE!$AQ403</f>
        <v>0</v>
      </c>
      <c r="L51" s="327">
        <f>[1]IFE!$AO$407</f>
        <v>0</v>
      </c>
      <c r="M51" s="322">
        <f t="shared" si="0"/>
        <v>0</v>
      </c>
      <c r="N51" s="323">
        <f>[1]IFE!$AO$418*F51</f>
        <v>0</v>
      </c>
      <c r="O51" s="328">
        <f>[1]IFE!$AO$408*G50</f>
        <v>0</v>
      </c>
    </row>
    <row r="52" spans="1:29" ht="11.1" customHeight="1" x14ac:dyDescent="0.25">
      <c r="A52" s="315">
        <f>[1]IFE!$AO$411</f>
        <v>0</v>
      </c>
      <c r="B52" s="316"/>
      <c r="C52" s="325">
        <f>[1]IFE!$AO$412</f>
        <v>0</v>
      </c>
      <c r="D52" s="592">
        <f>[1]IFE!$AO$420</f>
        <v>0</v>
      </c>
      <c r="E52" s="326">
        <f>[1]IFE!$AO$414</f>
        <v>0</v>
      </c>
      <c r="F52" s="326">
        <f>[1]IFE!$AO$413</f>
        <v>0</v>
      </c>
      <c r="G52" s="326">
        <f>[1]IFE!$AO$419</f>
        <v>0</v>
      </c>
      <c r="H52" s="326">
        <f>[1]IFE!$AO$415</f>
        <v>0</v>
      </c>
      <c r="I52" s="319">
        <f>[1]IFE!$AQ412</f>
        <v>0</v>
      </c>
      <c r="J52" s="326">
        <f>[1]IFE!$AO$416</f>
        <v>0</v>
      </c>
      <c r="K52" s="319">
        <f>[1]IFE!$AQ413</f>
        <v>0</v>
      </c>
      <c r="L52" s="327">
        <f>[1]IFE!$AO$417</f>
        <v>0</v>
      </c>
      <c r="M52" s="322">
        <f t="shared" si="0"/>
        <v>0</v>
      </c>
      <c r="N52" s="323">
        <f>[1]IFE!$AO$428*F52</f>
        <v>0</v>
      </c>
      <c r="O52" s="328">
        <f>[1]IFE!$AO$418*G51</f>
        <v>0</v>
      </c>
    </row>
    <row r="53" spans="1:29" ht="11.1" customHeight="1" x14ac:dyDescent="0.25">
      <c r="A53" s="315">
        <f>[1]IFE!$AO$421</f>
        <v>0</v>
      </c>
      <c r="B53" s="316"/>
      <c r="C53" s="325">
        <f>[1]IFE!$AO$422</f>
        <v>0</v>
      </c>
      <c r="D53" s="592">
        <f>[1]IFE!$AO$430</f>
        <v>0</v>
      </c>
      <c r="E53" s="326">
        <f>[1]IFE!$AO$424</f>
        <v>0</v>
      </c>
      <c r="F53" s="326">
        <f>[1]IFE!$AO$423</f>
        <v>0</v>
      </c>
      <c r="G53" s="326">
        <f>[1]IFE!$AO$429</f>
        <v>0</v>
      </c>
      <c r="H53" s="326">
        <f>[1]IFE!$AO$425</f>
        <v>0</v>
      </c>
      <c r="I53" s="319">
        <f>[1]IFE!$AQ422</f>
        <v>0</v>
      </c>
      <c r="J53" s="326">
        <f>[1]IFE!$AO$426</f>
        <v>0</v>
      </c>
      <c r="K53" s="319">
        <f>[1]IFE!$AQ423</f>
        <v>0</v>
      </c>
      <c r="L53" s="327">
        <f>[1]IFE!$AO$427</f>
        <v>0</v>
      </c>
      <c r="M53" s="322">
        <f t="shared" si="0"/>
        <v>0</v>
      </c>
      <c r="N53" s="323">
        <f>[1]IFE!$AO$438*F53</f>
        <v>0</v>
      </c>
      <c r="O53" s="328">
        <f>[1]IFE!$AO$428*G52</f>
        <v>0</v>
      </c>
    </row>
    <row r="54" spans="1:29" ht="11.1" customHeight="1" x14ac:dyDescent="0.25">
      <c r="A54" s="315">
        <f>[1]IFE!$AO$431</f>
        <v>0</v>
      </c>
      <c r="B54" s="316"/>
      <c r="C54" s="325">
        <f>[1]IFE!$AO$432</f>
        <v>0</v>
      </c>
      <c r="D54" s="592">
        <f>[1]IFE!$AO$440</f>
        <v>0</v>
      </c>
      <c r="E54" s="326">
        <f>[1]IFE!$AO$434</f>
        <v>0</v>
      </c>
      <c r="F54" s="326">
        <f>[1]IFE!$AO$433</f>
        <v>0</v>
      </c>
      <c r="G54" s="326">
        <f>[1]IFE!$AO$439</f>
        <v>0</v>
      </c>
      <c r="H54" s="326">
        <f>[1]IFE!$AO$435</f>
        <v>0</v>
      </c>
      <c r="I54" s="319">
        <f>[1]IFE!$AQ432</f>
        <v>0</v>
      </c>
      <c r="J54" s="326">
        <f>[1]IFE!$AO$436</f>
        <v>0</v>
      </c>
      <c r="K54" s="319">
        <f>[1]IFE!$AQ433</f>
        <v>0</v>
      </c>
      <c r="L54" s="327">
        <f>[1]IFE!$AO$437</f>
        <v>0</v>
      </c>
      <c r="M54" s="322">
        <f t="shared" si="0"/>
        <v>0</v>
      </c>
      <c r="N54" s="323">
        <f>[1]IFE!$AO$448*F54</f>
        <v>0</v>
      </c>
      <c r="O54" s="328">
        <f>[1]IFE!$AO$438*G53</f>
        <v>0</v>
      </c>
    </row>
    <row r="55" spans="1:29" ht="11.1" customHeight="1" x14ac:dyDescent="0.25">
      <c r="A55" s="315">
        <f>[1]IFE!$AO$441</f>
        <v>0</v>
      </c>
      <c r="B55" s="316"/>
      <c r="C55" s="325">
        <f>[1]IFE!$AO$442</f>
        <v>0</v>
      </c>
      <c r="D55" s="592">
        <f>[1]IFE!$AO$450</f>
        <v>0</v>
      </c>
      <c r="E55" s="326">
        <f>[1]IFE!$AO$444</f>
        <v>0</v>
      </c>
      <c r="F55" s="326">
        <f>[1]IFE!$AO$443</f>
        <v>0</v>
      </c>
      <c r="G55" s="326">
        <f>[1]IFE!$AO$449</f>
        <v>0</v>
      </c>
      <c r="H55" s="326">
        <f>[1]IFE!$AO$445</f>
        <v>0</v>
      </c>
      <c r="I55" s="319">
        <f>[1]IFE!$AQ442</f>
        <v>0</v>
      </c>
      <c r="J55" s="326">
        <f>[1]IFE!$AO$446</f>
        <v>0</v>
      </c>
      <c r="K55" s="319">
        <f>[1]IFE!$AQ443</f>
        <v>0</v>
      </c>
      <c r="L55" s="327">
        <f>[1]IFE!$AO$447</f>
        <v>0</v>
      </c>
      <c r="M55" s="322">
        <f t="shared" si="0"/>
        <v>0</v>
      </c>
      <c r="N55" s="323">
        <f>[1]IFE!$AO$458*F55</f>
        <v>0</v>
      </c>
      <c r="O55" s="328">
        <f>[1]IFE!$AO$448*G54</f>
        <v>0</v>
      </c>
    </row>
    <row r="56" spans="1:29" ht="11.1" customHeight="1" x14ac:dyDescent="0.25">
      <c r="A56" s="315">
        <f>[1]IFE!$AO$451</f>
        <v>0</v>
      </c>
      <c r="B56" s="316"/>
      <c r="C56" s="325">
        <f>[1]IFE!$AO$452</f>
        <v>0</v>
      </c>
      <c r="D56" s="592">
        <f>[1]IFE!$AO$460</f>
        <v>0</v>
      </c>
      <c r="E56" s="326">
        <f>[1]IFE!$AO$454</f>
        <v>0</v>
      </c>
      <c r="F56" s="326">
        <f>[1]IFE!$AO$453</f>
        <v>0</v>
      </c>
      <c r="G56" s="326">
        <f>[1]IFE!$AO$459</f>
        <v>0</v>
      </c>
      <c r="H56" s="326">
        <f>[1]IFE!$AO$455</f>
        <v>0</v>
      </c>
      <c r="I56" s="319">
        <f>[1]IFE!$AQ452</f>
        <v>0</v>
      </c>
      <c r="J56" s="326">
        <f>[1]IFE!$AO$456</f>
        <v>0</v>
      </c>
      <c r="K56" s="319">
        <f>[1]IFE!$AQ453</f>
        <v>0</v>
      </c>
      <c r="L56" s="327">
        <f>[1]IFE!$AO$457</f>
        <v>0</v>
      </c>
      <c r="M56" s="322">
        <f t="shared" si="0"/>
        <v>0</v>
      </c>
      <c r="N56" s="323">
        <f>[1]IFE!$AO$468*F56</f>
        <v>0</v>
      </c>
      <c r="O56" s="328">
        <f>[1]IFE!$AO$458*G55</f>
        <v>0</v>
      </c>
    </row>
    <row r="57" spans="1:29" ht="11.1" customHeight="1" x14ac:dyDescent="0.25">
      <c r="A57" s="315">
        <f>[1]IFE!$AO$461</f>
        <v>0</v>
      </c>
      <c r="B57" s="316"/>
      <c r="C57" s="325">
        <f>[1]IFE!$AO$462</f>
        <v>0</v>
      </c>
      <c r="D57" s="592">
        <f>[1]IFE!$AO$470</f>
        <v>0</v>
      </c>
      <c r="E57" s="326">
        <f>[1]IFE!$AO$464</f>
        <v>0</v>
      </c>
      <c r="F57" s="326">
        <f>[1]IFE!$AO$463</f>
        <v>0</v>
      </c>
      <c r="G57" s="326">
        <f>[1]IFE!$AO$469</f>
        <v>0</v>
      </c>
      <c r="H57" s="326">
        <f>[1]IFE!$AO$465</f>
        <v>0</v>
      </c>
      <c r="I57" s="319">
        <f>[1]IFE!$AQ462</f>
        <v>0</v>
      </c>
      <c r="J57" s="326">
        <f>[1]IFE!$AO$466</f>
        <v>0</v>
      </c>
      <c r="K57" s="319">
        <f>[1]IFE!$AQ463</f>
        <v>0</v>
      </c>
      <c r="L57" s="327">
        <f>[1]IFE!$AO$467</f>
        <v>0</v>
      </c>
      <c r="M57" s="322">
        <f t="shared" si="0"/>
        <v>0</v>
      </c>
      <c r="N57" s="323">
        <f>[1]IFE!$AO$478*F57</f>
        <v>0</v>
      </c>
      <c r="O57" s="328">
        <f>[1]IFE!$AO$468*G56</f>
        <v>0</v>
      </c>
    </row>
    <row r="58" spans="1:29" ht="11.1" customHeight="1" x14ac:dyDescent="0.25">
      <c r="A58" s="315">
        <f>[1]IFE!$AO$471</f>
        <v>0</v>
      </c>
      <c r="B58" s="316"/>
      <c r="C58" s="325">
        <f>[1]IFE!$AO$472</f>
        <v>0</v>
      </c>
      <c r="D58" s="592">
        <f>[1]IFE!$AO$480</f>
        <v>0</v>
      </c>
      <c r="E58" s="326">
        <f>[1]IFE!$AO$474</f>
        <v>0</v>
      </c>
      <c r="F58" s="326">
        <f>[1]IFE!$AO$473</f>
        <v>0</v>
      </c>
      <c r="G58" s="326">
        <f>[1]IFE!$AO$479</f>
        <v>0</v>
      </c>
      <c r="H58" s="326">
        <f>[1]IFE!$AO$475</f>
        <v>0</v>
      </c>
      <c r="I58" s="319">
        <f>[1]IFE!$AQ472</f>
        <v>0</v>
      </c>
      <c r="J58" s="326">
        <f>[1]IFE!$AO$476</f>
        <v>0</v>
      </c>
      <c r="K58" s="319">
        <f>[1]IFE!$AQ473</f>
        <v>0</v>
      </c>
      <c r="L58" s="327">
        <f>[1]IFE!$AO$477</f>
        <v>0</v>
      </c>
      <c r="M58" s="322">
        <f t="shared" si="0"/>
        <v>0</v>
      </c>
      <c r="N58" s="323">
        <f>[1]IFE!$AO$488*F58</f>
        <v>0</v>
      </c>
      <c r="O58" s="328">
        <f>[1]IFE!$AO$478*G57</f>
        <v>0</v>
      </c>
    </row>
    <row r="59" spans="1:29" ht="11.1" customHeight="1" x14ac:dyDescent="0.25">
      <c r="A59" s="315">
        <f>[1]IFE!$AO$481</f>
        <v>0</v>
      </c>
      <c r="B59" s="316"/>
      <c r="C59" s="325">
        <f>[1]IFE!$AO$482</f>
        <v>0</v>
      </c>
      <c r="D59" s="592">
        <f>[1]IFE!$AO$490</f>
        <v>0</v>
      </c>
      <c r="E59" s="326">
        <f>[1]IFE!$AO$484</f>
        <v>0</v>
      </c>
      <c r="F59" s="326">
        <f>[1]IFE!$AO$483</f>
        <v>0</v>
      </c>
      <c r="G59" s="326">
        <f>[1]IFE!$AO$489</f>
        <v>0</v>
      </c>
      <c r="H59" s="326">
        <f>[1]IFE!$AO$485</f>
        <v>0</v>
      </c>
      <c r="I59" s="319">
        <f>[1]IFE!$AQ482</f>
        <v>0</v>
      </c>
      <c r="J59" s="326">
        <f>[1]IFE!$AO$486</f>
        <v>0</v>
      </c>
      <c r="K59" s="319">
        <f>[1]IFE!$AQ483</f>
        <v>0</v>
      </c>
      <c r="L59" s="327">
        <f>[1]IFE!$AO$487</f>
        <v>0</v>
      </c>
      <c r="M59" s="322">
        <f t="shared" si="0"/>
        <v>0</v>
      </c>
      <c r="N59" s="323">
        <f>[1]IFE!$AO$498*F59</f>
        <v>0</v>
      </c>
      <c r="O59" s="328">
        <f>[1]IFE!$AO$488*G58</f>
        <v>0</v>
      </c>
    </row>
    <row r="60" spans="1:29" ht="11.1" customHeight="1" thickBot="1" x14ac:dyDescent="0.3">
      <c r="A60" s="330">
        <f>[1]IFE!$AO$491</f>
        <v>0</v>
      </c>
      <c r="B60" s="331"/>
      <c r="C60" s="332">
        <f>[1]IFE!$AO$492</f>
        <v>0</v>
      </c>
      <c r="D60" s="593">
        <f>[1]IFE!$AO$500</f>
        <v>0</v>
      </c>
      <c r="E60" s="334">
        <f>[1]IFE!$AO$494</f>
        <v>0</v>
      </c>
      <c r="F60" s="334">
        <f>[1]IFE!$AO$493</f>
        <v>0</v>
      </c>
      <c r="G60" s="334">
        <f>[1]IFE!$AO$499</f>
        <v>0</v>
      </c>
      <c r="H60" s="334">
        <f>[1]IFE!$AO$495</f>
        <v>0</v>
      </c>
      <c r="I60" s="334">
        <f>[1]IFE!$AQ492</f>
        <v>0</v>
      </c>
      <c r="J60" s="334">
        <f>[1]IFE!$AO$496</f>
        <v>0</v>
      </c>
      <c r="K60" s="334">
        <f>[1]IFE!$AQ493</f>
        <v>0</v>
      </c>
      <c r="L60" s="335">
        <f>[1]IFE!$AO$497</f>
        <v>0</v>
      </c>
      <c r="M60" s="336">
        <f t="shared" si="0"/>
        <v>0</v>
      </c>
      <c r="N60" s="323">
        <f>[1]IFE!$AO$508*F60</f>
        <v>0</v>
      </c>
      <c r="O60" s="328">
        <f>[1]IFE!$AO$498*G59</f>
        <v>0</v>
      </c>
    </row>
    <row r="61" spans="1:29" ht="20.100000000000001" customHeight="1" thickTop="1" x14ac:dyDescent="0.3">
      <c r="A61" s="337"/>
      <c r="B61" s="337"/>
      <c r="C61" s="337"/>
      <c r="D61" s="337"/>
      <c r="E61" s="625"/>
      <c r="F61" s="625"/>
      <c r="G61" s="771" t="s">
        <v>196</v>
      </c>
      <c r="H61" s="771"/>
      <c r="I61" s="771"/>
      <c r="J61" s="771"/>
      <c r="K61" s="771"/>
      <c r="L61" s="771"/>
      <c r="M61" s="771"/>
      <c r="N61" s="323">
        <f>[1]IFE!$AO$538*F73</f>
        <v>0</v>
      </c>
      <c r="O61" s="328">
        <f>[1]IFE!$AO$528*G72</f>
        <v>0</v>
      </c>
      <c r="T61" s="338"/>
      <c r="U61" s="338"/>
      <c r="V61" s="338"/>
      <c r="W61" s="338"/>
      <c r="X61" s="338"/>
      <c r="Y61" s="338"/>
      <c r="Z61" s="338"/>
      <c r="AA61" s="338"/>
      <c r="AB61" s="338"/>
      <c r="AC61" s="338"/>
    </row>
    <row r="62" spans="1:29" ht="24.9" customHeight="1" x14ac:dyDescent="0.25">
      <c r="A62" s="337"/>
      <c r="B62" s="337"/>
      <c r="C62" s="337"/>
      <c r="D62" s="337"/>
      <c r="E62" s="622"/>
      <c r="F62" s="622"/>
      <c r="G62" s="772" t="s">
        <v>178</v>
      </c>
      <c r="H62" s="772"/>
      <c r="I62" s="772"/>
      <c r="J62" s="772"/>
      <c r="K62" s="772"/>
      <c r="L62" s="772"/>
      <c r="M62" s="772"/>
      <c r="N62" s="323">
        <f>[1]IFE!$AO$548*F74</f>
        <v>0</v>
      </c>
      <c r="O62" s="328">
        <f>[1]IFE!$AO$538*G73</f>
        <v>0</v>
      </c>
      <c r="T62" s="338"/>
      <c r="U62" s="338"/>
      <c r="V62" s="338"/>
      <c r="W62" s="338"/>
      <c r="X62" s="338"/>
      <c r="Y62" s="338"/>
      <c r="Z62" s="338"/>
      <c r="AA62" s="338"/>
      <c r="AB62" s="338"/>
      <c r="AC62" s="338"/>
    </row>
    <row r="63" spans="1:29" ht="12.75" customHeight="1" x14ac:dyDescent="0.25">
      <c r="A63" s="3"/>
      <c r="B63" s="283" t="s">
        <v>11</v>
      </c>
      <c r="C63" s="284" t="str">
        <f>[1]IFE!$B$6</f>
        <v>Cardon IV</v>
      </c>
      <c r="D63" s="284"/>
      <c r="E63" s="285"/>
      <c r="F63" s="3"/>
      <c r="G63" s="3"/>
      <c r="H63" s="3"/>
      <c r="I63" s="286" t="s">
        <v>179</v>
      </c>
      <c r="J63" s="777">
        <f>[1]IFE!$B$119</f>
        <v>39989</v>
      </c>
      <c r="K63" s="777"/>
      <c r="L63" s="287"/>
      <c r="N63" s="323">
        <f>[1]IFE!$AO$568*F76</f>
        <v>0</v>
      </c>
      <c r="O63" s="328">
        <f>[1]IFE!$AO$558*G75</f>
        <v>0</v>
      </c>
    </row>
    <row r="64" spans="1:29" ht="12.75" customHeight="1" x14ac:dyDescent="0.25">
      <c r="A64" s="3"/>
      <c r="B64" s="283" t="s">
        <v>8</v>
      </c>
      <c r="C64" s="284" t="str">
        <f>[1]IFE!$B$8</f>
        <v>Perla-1X</v>
      </c>
      <c r="D64" s="284"/>
      <c r="E64" s="3"/>
      <c r="F64" s="3"/>
      <c r="G64" s="3"/>
      <c r="H64" s="3"/>
      <c r="I64" s="288" t="s">
        <v>180</v>
      </c>
      <c r="J64" s="289">
        <f>[1]IFE!$B$166</f>
        <v>9</v>
      </c>
      <c r="K64" s="3"/>
      <c r="M64" s="290"/>
      <c r="N64" s="323">
        <f>[1]IFE!$AO$578*F77</f>
        <v>0</v>
      </c>
      <c r="O64" s="328">
        <f>[1]IFE!$AO$568*G76</f>
        <v>0</v>
      </c>
    </row>
    <row r="65" spans="1:15" ht="12.75" customHeight="1" thickBot="1" x14ac:dyDescent="0.3">
      <c r="A65" s="3"/>
      <c r="B65" s="283" t="s">
        <v>181</v>
      </c>
      <c r="C65" s="291" t="str">
        <f>[1]IFE!$B$11</f>
        <v>Offshore</v>
      </c>
      <c r="D65" s="291"/>
      <c r="E65" s="283"/>
      <c r="F65" s="284"/>
      <c r="G65" s="3"/>
      <c r="H65" s="3"/>
      <c r="I65" s="283" t="s">
        <v>182</v>
      </c>
      <c r="J65" s="292">
        <v>2</v>
      </c>
      <c r="K65" s="3"/>
      <c r="M65" s="290"/>
      <c r="N65" s="323">
        <f>[1]IFE!$AO$588*F78</f>
        <v>0</v>
      </c>
      <c r="O65" s="328">
        <f>[1]IFE!$AO$578*G77</f>
        <v>0</v>
      </c>
    </row>
    <row r="66" spans="1:15" ht="12.75" customHeight="1" thickTop="1" x14ac:dyDescent="0.25">
      <c r="A66" s="339"/>
      <c r="B66" s="295"/>
      <c r="C66" s="297"/>
      <c r="D66" s="297"/>
      <c r="E66" s="778" t="s">
        <v>183</v>
      </c>
      <c r="F66" s="778"/>
      <c r="G66" s="778"/>
      <c r="H66" s="778"/>
      <c r="I66" s="778"/>
      <c r="J66" s="297"/>
      <c r="K66" s="340"/>
      <c r="L66" s="341"/>
      <c r="M66" s="342"/>
      <c r="N66" s="323">
        <f>[1]IFE!$AO$628*F82</f>
        <v>0</v>
      </c>
      <c r="O66" s="328">
        <f>[1]IFE!$AO$618*G81</f>
        <v>0</v>
      </c>
    </row>
    <row r="67" spans="1:15" ht="12.75" customHeight="1" x14ac:dyDescent="0.25">
      <c r="A67" s="343"/>
      <c r="B67" s="291"/>
      <c r="D67" s="300" t="s">
        <v>184</v>
      </c>
      <c r="F67" s="773">
        <f>$F$7</f>
        <v>5749.32</v>
      </c>
      <c r="G67" s="773"/>
      <c r="I67" s="284"/>
      <c r="J67" s="300" t="s">
        <v>238</v>
      </c>
      <c r="K67" s="774">
        <f>$K$7</f>
        <v>0</v>
      </c>
      <c r="L67" s="775"/>
      <c r="M67" s="344"/>
      <c r="N67" s="345"/>
      <c r="O67" s="346"/>
    </row>
    <row r="68" spans="1:15" ht="12.75" customHeight="1" thickBot="1" x14ac:dyDescent="0.3">
      <c r="A68" s="303"/>
      <c r="B68" s="304"/>
      <c r="D68" s="305" t="s">
        <v>185</v>
      </c>
      <c r="E68" s="304"/>
      <c r="F68" s="776">
        <f>$F$8</f>
        <v>89939.53</v>
      </c>
      <c r="G68" s="776"/>
      <c r="H68" s="304"/>
      <c r="I68" s="304"/>
      <c r="J68" s="304"/>
      <c r="K68" s="304"/>
      <c r="L68" s="347"/>
      <c r="M68" s="348"/>
      <c r="N68" s="345"/>
      <c r="O68" s="346"/>
    </row>
    <row r="69" spans="1:15" ht="12" customHeight="1" thickTop="1" x14ac:dyDescent="0.25">
      <c r="A69" s="307" t="s">
        <v>186</v>
      </c>
      <c r="B69" s="349"/>
      <c r="C69" s="309" t="s">
        <v>187</v>
      </c>
      <c r="D69" s="309" t="s">
        <v>187</v>
      </c>
      <c r="E69" s="309" t="s">
        <v>95</v>
      </c>
      <c r="F69" s="309" t="s">
        <v>138</v>
      </c>
      <c r="G69" s="309" t="s">
        <v>188</v>
      </c>
      <c r="H69" s="309" t="s">
        <v>138</v>
      </c>
      <c r="I69" s="309" t="s">
        <v>188</v>
      </c>
      <c r="J69" s="309" t="s">
        <v>138</v>
      </c>
      <c r="K69" s="309" t="s">
        <v>189</v>
      </c>
      <c r="L69" s="310" t="s">
        <v>100</v>
      </c>
      <c r="M69" s="516" t="s">
        <v>138</v>
      </c>
      <c r="N69" s="345"/>
      <c r="O69" s="346"/>
    </row>
    <row r="70" spans="1:15" ht="12" customHeight="1" thickBot="1" x14ac:dyDescent="0.3">
      <c r="A70" s="350"/>
      <c r="B70" s="351"/>
      <c r="C70" s="352" t="s">
        <v>49</v>
      </c>
      <c r="D70" s="352" t="s">
        <v>191</v>
      </c>
      <c r="E70" s="352" t="s">
        <v>195</v>
      </c>
      <c r="F70" s="352" t="s">
        <v>97</v>
      </c>
      <c r="G70" s="352" t="s">
        <v>97</v>
      </c>
      <c r="H70" s="352" t="s">
        <v>192</v>
      </c>
      <c r="I70" s="352" t="s">
        <v>192</v>
      </c>
      <c r="J70" s="352" t="s">
        <v>99</v>
      </c>
      <c r="K70" s="352" t="s">
        <v>99</v>
      </c>
      <c r="L70" s="353" t="s">
        <v>193</v>
      </c>
      <c r="M70" s="517" t="s">
        <v>159</v>
      </c>
      <c r="N70" s="345"/>
      <c r="O70" s="346"/>
    </row>
    <row r="71" spans="1:15" ht="11.1" customHeight="1" thickTop="1" x14ac:dyDescent="0.25">
      <c r="A71" s="354">
        <f>[1]IFE!$AO$501</f>
        <v>0</v>
      </c>
      <c r="B71" s="355"/>
      <c r="C71" s="317">
        <f>[1]IFE!$AO$502</f>
        <v>0</v>
      </c>
      <c r="D71" s="592">
        <f>[1]IFE!$AO$510</f>
        <v>0</v>
      </c>
      <c r="E71" s="319">
        <f>[1]IFE!$AO$504</f>
        <v>0</v>
      </c>
      <c r="F71" s="319">
        <f>[1]IFE!$AO$503</f>
        <v>0</v>
      </c>
      <c r="G71" s="319">
        <f>[1]IFE!$AO$509</f>
        <v>0</v>
      </c>
      <c r="H71" s="319">
        <f>[1]IFE!$AO$505</f>
        <v>0</v>
      </c>
      <c r="I71" s="319">
        <f>[1]IFE!$AQ502</f>
        <v>0</v>
      </c>
      <c r="J71" s="319">
        <f>[1]IFE!$AO$506</f>
        <v>0</v>
      </c>
      <c r="K71" s="515">
        <f>[1]IFE!$AQ503</f>
        <v>0</v>
      </c>
      <c r="L71" s="321">
        <f>[1]IFE!$AO$507</f>
        <v>0</v>
      </c>
      <c r="M71" s="356">
        <f t="shared" ref="M71:M120" si="1">D71*F71</f>
        <v>0</v>
      </c>
      <c r="N71" s="345"/>
      <c r="O71" s="346"/>
    </row>
    <row r="72" spans="1:15" ht="11.1" customHeight="1" x14ac:dyDescent="0.25">
      <c r="A72" s="315">
        <f>[1]IFE!$AO$511</f>
        <v>0</v>
      </c>
      <c r="B72" s="316"/>
      <c r="C72" s="325">
        <f>[1]IFE!$AO$512</f>
        <v>0</v>
      </c>
      <c r="D72" s="592">
        <f>[1]IFE!$AO$520</f>
        <v>0</v>
      </c>
      <c r="E72" s="326">
        <f>[1]IFE!$AO$514</f>
        <v>0</v>
      </c>
      <c r="F72" s="326">
        <f>[1]IFE!$AO$513</f>
        <v>0</v>
      </c>
      <c r="G72" s="326">
        <f>[1]IFE!$AO$519</f>
        <v>0</v>
      </c>
      <c r="H72" s="326">
        <f>[1]IFE!$AO$515</f>
        <v>0</v>
      </c>
      <c r="I72" s="319">
        <f>[1]IFE!$AQ512</f>
        <v>0</v>
      </c>
      <c r="J72" s="326">
        <f>[1]IFE!$AO$516</f>
        <v>0</v>
      </c>
      <c r="K72" s="326">
        <f>[1]IFE!$AQ513</f>
        <v>0</v>
      </c>
      <c r="L72" s="327">
        <f>[1]IFE!$AO$517</f>
        <v>0</v>
      </c>
      <c r="M72" s="322">
        <f t="shared" si="1"/>
        <v>0</v>
      </c>
      <c r="N72" s="345"/>
      <c r="O72" s="346"/>
    </row>
    <row r="73" spans="1:15" ht="11.1" customHeight="1" x14ac:dyDescent="0.25">
      <c r="A73" s="315">
        <f>[1]IFE!$AO$521</f>
        <v>0</v>
      </c>
      <c r="B73" s="316"/>
      <c r="C73" s="325">
        <f>[1]IFE!$AO$522</f>
        <v>0</v>
      </c>
      <c r="D73" s="592">
        <f>[1]IFE!$AO$530</f>
        <v>0</v>
      </c>
      <c r="E73" s="326">
        <f>[1]IFE!$AO$524</f>
        <v>0</v>
      </c>
      <c r="F73" s="326">
        <f>[1]IFE!$AO$523</f>
        <v>0</v>
      </c>
      <c r="G73" s="326">
        <f>[1]IFE!$AO$529</f>
        <v>0</v>
      </c>
      <c r="H73" s="326">
        <f>[1]IFE!$AO$525</f>
        <v>0</v>
      </c>
      <c r="I73" s="319">
        <f>[1]IFE!$AQ522</f>
        <v>0</v>
      </c>
      <c r="J73" s="326">
        <f>[1]IFE!$AO$526</f>
        <v>0</v>
      </c>
      <c r="K73" s="319">
        <f>[1]IFE!$AQ523</f>
        <v>0</v>
      </c>
      <c r="L73" s="327">
        <f>[1]IFE!$AO$527</f>
        <v>0</v>
      </c>
      <c r="M73" s="322">
        <f t="shared" si="1"/>
        <v>0</v>
      </c>
      <c r="N73" s="345"/>
      <c r="O73" s="346"/>
    </row>
    <row r="74" spans="1:15" ht="11.1" customHeight="1" x14ac:dyDescent="0.25">
      <c r="A74" s="315">
        <f>[1]IFE!$AO$531</f>
        <v>0</v>
      </c>
      <c r="B74" s="316"/>
      <c r="C74" s="325">
        <f>[1]IFE!$AO$532</f>
        <v>0</v>
      </c>
      <c r="D74" s="592">
        <f>[1]IFE!$AO$540</f>
        <v>0</v>
      </c>
      <c r="E74" s="326">
        <f>[1]IFE!$AO$534</f>
        <v>0</v>
      </c>
      <c r="F74" s="326">
        <f>[1]IFE!$AO$533</f>
        <v>0</v>
      </c>
      <c r="G74" s="326">
        <f>[1]IFE!$AO$539</f>
        <v>0</v>
      </c>
      <c r="H74" s="326">
        <f>[1]IFE!$AO$535</f>
        <v>0</v>
      </c>
      <c r="I74" s="319">
        <f>[1]IFE!$AQ532</f>
        <v>0</v>
      </c>
      <c r="J74" s="326">
        <f>[1]IFE!$AO$536</f>
        <v>0</v>
      </c>
      <c r="K74" s="326">
        <f>[1]IFE!$AQ533</f>
        <v>0</v>
      </c>
      <c r="L74" s="327">
        <f>[1]IFE!$AO$537</f>
        <v>0</v>
      </c>
      <c r="M74" s="322">
        <f t="shared" si="1"/>
        <v>0</v>
      </c>
      <c r="N74" s="345"/>
      <c r="O74" s="346"/>
    </row>
    <row r="75" spans="1:15" ht="11.1" customHeight="1" x14ac:dyDescent="0.25">
      <c r="A75" s="315">
        <f>[1]IFE!$AO$541</f>
        <v>0</v>
      </c>
      <c r="B75" s="316"/>
      <c r="C75" s="325">
        <f>[1]IFE!$AO$542</f>
        <v>0</v>
      </c>
      <c r="D75" s="592">
        <f>[1]IFE!$AO$550</f>
        <v>0</v>
      </c>
      <c r="E75" s="326">
        <f>[1]IFE!$AO$544</f>
        <v>0</v>
      </c>
      <c r="F75" s="326">
        <f>[1]IFE!$AO$543</f>
        <v>0</v>
      </c>
      <c r="G75" s="326">
        <f>[1]IFE!$AO$549</f>
        <v>0</v>
      </c>
      <c r="H75" s="326">
        <f>[1]IFE!$AO$545</f>
        <v>0</v>
      </c>
      <c r="I75" s="319">
        <f>[1]IFE!$AQ542</f>
        <v>0</v>
      </c>
      <c r="J75" s="326">
        <f>[1]IFE!$AO$546</f>
        <v>0</v>
      </c>
      <c r="K75" s="319">
        <f>[1]IFE!$AQ543</f>
        <v>0</v>
      </c>
      <c r="L75" s="327">
        <f>[1]IFE!$AO$547</f>
        <v>0</v>
      </c>
      <c r="M75" s="322">
        <f t="shared" si="1"/>
        <v>0</v>
      </c>
      <c r="N75" s="345"/>
      <c r="O75" s="346"/>
    </row>
    <row r="76" spans="1:15" ht="11.1" customHeight="1" x14ac:dyDescent="0.25">
      <c r="A76" s="315">
        <f>[1]IFE!$AO$551</f>
        <v>0</v>
      </c>
      <c r="B76" s="316"/>
      <c r="C76" s="325">
        <f>[1]IFE!$AO$552</f>
        <v>0</v>
      </c>
      <c r="D76" s="592">
        <f>[1]IFE!$AO$560</f>
        <v>0</v>
      </c>
      <c r="E76" s="326">
        <f>[1]IFE!$AO$554</f>
        <v>0</v>
      </c>
      <c r="F76" s="326">
        <f>[1]IFE!$AO$553</f>
        <v>0</v>
      </c>
      <c r="G76" s="326">
        <f>[1]IFE!$AO$559</f>
        <v>0</v>
      </c>
      <c r="H76" s="326">
        <f>[1]IFE!$AO$555</f>
        <v>0</v>
      </c>
      <c r="I76" s="319">
        <f>[1]IFE!$AQ552</f>
        <v>0</v>
      </c>
      <c r="J76" s="326">
        <f>[1]IFE!$AO$556</f>
        <v>0</v>
      </c>
      <c r="K76" s="326">
        <f>[1]IFE!$AQ553</f>
        <v>0</v>
      </c>
      <c r="L76" s="327">
        <f>[1]IFE!$AO$557</f>
        <v>0</v>
      </c>
      <c r="M76" s="322">
        <f t="shared" si="1"/>
        <v>0</v>
      </c>
      <c r="N76" s="345"/>
      <c r="O76" s="346"/>
    </row>
    <row r="77" spans="1:15" ht="11.1" customHeight="1" x14ac:dyDescent="0.25">
      <c r="A77" s="315">
        <f>[1]IFE!$AO$561</f>
        <v>0</v>
      </c>
      <c r="B77" s="316"/>
      <c r="C77" s="325">
        <f>[1]IFE!$AO$562</f>
        <v>0</v>
      </c>
      <c r="D77" s="592">
        <f>[1]IFE!$AO$570</f>
        <v>0</v>
      </c>
      <c r="E77" s="326">
        <f>[1]IFE!$AO$564</f>
        <v>0</v>
      </c>
      <c r="F77" s="326">
        <f>[1]IFE!$AO$563</f>
        <v>0</v>
      </c>
      <c r="G77" s="326">
        <f>[1]IFE!$AO$569</f>
        <v>0</v>
      </c>
      <c r="H77" s="326">
        <f>[1]IFE!$AO$565</f>
        <v>0</v>
      </c>
      <c r="I77" s="319">
        <f>[1]IFE!$AQ562</f>
        <v>0</v>
      </c>
      <c r="J77" s="326">
        <f>[1]IFE!$AO$566</f>
        <v>0</v>
      </c>
      <c r="K77" s="319">
        <f>[1]IFE!$AQ563</f>
        <v>0</v>
      </c>
      <c r="L77" s="327">
        <f>[1]IFE!$AO$567</f>
        <v>0</v>
      </c>
      <c r="M77" s="322">
        <f t="shared" si="1"/>
        <v>0</v>
      </c>
      <c r="N77" s="345"/>
      <c r="O77" s="346"/>
    </row>
    <row r="78" spans="1:15" ht="11.1" customHeight="1" x14ac:dyDescent="0.25">
      <c r="A78" s="315">
        <f>[1]IFE!$AO$571</f>
        <v>0</v>
      </c>
      <c r="B78" s="316"/>
      <c r="C78" s="325">
        <f>[1]IFE!$AO$572</f>
        <v>0</v>
      </c>
      <c r="D78" s="592">
        <f>[1]IFE!$AO$580</f>
        <v>0</v>
      </c>
      <c r="E78" s="326">
        <f>[1]IFE!$AO$574</f>
        <v>0</v>
      </c>
      <c r="F78" s="326">
        <f>[1]IFE!$AO$573</f>
        <v>0</v>
      </c>
      <c r="G78" s="326">
        <f>[1]IFE!$AO$579</f>
        <v>0</v>
      </c>
      <c r="H78" s="326">
        <f>[1]IFE!$AO$575</f>
        <v>0</v>
      </c>
      <c r="I78" s="319">
        <f>[1]IFE!$AQ572</f>
        <v>0</v>
      </c>
      <c r="J78" s="326">
        <f>[1]IFE!$AO$576</f>
        <v>0</v>
      </c>
      <c r="K78" s="326">
        <f>[1]IFE!$AQ573</f>
        <v>0</v>
      </c>
      <c r="L78" s="327">
        <f>[1]IFE!$AO$577</f>
        <v>0</v>
      </c>
      <c r="M78" s="322">
        <f t="shared" si="1"/>
        <v>0</v>
      </c>
      <c r="N78" s="345"/>
      <c r="O78" s="346"/>
    </row>
    <row r="79" spans="1:15" ht="11.1" customHeight="1" x14ac:dyDescent="0.25">
      <c r="A79" s="354">
        <f>[1]IFE!$AO$581</f>
        <v>0</v>
      </c>
      <c r="B79" s="355"/>
      <c r="C79" s="317">
        <f>[1]IFE!$AO$582</f>
        <v>0</v>
      </c>
      <c r="D79" s="592">
        <f>[1]IFE!$AO$590</f>
        <v>0</v>
      </c>
      <c r="E79" s="319">
        <f>[1]IFE!$AO$584</f>
        <v>0</v>
      </c>
      <c r="F79" s="319">
        <f>[1]IFE!$AO$583</f>
        <v>0</v>
      </c>
      <c r="G79" s="319">
        <f>[1]IFE!$AO$589</f>
        <v>0</v>
      </c>
      <c r="H79" s="319">
        <f>[1]IFE!$AO$585</f>
        <v>0</v>
      </c>
      <c r="I79" s="319">
        <f>[1]IFE!$AQ582</f>
        <v>0</v>
      </c>
      <c r="J79" s="319">
        <f>[1]IFE!$AO$586</f>
        <v>0</v>
      </c>
      <c r="K79" s="319">
        <f>[1]IFE!$AQ583</f>
        <v>0</v>
      </c>
      <c r="L79" s="321">
        <f>[1]IFE!$AO$587</f>
        <v>0</v>
      </c>
      <c r="M79" s="356">
        <f t="shared" si="1"/>
        <v>0</v>
      </c>
      <c r="N79" s="345"/>
      <c r="O79" s="346"/>
    </row>
    <row r="80" spans="1:15" ht="11.1" customHeight="1" x14ac:dyDescent="0.25">
      <c r="A80" s="315">
        <f>[1]IFE!$AO$591</f>
        <v>0</v>
      </c>
      <c r="B80" s="316"/>
      <c r="C80" s="325">
        <f>[1]IFE!$AO$592</f>
        <v>0</v>
      </c>
      <c r="D80" s="592">
        <f>[1]IFE!$AO$600</f>
        <v>0</v>
      </c>
      <c r="E80" s="326">
        <f>[1]IFE!$AO$594</f>
        <v>0</v>
      </c>
      <c r="F80" s="326">
        <f>[1]IFE!$AO$593</f>
        <v>0</v>
      </c>
      <c r="G80" s="326">
        <f>[1]IFE!$AO$599</f>
        <v>0</v>
      </c>
      <c r="H80" s="326">
        <f>[1]IFE!$AO$595</f>
        <v>0</v>
      </c>
      <c r="I80" s="319">
        <f>[1]IFE!$AQ592</f>
        <v>0</v>
      </c>
      <c r="J80" s="326">
        <f>[1]IFE!$AO$596</f>
        <v>0</v>
      </c>
      <c r="K80" s="326">
        <f>[1]IFE!$AQ593</f>
        <v>0</v>
      </c>
      <c r="L80" s="327">
        <f>[1]IFE!$AO$597</f>
        <v>0</v>
      </c>
      <c r="M80" s="356">
        <f t="shared" si="1"/>
        <v>0</v>
      </c>
      <c r="N80" s="337"/>
      <c r="O80" s="337"/>
    </row>
    <row r="81" spans="1:15" ht="11.1" customHeight="1" x14ac:dyDescent="0.25">
      <c r="A81" s="315">
        <f>[1]IFE!$AO$601</f>
        <v>0</v>
      </c>
      <c r="B81" s="316"/>
      <c r="C81" s="325">
        <f>[1]IFE!$AO$602</f>
        <v>0</v>
      </c>
      <c r="D81" s="592">
        <f>[1]IFE!$AO$610</f>
        <v>0</v>
      </c>
      <c r="E81" s="326">
        <f>[1]IFE!$AO$604</f>
        <v>0</v>
      </c>
      <c r="F81" s="326">
        <f>[1]IFE!$AO$603</f>
        <v>0</v>
      </c>
      <c r="G81" s="326">
        <f>[1]IFE!$AO$609</f>
        <v>0</v>
      </c>
      <c r="H81" s="326">
        <f>[1]IFE!$AO$605</f>
        <v>0</v>
      </c>
      <c r="I81" s="319">
        <f>[1]IFE!$AQ602</f>
        <v>0</v>
      </c>
      <c r="J81" s="326">
        <f>[1]IFE!$AO$606</f>
        <v>0</v>
      </c>
      <c r="K81" s="319">
        <f>[1]IFE!$AQ603</f>
        <v>0</v>
      </c>
      <c r="L81" s="327">
        <f>[1]IFE!$AO$607</f>
        <v>0</v>
      </c>
      <c r="M81" s="356">
        <f t="shared" si="1"/>
        <v>0</v>
      </c>
      <c r="N81" s="337"/>
      <c r="O81" s="337"/>
    </row>
    <row r="82" spans="1:15" ht="11.1" customHeight="1" x14ac:dyDescent="0.25">
      <c r="A82" s="315">
        <f>[1]IFE!$AO$611</f>
        <v>0</v>
      </c>
      <c r="B82" s="316"/>
      <c r="C82" s="325">
        <f>[1]IFE!$AO$612</f>
        <v>0</v>
      </c>
      <c r="D82" s="592">
        <f>[1]IFE!$AO$620</f>
        <v>0</v>
      </c>
      <c r="E82" s="326">
        <f>[1]IFE!$AO$614</f>
        <v>0</v>
      </c>
      <c r="F82" s="326">
        <f>[1]IFE!$AO$613</f>
        <v>0</v>
      </c>
      <c r="G82" s="326">
        <f>[1]IFE!$AO$619</f>
        <v>0</v>
      </c>
      <c r="H82" s="326">
        <f>[1]IFE!$AO$615</f>
        <v>0</v>
      </c>
      <c r="I82" s="319">
        <f>[1]IFE!$AQ612</f>
        <v>0</v>
      </c>
      <c r="J82" s="326">
        <f>[1]IFE!$AO$616</f>
        <v>0</v>
      </c>
      <c r="K82" s="326">
        <f>[1]IFE!$AQ613</f>
        <v>0</v>
      </c>
      <c r="L82" s="327">
        <f>[1]IFE!$AO$617</f>
        <v>0</v>
      </c>
      <c r="M82" s="356">
        <f t="shared" si="1"/>
        <v>0</v>
      </c>
      <c r="N82" s="337"/>
      <c r="O82" s="337"/>
    </row>
    <row r="83" spans="1:15" ht="11.1" customHeight="1" x14ac:dyDescent="0.25">
      <c r="A83" s="315">
        <f>[1]IFE!$AO$621</f>
        <v>0</v>
      </c>
      <c r="B83" s="316"/>
      <c r="C83" s="325">
        <f>[1]IFE!$AO$622</f>
        <v>0</v>
      </c>
      <c r="D83" s="592">
        <f>[1]IFE!$AO$630</f>
        <v>0</v>
      </c>
      <c r="E83" s="326">
        <f>[1]IFE!$AO$624</f>
        <v>0</v>
      </c>
      <c r="F83" s="326">
        <f>[1]IFE!$AO$623</f>
        <v>0</v>
      </c>
      <c r="G83" s="326">
        <f>[1]IFE!$AO$629</f>
        <v>0</v>
      </c>
      <c r="H83" s="326">
        <f>[1]IFE!$AO$625</f>
        <v>0</v>
      </c>
      <c r="I83" s="319">
        <f>[1]IFE!$AQ622</f>
        <v>0</v>
      </c>
      <c r="J83" s="326">
        <f>[1]IFE!$AO$626</f>
        <v>0</v>
      </c>
      <c r="K83" s="319">
        <f>[1]IFE!$AQ623</f>
        <v>0</v>
      </c>
      <c r="L83" s="327">
        <f>[1]IFE!$AO$627</f>
        <v>0</v>
      </c>
      <c r="M83" s="356">
        <f t="shared" si="1"/>
        <v>0</v>
      </c>
      <c r="N83" s="337"/>
      <c r="O83" s="337"/>
    </row>
    <row r="84" spans="1:15" ht="11.1" customHeight="1" x14ac:dyDescent="0.25">
      <c r="A84" s="357">
        <f>[1]IFE!$AO$631</f>
        <v>0</v>
      </c>
      <c r="B84" s="358"/>
      <c r="C84" s="359">
        <f>[1]IFE!$AO$632</f>
        <v>0</v>
      </c>
      <c r="D84" s="592">
        <f>[1]IFE!$AO$640</f>
        <v>0</v>
      </c>
      <c r="E84" s="360">
        <f>[1]IFE!$AO$634</f>
        <v>0</v>
      </c>
      <c r="F84" s="361">
        <f>[1]IFE!$AO$633</f>
        <v>0</v>
      </c>
      <c r="G84" s="360">
        <f>[1]IFE!$AO$639</f>
        <v>0</v>
      </c>
      <c r="H84" s="360">
        <f>[1]IFE!$AO$635</f>
        <v>0</v>
      </c>
      <c r="I84" s="319">
        <f>[1]IFE!$AQ632</f>
        <v>0</v>
      </c>
      <c r="J84" s="360">
        <f>[1]IFE!$AO$636</f>
        <v>0</v>
      </c>
      <c r="K84" s="326">
        <f>[1]IFE!$AQ633</f>
        <v>0</v>
      </c>
      <c r="L84" s="362">
        <f>[1]IFE!$AO$637</f>
        <v>0</v>
      </c>
      <c r="M84" s="356">
        <f t="shared" si="1"/>
        <v>0</v>
      </c>
      <c r="N84" s="337"/>
      <c r="O84" s="337"/>
    </row>
    <row r="85" spans="1:15" ht="11.1" customHeight="1" x14ac:dyDescent="0.25">
      <c r="A85" s="357">
        <f>[1]IFE!$AO$641</f>
        <v>0</v>
      </c>
      <c r="B85" s="363"/>
      <c r="C85" s="364">
        <f>[1]IFE!$AO$642</f>
        <v>0</v>
      </c>
      <c r="D85" s="592">
        <f>[1]IFE!$AO$650</f>
        <v>0</v>
      </c>
      <c r="E85" s="365">
        <f>[1]IFE!$AO$644</f>
        <v>0</v>
      </c>
      <c r="F85" s="366">
        <f>[1]IFE!$AO$643</f>
        <v>0</v>
      </c>
      <c r="G85" s="365">
        <f>[1]IFE!$AO$649</f>
        <v>0</v>
      </c>
      <c r="H85" s="365">
        <f>[1]IFE!$AO$645</f>
        <v>0</v>
      </c>
      <c r="I85" s="319">
        <f>[1]IFE!$AQ642</f>
        <v>0</v>
      </c>
      <c r="J85" s="365">
        <f>[1]IFE!$AO$646</f>
        <v>0</v>
      </c>
      <c r="K85" s="319">
        <f>[1]IFE!$AQ643</f>
        <v>0</v>
      </c>
      <c r="L85" s="367">
        <f>[1]IFE!$AO$647</f>
        <v>0</v>
      </c>
      <c r="M85" s="356">
        <f t="shared" si="1"/>
        <v>0</v>
      </c>
      <c r="N85" s="337"/>
      <c r="O85" s="337"/>
    </row>
    <row r="86" spans="1:15" ht="11.1" customHeight="1" x14ac:dyDescent="0.25">
      <c r="A86" s="357">
        <f>[1]IFE!$AO$651</f>
        <v>0</v>
      </c>
      <c r="B86" s="363"/>
      <c r="C86" s="364">
        <f>[1]IFE!$AO$652</f>
        <v>0</v>
      </c>
      <c r="D86" s="592">
        <f>[1]IFE!$AO$660</f>
        <v>0</v>
      </c>
      <c r="E86" s="365">
        <f>[1]IFE!$AO$654</f>
        <v>0</v>
      </c>
      <c r="F86" s="366">
        <f>[1]IFE!$AO$653</f>
        <v>0</v>
      </c>
      <c r="G86" s="365">
        <f>[1]IFE!$AO$659</f>
        <v>0</v>
      </c>
      <c r="H86" s="365">
        <f>[1]IFE!$AO$655</f>
        <v>0</v>
      </c>
      <c r="I86" s="319">
        <f>[1]IFE!$AQ652</f>
        <v>0</v>
      </c>
      <c r="J86" s="365">
        <f>[1]IFE!$AO$656</f>
        <v>0</v>
      </c>
      <c r="K86" s="326">
        <f>[1]IFE!$AQ653</f>
        <v>0</v>
      </c>
      <c r="L86" s="367">
        <f>[1]IFE!$AO$657</f>
        <v>0</v>
      </c>
      <c r="M86" s="356">
        <f t="shared" si="1"/>
        <v>0</v>
      </c>
      <c r="N86" s="337"/>
      <c r="O86" s="337"/>
    </row>
    <row r="87" spans="1:15" ht="11.1" customHeight="1" x14ac:dyDescent="0.25">
      <c r="A87" s="357">
        <f>[1]IFE!$AO$661</f>
        <v>0</v>
      </c>
      <c r="B87" s="363"/>
      <c r="C87" s="364">
        <f>[1]IFE!$AO$662</f>
        <v>0</v>
      </c>
      <c r="D87" s="592">
        <f>[1]IFE!$AO$670</f>
        <v>0</v>
      </c>
      <c r="E87" s="365">
        <f>[1]IFE!$AO$664</f>
        <v>0</v>
      </c>
      <c r="F87" s="366">
        <f>[1]IFE!$AO$663</f>
        <v>0</v>
      </c>
      <c r="G87" s="365">
        <f>[1]IFE!$AO$669</f>
        <v>0</v>
      </c>
      <c r="H87" s="365">
        <f>[1]IFE!$AO$665</f>
        <v>0</v>
      </c>
      <c r="I87" s="319">
        <f>[1]IFE!$AQ662</f>
        <v>0</v>
      </c>
      <c r="J87" s="365">
        <f>[1]IFE!$AO$666</f>
        <v>0</v>
      </c>
      <c r="K87" s="319">
        <f>[1]IFE!$AQ663</f>
        <v>0</v>
      </c>
      <c r="L87" s="367">
        <f>[1]IFE!$AO$667</f>
        <v>0</v>
      </c>
      <c r="M87" s="356">
        <f t="shared" si="1"/>
        <v>0</v>
      </c>
      <c r="N87" s="337"/>
      <c r="O87" s="337"/>
    </row>
    <row r="88" spans="1:15" ht="11.1" customHeight="1" x14ac:dyDescent="0.25">
      <c r="A88" s="357">
        <f>[1]IFE!$AO$671</f>
        <v>0</v>
      </c>
      <c r="B88" s="363"/>
      <c r="C88" s="364">
        <f>[1]IFE!$AO$672</f>
        <v>0</v>
      </c>
      <c r="D88" s="592">
        <f>[1]IFE!$AO$680</f>
        <v>0</v>
      </c>
      <c r="E88" s="365">
        <f>[1]IFE!$AO$674</f>
        <v>0</v>
      </c>
      <c r="F88" s="366">
        <f>[1]IFE!$AO$673</f>
        <v>0</v>
      </c>
      <c r="G88" s="365">
        <f>[1]IFE!$AO$679</f>
        <v>0</v>
      </c>
      <c r="H88" s="365">
        <f>[1]IFE!$AO$675</f>
        <v>0</v>
      </c>
      <c r="I88" s="319">
        <f>[1]IFE!$AQ672</f>
        <v>0</v>
      </c>
      <c r="J88" s="365">
        <f>[1]IFE!$AO$676</f>
        <v>0</v>
      </c>
      <c r="K88" s="326">
        <f>[1]IFE!$AQ673</f>
        <v>0</v>
      </c>
      <c r="L88" s="367">
        <f>[1]IFE!$AO$677</f>
        <v>0</v>
      </c>
      <c r="M88" s="356">
        <f t="shared" si="1"/>
        <v>0</v>
      </c>
      <c r="N88" s="337"/>
      <c r="O88" s="337"/>
    </row>
    <row r="89" spans="1:15" ht="11.1" customHeight="1" x14ac:dyDescent="0.25">
      <c r="A89" s="357">
        <f>[1]IFE!$AO$681</f>
        <v>0</v>
      </c>
      <c r="B89" s="363"/>
      <c r="C89" s="364">
        <f>[1]IFE!$AO$682</f>
        <v>0</v>
      </c>
      <c r="D89" s="592">
        <f>[1]IFE!$AO$690</f>
        <v>0</v>
      </c>
      <c r="E89" s="365">
        <f>[1]IFE!$AO$684</f>
        <v>0</v>
      </c>
      <c r="F89" s="366">
        <f>[1]IFE!$AO$683</f>
        <v>0</v>
      </c>
      <c r="G89" s="365">
        <f>[1]IFE!$AO$689</f>
        <v>0</v>
      </c>
      <c r="H89" s="365">
        <f>[1]IFE!$AO$685</f>
        <v>0</v>
      </c>
      <c r="I89" s="319">
        <f>[1]IFE!$AQ682</f>
        <v>0</v>
      </c>
      <c r="J89" s="365">
        <f>[1]IFE!$AO$686</f>
        <v>0</v>
      </c>
      <c r="K89" s="319">
        <f>[1]IFE!$AQ683</f>
        <v>0</v>
      </c>
      <c r="L89" s="367">
        <f>[1]IFE!$AO$687</f>
        <v>0</v>
      </c>
      <c r="M89" s="356">
        <f t="shared" si="1"/>
        <v>0</v>
      </c>
      <c r="N89" s="337"/>
      <c r="O89" s="337"/>
    </row>
    <row r="90" spans="1:15" ht="11.1" customHeight="1" x14ac:dyDescent="0.25">
      <c r="A90" s="368">
        <f>[1]IFE!AO691</f>
        <v>0</v>
      </c>
      <c r="B90" s="363"/>
      <c r="C90" s="369">
        <f>[1]IFE!$AO$692</f>
        <v>0</v>
      </c>
      <c r="D90" s="592">
        <f>[1]IFE!$AO$700</f>
        <v>0</v>
      </c>
      <c r="E90" s="370">
        <f>[1]IFE!$AO$694</f>
        <v>0</v>
      </c>
      <c r="F90" s="371">
        <f>[1]IFE!$AO$693</f>
        <v>0</v>
      </c>
      <c r="G90" s="370">
        <f>[1]IFE!$AO$699</f>
        <v>0</v>
      </c>
      <c r="H90" s="370">
        <f>[1]IFE!$AO$695</f>
        <v>0</v>
      </c>
      <c r="I90" s="319">
        <f>[1]IFE!$AQ692</f>
        <v>0</v>
      </c>
      <c r="J90" s="370">
        <f>[1]IFE!$AO$696</f>
        <v>0</v>
      </c>
      <c r="K90" s="326">
        <f>[1]IFE!$AQ693</f>
        <v>0</v>
      </c>
      <c r="L90" s="372">
        <f>[1]IFE!$AO$697</f>
        <v>0</v>
      </c>
      <c r="M90" s="356">
        <f t="shared" si="1"/>
        <v>0</v>
      </c>
      <c r="N90" s="337"/>
      <c r="O90" s="337"/>
    </row>
    <row r="91" spans="1:15" ht="11.1" customHeight="1" x14ac:dyDescent="0.25">
      <c r="A91" s="368">
        <f>[1]IFE!AO701</f>
        <v>0</v>
      </c>
      <c r="B91" s="363"/>
      <c r="C91" s="369">
        <f>[1]IFE!$AO$702</f>
        <v>0</v>
      </c>
      <c r="D91" s="592">
        <f>[1]IFE!$AO$710</f>
        <v>0</v>
      </c>
      <c r="E91" s="370">
        <f>[1]IFE!$AO$704</f>
        <v>0</v>
      </c>
      <c r="F91" s="371">
        <f>[1]IFE!$AO$703</f>
        <v>0</v>
      </c>
      <c r="G91" s="370">
        <f>[1]IFE!$AO$709</f>
        <v>0</v>
      </c>
      <c r="H91" s="370">
        <f>[1]IFE!$AO$705</f>
        <v>0</v>
      </c>
      <c r="I91" s="319">
        <f>[1]IFE!$AQ702</f>
        <v>0</v>
      </c>
      <c r="J91" s="370">
        <f>[1]IFE!$AO$706</f>
        <v>0</v>
      </c>
      <c r="K91" s="319">
        <f>[1]IFE!$AQ703</f>
        <v>0</v>
      </c>
      <c r="L91" s="372">
        <f>[1]IFE!$AO$707</f>
        <v>0</v>
      </c>
      <c r="M91" s="356">
        <f t="shared" si="1"/>
        <v>0</v>
      </c>
      <c r="N91" s="337"/>
      <c r="O91" s="337"/>
    </row>
    <row r="92" spans="1:15" ht="11.1" customHeight="1" x14ac:dyDescent="0.25">
      <c r="A92" s="368">
        <f>[1]IFE!AO711</f>
        <v>0</v>
      </c>
      <c r="B92" s="358"/>
      <c r="C92" s="369">
        <f>[1]IFE!$AO$712</f>
        <v>0</v>
      </c>
      <c r="D92" s="592">
        <f>[1]IFE!$AO$720</f>
        <v>0</v>
      </c>
      <c r="E92" s="370">
        <f>[1]IFE!$AO$714</f>
        <v>0</v>
      </c>
      <c r="F92" s="371">
        <f>[1]IFE!$AO$713</f>
        <v>0</v>
      </c>
      <c r="G92" s="370">
        <f>[1]IFE!$AO$719</f>
        <v>0</v>
      </c>
      <c r="H92" s="370">
        <f>[1]IFE!$AO$715</f>
        <v>0</v>
      </c>
      <c r="I92" s="319">
        <f>[1]IFE!$AQ712</f>
        <v>0</v>
      </c>
      <c r="J92" s="370">
        <f>[1]IFE!$AO$716</f>
        <v>0</v>
      </c>
      <c r="K92" s="326">
        <f>[1]IFE!$AQ713</f>
        <v>0</v>
      </c>
      <c r="L92" s="372">
        <f>[1]IFE!$AO$717</f>
        <v>0</v>
      </c>
      <c r="M92" s="356">
        <f t="shared" si="1"/>
        <v>0</v>
      </c>
      <c r="N92" s="337"/>
      <c r="O92" s="337"/>
    </row>
    <row r="93" spans="1:15" ht="11.1" customHeight="1" x14ac:dyDescent="0.25">
      <c r="A93" s="368">
        <f>[1]IFE!AO721</f>
        <v>0</v>
      </c>
      <c r="B93" s="358"/>
      <c r="C93" s="369">
        <f>[1]IFE!$AO$722</f>
        <v>0</v>
      </c>
      <c r="D93" s="592">
        <f>[1]IFE!$AO$730</f>
        <v>0</v>
      </c>
      <c r="E93" s="370">
        <f>[1]IFE!$AO$724</f>
        <v>0</v>
      </c>
      <c r="F93" s="371">
        <f>[1]IFE!$AO$723</f>
        <v>0</v>
      </c>
      <c r="G93" s="370">
        <f>[1]IFE!$AO$729</f>
        <v>0</v>
      </c>
      <c r="H93" s="370">
        <f>[1]IFE!$AO$725</f>
        <v>0</v>
      </c>
      <c r="I93" s="319">
        <f>[1]IFE!$AQ722</f>
        <v>0</v>
      </c>
      <c r="J93" s="370">
        <f>[1]IFE!$AO$726</f>
        <v>0</v>
      </c>
      <c r="K93" s="319">
        <f>[1]IFE!$AQ723</f>
        <v>0</v>
      </c>
      <c r="L93" s="372">
        <f>[1]IFE!$AO$727</f>
        <v>0</v>
      </c>
      <c r="M93" s="356">
        <f t="shared" si="1"/>
        <v>0</v>
      </c>
      <c r="N93" s="337"/>
      <c r="O93" s="337"/>
    </row>
    <row r="94" spans="1:15" ht="11.1" customHeight="1" x14ac:dyDescent="0.25">
      <c r="A94" s="368">
        <f>[1]IFE!AO731</f>
        <v>0</v>
      </c>
      <c r="B94" s="358"/>
      <c r="C94" s="369">
        <f>[1]IFE!$AO$732</f>
        <v>0</v>
      </c>
      <c r="D94" s="592">
        <f>[1]IFE!$AO$740</f>
        <v>0</v>
      </c>
      <c r="E94" s="370">
        <f>[1]IFE!$AO$734</f>
        <v>0</v>
      </c>
      <c r="F94" s="371">
        <f>[1]IFE!$AO$733</f>
        <v>0</v>
      </c>
      <c r="G94" s="370">
        <f>[1]IFE!$AO$739</f>
        <v>0</v>
      </c>
      <c r="H94" s="370">
        <f>[1]IFE!$AO$735</f>
        <v>0</v>
      </c>
      <c r="I94" s="319">
        <f>[1]IFE!$AQ732</f>
        <v>0</v>
      </c>
      <c r="J94" s="370">
        <f>[1]IFE!$AO$736</f>
        <v>0</v>
      </c>
      <c r="K94" s="326">
        <f>[1]IFE!$AQ733</f>
        <v>0</v>
      </c>
      <c r="L94" s="372">
        <f>[1]IFE!$AO$737</f>
        <v>0</v>
      </c>
      <c r="M94" s="356">
        <f t="shared" si="1"/>
        <v>0</v>
      </c>
      <c r="N94" s="337"/>
      <c r="O94" s="337"/>
    </row>
    <row r="95" spans="1:15" ht="11.1" customHeight="1" x14ac:dyDescent="0.25">
      <c r="A95" s="368">
        <f>[1]IFE!AO741</f>
        <v>0</v>
      </c>
      <c r="B95" s="358"/>
      <c r="C95" s="369">
        <f>[1]IFE!$AO$742</f>
        <v>0</v>
      </c>
      <c r="D95" s="592">
        <f>[1]IFE!$AO$750</f>
        <v>0</v>
      </c>
      <c r="E95" s="370">
        <f>[1]IFE!$AO$744</f>
        <v>0</v>
      </c>
      <c r="F95" s="371">
        <f>[1]IFE!$AO$743</f>
        <v>0</v>
      </c>
      <c r="G95" s="370">
        <f>[1]IFE!$AO$749</f>
        <v>0</v>
      </c>
      <c r="H95" s="370">
        <f>[1]IFE!$AO$745</f>
        <v>0</v>
      </c>
      <c r="I95" s="319">
        <f>[1]IFE!$AQ742</f>
        <v>0</v>
      </c>
      <c r="J95" s="370">
        <f>[1]IFE!$AO$746</f>
        <v>0</v>
      </c>
      <c r="K95" s="319">
        <f>[1]IFE!$AQ743</f>
        <v>0</v>
      </c>
      <c r="L95" s="372">
        <f>[1]IFE!$AO$747</f>
        <v>0</v>
      </c>
      <c r="M95" s="356">
        <f t="shared" si="1"/>
        <v>0</v>
      </c>
      <c r="N95" s="337"/>
      <c r="O95" s="337"/>
    </row>
    <row r="96" spans="1:15" ht="11.1" customHeight="1" x14ac:dyDescent="0.25">
      <c r="A96" s="368">
        <f>[1]IFE!AO751</f>
        <v>0</v>
      </c>
      <c r="B96" s="358"/>
      <c r="C96" s="369">
        <f>[1]IFE!$AO$752</f>
        <v>0</v>
      </c>
      <c r="D96" s="592">
        <f>[1]IFE!$AO$760</f>
        <v>0</v>
      </c>
      <c r="E96" s="370">
        <f>[1]IFE!$AO$754</f>
        <v>0</v>
      </c>
      <c r="F96" s="371">
        <f>[1]IFE!$AO$753</f>
        <v>0</v>
      </c>
      <c r="G96" s="370">
        <f>[1]IFE!$AO$759</f>
        <v>0</v>
      </c>
      <c r="H96" s="370">
        <f>[1]IFE!$AO$755</f>
        <v>0</v>
      </c>
      <c r="I96" s="319">
        <f>[1]IFE!$AQ752</f>
        <v>0</v>
      </c>
      <c r="J96" s="370">
        <f>[1]IFE!$AO$756</f>
        <v>0</v>
      </c>
      <c r="K96" s="326">
        <f>[1]IFE!$AQ753</f>
        <v>0</v>
      </c>
      <c r="L96" s="372">
        <f>[1]IFE!$AO$757</f>
        <v>0</v>
      </c>
      <c r="M96" s="356">
        <f t="shared" si="1"/>
        <v>0</v>
      </c>
      <c r="N96" s="337"/>
      <c r="O96" s="337"/>
    </row>
    <row r="97" spans="1:15" ht="11.1" customHeight="1" x14ac:dyDescent="0.25">
      <c r="A97" s="368">
        <f>[1]IFE!AO761</f>
        <v>0</v>
      </c>
      <c r="B97" s="358"/>
      <c r="C97" s="369">
        <f>[1]IFE!$AO$762</f>
        <v>0</v>
      </c>
      <c r="D97" s="592">
        <f>[1]IFE!$AO$770</f>
        <v>0</v>
      </c>
      <c r="E97" s="370">
        <f>[1]IFE!$AO$764</f>
        <v>0</v>
      </c>
      <c r="F97" s="371">
        <f>[1]IFE!$AO$763</f>
        <v>0</v>
      </c>
      <c r="G97" s="370">
        <f>[1]IFE!$AO$769</f>
        <v>0</v>
      </c>
      <c r="H97" s="370">
        <f>[1]IFE!$AO$765</f>
        <v>0</v>
      </c>
      <c r="I97" s="319">
        <f>[1]IFE!$AQ762</f>
        <v>0</v>
      </c>
      <c r="J97" s="370">
        <f>[1]IFE!$AO$766</f>
        <v>0</v>
      </c>
      <c r="K97" s="319">
        <f>[1]IFE!$AQ763</f>
        <v>0</v>
      </c>
      <c r="L97" s="372">
        <f>[1]IFE!$AO$767</f>
        <v>0</v>
      </c>
      <c r="M97" s="356">
        <f t="shared" si="1"/>
        <v>0</v>
      </c>
      <c r="N97" s="337"/>
      <c r="O97" s="337"/>
    </row>
    <row r="98" spans="1:15" ht="11.1" customHeight="1" x14ac:dyDescent="0.25">
      <c r="A98" s="368">
        <f>[1]IFE!AO771</f>
        <v>0</v>
      </c>
      <c r="B98" s="358"/>
      <c r="C98" s="369">
        <f>[1]IFE!$AO$772</f>
        <v>0</v>
      </c>
      <c r="D98" s="592">
        <f>[1]IFE!$AO$780</f>
        <v>0</v>
      </c>
      <c r="E98" s="370">
        <f>[1]IFE!$AO$774</f>
        <v>0</v>
      </c>
      <c r="F98" s="371">
        <f>[1]IFE!$AO$773</f>
        <v>0</v>
      </c>
      <c r="G98" s="370">
        <f>[1]IFE!$AO$779</f>
        <v>0</v>
      </c>
      <c r="H98" s="370">
        <f>[1]IFE!$AO$775</f>
        <v>0</v>
      </c>
      <c r="I98" s="319">
        <f>[1]IFE!$AQ772</f>
        <v>0</v>
      </c>
      <c r="J98" s="370">
        <f>[1]IFE!$AO$776</f>
        <v>0</v>
      </c>
      <c r="K98" s="326">
        <f>[1]IFE!$AQ773</f>
        <v>0</v>
      </c>
      <c r="L98" s="372">
        <f>[1]IFE!$AO$777</f>
        <v>0</v>
      </c>
      <c r="M98" s="356">
        <f t="shared" si="1"/>
        <v>0</v>
      </c>
      <c r="N98" s="337"/>
      <c r="O98" s="337"/>
    </row>
    <row r="99" spans="1:15" ht="11.1" customHeight="1" x14ac:dyDescent="0.25">
      <c r="A99" s="368">
        <f>[1]IFE!AO781</f>
        <v>0</v>
      </c>
      <c r="B99" s="358"/>
      <c r="C99" s="369">
        <f>[1]IFE!$AO$782</f>
        <v>0</v>
      </c>
      <c r="D99" s="592">
        <f>[1]IFE!$AO$790</f>
        <v>0</v>
      </c>
      <c r="E99" s="370">
        <f>[1]IFE!$AO$784</f>
        <v>0</v>
      </c>
      <c r="F99" s="371">
        <f>[1]IFE!$AO$783</f>
        <v>0</v>
      </c>
      <c r="G99" s="370">
        <f>[1]IFE!$AO$789</f>
        <v>0</v>
      </c>
      <c r="H99" s="370">
        <f>[1]IFE!$AO$785</f>
        <v>0</v>
      </c>
      <c r="I99" s="319">
        <f>[1]IFE!$AQ782</f>
        <v>0</v>
      </c>
      <c r="J99" s="370">
        <f>[1]IFE!$AO$786</f>
        <v>0</v>
      </c>
      <c r="K99" s="319">
        <f>[1]IFE!$AQ783</f>
        <v>0</v>
      </c>
      <c r="L99" s="372">
        <f>[1]IFE!$AO$787</f>
        <v>0</v>
      </c>
      <c r="M99" s="356">
        <f t="shared" si="1"/>
        <v>0</v>
      </c>
      <c r="N99" s="337"/>
      <c r="O99" s="337"/>
    </row>
    <row r="100" spans="1:15" ht="11.1" customHeight="1" x14ac:dyDescent="0.25">
      <c r="A100" s="368">
        <f>[1]IFE!AO791</f>
        <v>0</v>
      </c>
      <c r="B100" s="358"/>
      <c r="C100" s="369">
        <f>[1]IFE!$AO$792</f>
        <v>0</v>
      </c>
      <c r="D100" s="592">
        <f>[1]IFE!$AO$800</f>
        <v>0</v>
      </c>
      <c r="E100" s="370">
        <f>[1]IFE!$AO$794</f>
        <v>0</v>
      </c>
      <c r="F100" s="371">
        <f>[1]IFE!$AO$793</f>
        <v>0</v>
      </c>
      <c r="G100" s="370">
        <f>[1]IFE!$AO$799</f>
        <v>0</v>
      </c>
      <c r="H100" s="370">
        <f>[1]IFE!$AO$795</f>
        <v>0</v>
      </c>
      <c r="I100" s="319">
        <f>[1]IFE!$AQ792</f>
        <v>0</v>
      </c>
      <c r="J100" s="370">
        <f>[1]IFE!$AO$796</f>
        <v>0</v>
      </c>
      <c r="K100" s="326">
        <f>[1]IFE!$AQ793</f>
        <v>0</v>
      </c>
      <c r="L100" s="372">
        <f>[1]IFE!$AO$797</f>
        <v>0</v>
      </c>
      <c r="M100" s="356">
        <f t="shared" si="1"/>
        <v>0</v>
      </c>
      <c r="N100" s="337"/>
      <c r="O100" s="337"/>
    </row>
    <row r="101" spans="1:15" ht="11.1" customHeight="1" x14ac:dyDescent="0.25">
      <c r="A101" s="368">
        <f>[1]IFE!AO801</f>
        <v>0</v>
      </c>
      <c r="B101" s="358"/>
      <c r="C101" s="369">
        <f>[1]IFE!$AO$802</f>
        <v>0</v>
      </c>
      <c r="D101" s="592">
        <f>[1]IFE!$AO$810</f>
        <v>0</v>
      </c>
      <c r="E101" s="370">
        <f>[1]IFE!$AO$804</f>
        <v>0</v>
      </c>
      <c r="F101" s="371">
        <f>[1]IFE!$AO$803</f>
        <v>0</v>
      </c>
      <c r="G101" s="370">
        <f>[1]IFE!$AO$809</f>
        <v>0</v>
      </c>
      <c r="H101" s="370">
        <f>[1]IFE!$AO$805</f>
        <v>0</v>
      </c>
      <c r="I101" s="319">
        <f>[1]IFE!$AQ802</f>
        <v>0</v>
      </c>
      <c r="J101" s="370">
        <f>[1]IFE!$AO$806</f>
        <v>0</v>
      </c>
      <c r="K101" s="319">
        <f>[1]IFE!$AQ803</f>
        <v>0</v>
      </c>
      <c r="L101" s="372">
        <f>[1]IFE!$AO$807</f>
        <v>0</v>
      </c>
      <c r="M101" s="356">
        <f t="shared" si="1"/>
        <v>0</v>
      </c>
      <c r="N101" s="337"/>
      <c r="O101" s="337"/>
    </row>
    <row r="102" spans="1:15" ht="11.1" customHeight="1" x14ac:dyDescent="0.25">
      <c r="A102" s="368">
        <f>[1]IFE!AO811</f>
        <v>0</v>
      </c>
      <c r="B102" s="358"/>
      <c r="C102" s="369">
        <f>[1]IFE!$AO$812</f>
        <v>0</v>
      </c>
      <c r="D102" s="592">
        <f>[1]IFE!$AO$820</f>
        <v>0</v>
      </c>
      <c r="E102" s="370">
        <f>[1]IFE!$AO$814</f>
        <v>0</v>
      </c>
      <c r="F102" s="371">
        <f>[1]IFE!$AO$813</f>
        <v>0</v>
      </c>
      <c r="G102" s="370">
        <f>[1]IFE!$AO$819</f>
        <v>0</v>
      </c>
      <c r="H102" s="370">
        <f>[1]IFE!$AO$815</f>
        <v>0</v>
      </c>
      <c r="I102" s="319">
        <f>[1]IFE!$AQ812</f>
        <v>0</v>
      </c>
      <c r="J102" s="370">
        <f>[1]IFE!$AO$816</f>
        <v>0</v>
      </c>
      <c r="K102" s="326">
        <f>[1]IFE!$AQ813</f>
        <v>0</v>
      </c>
      <c r="L102" s="372">
        <f>[1]IFE!$AO$817</f>
        <v>0</v>
      </c>
      <c r="M102" s="356">
        <f t="shared" si="1"/>
        <v>0</v>
      </c>
      <c r="N102" s="337"/>
      <c r="O102" s="337"/>
    </row>
    <row r="103" spans="1:15" ht="11.1" customHeight="1" x14ac:dyDescent="0.25">
      <c r="A103" s="368">
        <f>[1]IFE!AO821</f>
        <v>0</v>
      </c>
      <c r="B103" s="358"/>
      <c r="C103" s="369">
        <f>[1]IFE!$AO$822</f>
        <v>0</v>
      </c>
      <c r="D103" s="592">
        <f>[1]IFE!$AO$830</f>
        <v>0</v>
      </c>
      <c r="E103" s="370">
        <f>[1]IFE!$AO$824</f>
        <v>0</v>
      </c>
      <c r="F103" s="371">
        <f>[1]IFE!$AO$823</f>
        <v>0</v>
      </c>
      <c r="G103" s="370">
        <f>[1]IFE!$AO$829</f>
        <v>0</v>
      </c>
      <c r="H103" s="370">
        <f>[1]IFE!$AO$825</f>
        <v>0</v>
      </c>
      <c r="I103" s="319">
        <f>[1]IFE!$AQ822</f>
        <v>0</v>
      </c>
      <c r="J103" s="370">
        <f>[1]IFE!$AO$826</f>
        <v>0</v>
      </c>
      <c r="K103" s="319">
        <f>[1]IFE!$AQ823</f>
        <v>0</v>
      </c>
      <c r="L103" s="372">
        <f>[1]IFE!$AO$827</f>
        <v>0</v>
      </c>
      <c r="M103" s="356">
        <f t="shared" si="1"/>
        <v>0</v>
      </c>
      <c r="N103" s="337"/>
      <c r="O103" s="337"/>
    </row>
    <row r="104" spans="1:15" ht="11.1" customHeight="1" x14ac:dyDescent="0.25">
      <c r="A104" s="368">
        <f>[1]IFE!AO831</f>
        <v>0</v>
      </c>
      <c r="B104" s="358"/>
      <c r="C104" s="369">
        <f>[1]IFE!$AO$832</f>
        <v>0</v>
      </c>
      <c r="D104" s="592">
        <f>[1]IFE!$AO$840</f>
        <v>0</v>
      </c>
      <c r="E104" s="370">
        <f>[1]IFE!$AO$834</f>
        <v>0</v>
      </c>
      <c r="F104" s="371">
        <f>[1]IFE!$AO$833</f>
        <v>0</v>
      </c>
      <c r="G104" s="370">
        <f>[1]IFE!$AO$839</f>
        <v>0</v>
      </c>
      <c r="H104" s="370">
        <f>[1]IFE!$AO$835</f>
        <v>0</v>
      </c>
      <c r="I104" s="319">
        <f>[1]IFE!$AQ832</f>
        <v>0</v>
      </c>
      <c r="J104" s="370">
        <f>[1]IFE!$AO$836</f>
        <v>0</v>
      </c>
      <c r="K104" s="326">
        <f>[1]IFE!$AQ833</f>
        <v>0</v>
      </c>
      <c r="L104" s="372">
        <f>[1]IFE!$AO$837</f>
        <v>0</v>
      </c>
      <c r="M104" s="356">
        <f t="shared" si="1"/>
        <v>0</v>
      </c>
      <c r="N104" s="337"/>
      <c r="O104" s="337"/>
    </row>
    <row r="105" spans="1:15" ht="11.1" customHeight="1" x14ac:dyDescent="0.25">
      <c r="A105" s="368">
        <f>[1]IFE!AO841</f>
        <v>0</v>
      </c>
      <c r="B105" s="358"/>
      <c r="C105" s="369">
        <f>[1]IFE!$AO$842</f>
        <v>0</v>
      </c>
      <c r="D105" s="592">
        <f>[1]IFE!$AO$850</f>
        <v>0</v>
      </c>
      <c r="E105" s="370">
        <f>[1]IFE!$AO$844</f>
        <v>0</v>
      </c>
      <c r="F105" s="371">
        <f>[1]IFE!$AO$843</f>
        <v>0</v>
      </c>
      <c r="G105" s="370">
        <f>[1]IFE!$AO$849</f>
        <v>0</v>
      </c>
      <c r="H105" s="370">
        <f>[1]IFE!$AO$845</f>
        <v>0</v>
      </c>
      <c r="I105" s="319">
        <f>[1]IFE!$AQ842</f>
        <v>0</v>
      </c>
      <c r="J105" s="370">
        <f>[1]IFE!$AO$846</f>
        <v>0</v>
      </c>
      <c r="K105" s="319">
        <f>[1]IFE!$AQ843</f>
        <v>0</v>
      </c>
      <c r="L105" s="372">
        <f>[1]IFE!$AO$847</f>
        <v>0</v>
      </c>
      <c r="M105" s="356">
        <f t="shared" si="1"/>
        <v>0</v>
      </c>
      <c r="N105" s="337"/>
      <c r="O105" s="337"/>
    </row>
    <row r="106" spans="1:15" ht="11.1" customHeight="1" x14ac:dyDescent="0.25">
      <c r="A106" s="368">
        <f>[1]IFE!AO851</f>
        <v>0</v>
      </c>
      <c r="B106" s="358"/>
      <c r="C106" s="369">
        <f>[1]IFE!$AO$852</f>
        <v>0</v>
      </c>
      <c r="D106" s="592">
        <f>[1]IFE!$AO$860</f>
        <v>0</v>
      </c>
      <c r="E106" s="370">
        <f>[1]IFE!$AO$854</f>
        <v>0</v>
      </c>
      <c r="F106" s="371">
        <f>[1]IFE!$AO$853</f>
        <v>0</v>
      </c>
      <c r="G106" s="370">
        <f>[1]IFE!$AO$859</f>
        <v>0</v>
      </c>
      <c r="H106" s="370">
        <f>[1]IFE!$AO$855</f>
        <v>0</v>
      </c>
      <c r="I106" s="319">
        <f>[1]IFE!$AQ852</f>
        <v>0</v>
      </c>
      <c r="J106" s="370">
        <f>[1]IFE!$AO$856</f>
        <v>0</v>
      </c>
      <c r="K106" s="326">
        <f>[1]IFE!$AQ853</f>
        <v>0</v>
      </c>
      <c r="L106" s="372">
        <f>[1]IFE!$AO$857</f>
        <v>0</v>
      </c>
      <c r="M106" s="356">
        <f t="shared" si="1"/>
        <v>0</v>
      </c>
      <c r="N106" s="337"/>
      <c r="O106" s="337"/>
    </row>
    <row r="107" spans="1:15" ht="11.1" customHeight="1" x14ac:dyDescent="0.25">
      <c r="A107" s="368">
        <f>[1]IFE!AO861</f>
        <v>0</v>
      </c>
      <c r="B107" s="358"/>
      <c r="C107" s="369">
        <f>[1]IFE!$AO$862</f>
        <v>0</v>
      </c>
      <c r="D107" s="592">
        <f>[1]IFE!$AO$870</f>
        <v>0</v>
      </c>
      <c r="E107" s="370">
        <f>[1]IFE!$AO$864</f>
        <v>0</v>
      </c>
      <c r="F107" s="371">
        <f>[1]IFE!$AO$863</f>
        <v>0</v>
      </c>
      <c r="G107" s="370">
        <f>[1]IFE!$AO$869</f>
        <v>0</v>
      </c>
      <c r="H107" s="370">
        <f>[1]IFE!$AO$865</f>
        <v>0</v>
      </c>
      <c r="I107" s="319">
        <f>[1]IFE!$AQ862</f>
        <v>0</v>
      </c>
      <c r="J107" s="370">
        <f>[1]IFE!$AO$866</f>
        <v>0</v>
      </c>
      <c r="K107" s="319">
        <f>[1]IFE!$AQ863</f>
        <v>0</v>
      </c>
      <c r="L107" s="372">
        <f>[1]IFE!$AO$867</f>
        <v>0</v>
      </c>
      <c r="M107" s="356">
        <f t="shared" si="1"/>
        <v>0</v>
      </c>
      <c r="N107" s="337"/>
      <c r="O107" s="337"/>
    </row>
    <row r="108" spans="1:15" ht="11.1" customHeight="1" x14ac:dyDescent="0.25">
      <c r="A108" s="368">
        <f>[1]IFE!AO871</f>
        <v>0</v>
      </c>
      <c r="B108" s="358"/>
      <c r="C108" s="369">
        <f>[1]IFE!$AO$872</f>
        <v>0</v>
      </c>
      <c r="D108" s="592">
        <f>[1]IFE!$AO$880</f>
        <v>0</v>
      </c>
      <c r="E108" s="370">
        <f>[1]IFE!$AO$874</f>
        <v>0</v>
      </c>
      <c r="F108" s="371">
        <f>[1]IFE!$AO$873</f>
        <v>0</v>
      </c>
      <c r="G108" s="370">
        <f>[1]IFE!$AO$879</f>
        <v>0</v>
      </c>
      <c r="H108" s="370">
        <f>[1]IFE!$AO$875</f>
        <v>0</v>
      </c>
      <c r="I108" s="319">
        <f>[1]IFE!$AQ872</f>
        <v>0</v>
      </c>
      <c r="J108" s="370">
        <f>[1]IFE!$AO$876</f>
        <v>0</v>
      </c>
      <c r="K108" s="326">
        <f>[1]IFE!$AQ873</f>
        <v>0</v>
      </c>
      <c r="L108" s="372">
        <f>[1]IFE!$AO$877</f>
        <v>0</v>
      </c>
      <c r="M108" s="356">
        <f t="shared" si="1"/>
        <v>0</v>
      </c>
      <c r="N108" s="337"/>
      <c r="O108" s="337"/>
    </row>
    <row r="109" spans="1:15" ht="11.1" customHeight="1" x14ac:dyDescent="0.25">
      <c r="A109" s="368">
        <f>[1]IFE!AO881</f>
        <v>0</v>
      </c>
      <c r="B109" s="358"/>
      <c r="C109" s="369">
        <f>[1]IFE!$AO$882</f>
        <v>0</v>
      </c>
      <c r="D109" s="592">
        <f>[1]IFE!$AO$890</f>
        <v>0</v>
      </c>
      <c r="E109" s="370">
        <f>[1]IFE!$AO$884</f>
        <v>0</v>
      </c>
      <c r="F109" s="371">
        <f>[1]IFE!$AO$883</f>
        <v>0</v>
      </c>
      <c r="G109" s="370">
        <f>[1]IFE!$AO$889</f>
        <v>0</v>
      </c>
      <c r="H109" s="370">
        <f>[1]IFE!$AO$885</f>
        <v>0</v>
      </c>
      <c r="I109" s="319">
        <f>[1]IFE!$AQ882</f>
        <v>0</v>
      </c>
      <c r="J109" s="370">
        <f>[1]IFE!$AO$886</f>
        <v>0</v>
      </c>
      <c r="K109" s="319">
        <f>[1]IFE!$AQ883</f>
        <v>0</v>
      </c>
      <c r="L109" s="372">
        <f>[1]IFE!$AO$887</f>
        <v>0</v>
      </c>
      <c r="M109" s="356">
        <f t="shared" si="1"/>
        <v>0</v>
      </c>
      <c r="N109" s="337"/>
      <c r="O109" s="337"/>
    </row>
    <row r="110" spans="1:15" ht="11.1" customHeight="1" x14ac:dyDescent="0.25">
      <c r="A110" s="368">
        <f>[1]IFE!AO891</f>
        <v>0</v>
      </c>
      <c r="B110" s="358"/>
      <c r="C110" s="369">
        <f>[1]IFE!$AO$892</f>
        <v>0</v>
      </c>
      <c r="D110" s="592">
        <f>[1]IFE!$AO$900</f>
        <v>0</v>
      </c>
      <c r="E110" s="370">
        <f>[1]IFE!$AO$894</f>
        <v>0</v>
      </c>
      <c r="F110" s="371">
        <f>[1]IFE!$AO$893</f>
        <v>0</v>
      </c>
      <c r="G110" s="370">
        <f>[1]IFE!$AO$899</f>
        <v>0</v>
      </c>
      <c r="H110" s="370">
        <f>[1]IFE!$AO$895</f>
        <v>0</v>
      </c>
      <c r="I110" s="319">
        <f>[1]IFE!$AQ892</f>
        <v>0</v>
      </c>
      <c r="J110" s="370">
        <f>[1]IFE!$AO$896</f>
        <v>0</v>
      </c>
      <c r="K110" s="326">
        <f>[1]IFE!$AQ893</f>
        <v>0</v>
      </c>
      <c r="L110" s="372">
        <f>[1]IFE!$AO$897</f>
        <v>0</v>
      </c>
      <c r="M110" s="356">
        <f t="shared" si="1"/>
        <v>0</v>
      </c>
      <c r="N110" s="337"/>
      <c r="O110" s="337"/>
    </row>
    <row r="111" spans="1:15" ht="11.1" customHeight="1" x14ac:dyDescent="0.25">
      <c r="A111" s="368">
        <f>[1]IFE!AO901</f>
        <v>0</v>
      </c>
      <c r="B111" s="358"/>
      <c r="C111" s="369">
        <f>[1]IFE!$AO$902</f>
        <v>0</v>
      </c>
      <c r="D111" s="592">
        <f>[1]IFE!$AO$910</f>
        <v>0</v>
      </c>
      <c r="E111" s="370">
        <f>[1]IFE!$AO$904</f>
        <v>0</v>
      </c>
      <c r="F111" s="371">
        <f>[1]IFE!$AO$903</f>
        <v>0</v>
      </c>
      <c r="G111" s="370">
        <f>[1]IFE!$AO$909</f>
        <v>0</v>
      </c>
      <c r="H111" s="370">
        <f>[1]IFE!$AO$905</f>
        <v>0</v>
      </c>
      <c r="I111" s="319">
        <f>[1]IFE!$AQ902</f>
        <v>0</v>
      </c>
      <c r="J111" s="370">
        <f>[1]IFE!$AO$906</f>
        <v>0</v>
      </c>
      <c r="K111" s="319">
        <f>[1]IFE!$AQ903</f>
        <v>0</v>
      </c>
      <c r="L111" s="372">
        <f>[1]IFE!$AO$907</f>
        <v>0</v>
      </c>
      <c r="M111" s="356">
        <f t="shared" si="1"/>
        <v>0</v>
      </c>
      <c r="N111" s="337"/>
      <c r="O111" s="337"/>
    </row>
    <row r="112" spans="1:15" ht="11.1" customHeight="1" x14ac:dyDescent="0.25">
      <c r="A112" s="368">
        <f>[1]IFE!AO911</f>
        <v>0</v>
      </c>
      <c r="B112" s="358"/>
      <c r="C112" s="369">
        <f>[1]IFE!$AO$912</f>
        <v>0</v>
      </c>
      <c r="D112" s="592">
        <f>[1]IFE!$AO$920</f>
        <v>0</v>
      </c>
      <c r="E112" s="370">
        <f>[1]IFE!$AO$914</f>
        <v>0</v>
      </c>
      <c r="F112" s="371">
        <f>[1]IFE!$AO$913</f>
        <v>0</v>
      </c>
      <c r="G112" s="370">
        <f>[1]IFE!$AO$919</f>
        <v>0</v>
      </c>
      <c r="H112" s="370">
        <f>[1]IFE!$AO$915</f>
        <v>0</v>
      </c>
      <c r="I112" s="319">
        <f>[1]IFE!$AQ912</f>
        <v>0</v>
      </c>
      <c r="J112" s="370">
        <f>[1]IFE!$AO$916</f>
        <v>0</v>
      </c>
      <c r="K112" s="326">
        <f>[1]IFE!$AQ913</f>
        <v>0</v>
      </c>
      <c r="L112" s="372">
        <f>[1]IFE!$AO$917</f>
        <v>0</v>
      </c>
      <c r="M112" s="356">
        <f t="shared" si="1"/>
        <v>0</v>
      </c>
      <c r="N112" s="337"/>
      <c r="O112" s="337"/>
    </row>
    <row r="113" spans="1:15" ht="11.1" customHeight="1" x14ac:dyDescent="0.25">
      <c r="A113" s="368">
        <f>[1]IFE!AO921</f>
        <v>0</v>
      </c>
      <c r="B113" s="358"/>
      <c r="C113" s="369">
        <f>[1]IFE!$AO$922</f>
        <v>0</v>
      </c>
      <c r="D113" s="592">
        <f>[1]IFE!$AO$930</f>
        <v>0</v>
      </c>
      <c r="E113" s="370">
        <f>[1]IFE!$AO$924</f>
        <v>0</v>
      </c>
      <c r="F113" s="371">
        <f>[1]IFE!$AO$923</f>
        <v>0</v>
      </c>
      <c r="G113" s="370">
        <f>[1]IFE!$AO$929</f>
        <v>0</v>
      </c>
      <c r="H113" s="370">
        <f>[1]IFE!$AO$925</f>
        <v>0</v>
      </c>
      <c r="I113" s="319">
        <f>[1]IFE!$AQ922</f>
        <v>0</v>
      </c>
      <c r="J113" s="370">
        <f>[1]IFE!$AO$926</f>
        <v>0</v>
      </c>
      <c r="K113" s="319">
        <f>[1]IFE!$AQ923</f>
        <v>0</v>
      </c>
      <c r="L113" s="372">
        <f>[1]IFE!$AO$927</f>
        <v>0</v>
      </c>
      <c r="M113" s="356">
        <f t="shared" si="1"/>
        <v>0</v>
      </c>
      <c r="N113" s="337"/>
      <c r="O113" s="337"/>
    </row>
    <row r="114" spans="1:15" ht="11.1" customHeight="1" x14ac:dyDescent="0.25">
      <c r="A114" s="368">
        <f>[1]IFE!AO931</f>
        <v>0</v>
      </c>
      <c r="B114" s="358"/>
      <c r="C114" s="369">
        <f>[1]IFE!$AO$932</f>
        <v>0</v>
      </c>
      <c r="D114" s="592">
        <f>[1]IFE!$AO$940</f>
        <v>0</v>
      </c>
      <c r="E114" s="370">
        <f>[1]IFE!$AO$934</f>
        <v>0</v>
      </c>
      <c r="F114" s="371">
        <f>[1]IFE!$AO$933</f>
        <v>0</v>
      </c>
      <c r="G114" s="370">
        <f>[1]IFE!$AO$939</f>
        <v>0</v>
      </c>
      <c r="H114" s="370">
        <f>[1]IFE!$AO$935</f>
        <v>0</v>
      </c>
      <c r="I114" s="319">
        <f>[1]IFE!$AQ932</f>
        <v>0</v>
      </c>
      <c r="J114" s="370">
        <f>[1]IFE!$AO$936</f>
        <v>0</v>
      </c>
      <c r="K114" s="326">
        <f>[1]IFE!$AQ933</f>
        <v>0</v>
      </c>
      <c r="L114" s="372">
        <f>[1]IFE!$AO$937</f>
        <v>0</v>
      </c>
      <c r="M114" s="356">
        <f t="shared" si="1"/>
        <v>0</v>
      </c>
      <c r="N114" s="337"/>
      <c r="O114" s="337"/>
    </row>
    <row r="115" spans="1:15" ht="11.1" customHeight="1" x14ac:dyDescent="0.25">
      <c r="A115" s="368">
        <f>[1]IFE!AO941</f>
        <v>0</v>
      </c>
      <c r="B115" s="358"/>
      <c r="C115" s="369">
        <f>[1]IFE!$AO$942</f>
        <v>0</v>
      </c>
      <c r="D115" s="592">
        <f>[1]IFE!$AO$950</f>
        <v>0</v>
      </c>
      <c r="E115" s="370">
        <f>[1]IFE!$AO$944</f>
        <v>0</v>
      </c>
      <c r="F115" s="371">
        <f>[1]IFE!$AO$943</f>
        <v>0</v>
      </c>
      <c r="G115" s="370">
        <f>[1]IFE!$AO$949</f>
        <v>0</v>
      </c>
      <c r="H115" s="370">
        <f>[1]IFE!$AO$945</f>
        <v>0</v>
      </c>
      <c r="I115" s="319">
        <f>[1]IFE!$AQ942</f>
        <v>0</v>
      </c>
      <c r="J115" s="370">
        <f>[1]IFE!$AO$946</f>
        <v>0</v>
      </c>
      <c r="K115" s="319">
        <f>[1]IFE!$AQ943</f>
        <v>0</v>
      </c>
      <c r="L115" s="372">
        <f>[1]IFE!$AO$947</f>
        <v>0</v>
      </c>
      <c r="M115" s="356">
        <f t="shared" si="1"/>
        <v>0</v>
      </c>
      <c r="N115" s="337"/>
      <c r="O115" s="337"/>
    </row>
    <row r="116" spans="1:15" ht="11.1" customHeight="1" x14ac:dyDescent="0.25">
      <c r="A116" s="368">
        <f>[1]IFE!AO951</f>
        <v>0</v>
      </c>
      <c r="B116" s="358"/>
      <c r="C116" s="369">
        <f>[1]IFE!$AO$952</f>
        <v>0</v>
      </c>
      <c r="D116" s="592">
        <f>[1]IFE!$AO$960</f>
        <v>0</v>
      </c>
      <c r="E116" s="370">
        <f>[1]IFE!$AO$954</f>
        <v>0</v>
      </c>
      <c r="F116" s="371">
        <f>[1]IFE!$AO$953</f>
        <v>0</v>
      </c>
      <c r="G116" s="370">
        <f>[1]IFE!$AO$959</f>
        <v>0</v>
      </c>
      <c r="H116" s="370">
        <f>[1]IFE!$AO$955</f>
        <v>0</v>
      </c>
      <c r="I116" s="319">
        <f>[1]IFE!$AQ952</f>
        <v>0</v>
      </c>
      <c r="J116" s="370">
        <f>[1]IFE!$AO$956</f>
        <v>0</v>
      </c>
      <c r="K116" s="326">
        <f>[1]IFE!$AQ953</f>
        <v>0</v>
      </c>
      <c r="L116" s="372">
        <f>[1]IFE!$AO$957</f>
        <v>0</v>
      </c>
      <c r="M116" s="356">
        <f t="shared" si="1"/>
        <v>0</v>
      </c>
      <c r="N116" s="337"/>
      <c r="O116" s="337"/>
    </row>
    <row r="117" spans="1:15" ht="11.1" customHeight="1" x14ac:dyDescent="0.25">
      <c r="A117" s="368">
        <f>[1]IFE!AO961</f>
        <v>0</v>
      </c>
      <c r="B117" s="358"/>
      <c r="C117" s="369">
        <f>[1]IFE!$AO$962</f>
        <v>0</v>
      </c>
      <c r="D117" s="592">
        <f>[1]IFE!$AO$970</f>
        <v>0</v>
      </c>
      <c r="E117" s="370">
        <f>[1]IFE!$AO$964</f>
        <v>0</v>
      </c>
      <c r="F117" s="371">
        <f>[1]IFE!$AO$963</f>
        <v>0</v>
      </c>
      <c r="G117" s="370">
        <f>[1]IFE!$AO$969</f>
        <v>0</v>
      </c>
      <c r="H117" s="370">
        <f>[1]IFE!$AO$965</f>
        <v>0</v>
      </c>
      <c r="I117" s="319">
        <f>[1]IFE!$AQ962</f>
        <v>0</v>
      </c>
      <c r="J117" s="370">
        <f>[1]IFE!$AO$966</f>
        <v>0</v>
      </c>
      <c r="K117" s="319">
        <f>[1]IFE!$AQ963</f>
        <v>0</v>
      </c>
      <c r="L117" s="372">
        <f>[1]IFE!$AO$967</f>
        <v>0</v>
      </c>
      <c r="M117" s="356">
        <f t="shared" si="1"/>
        <v>0</v>
      </c>
      <c r="N117" s="337"/>
      <c r="O117" s="337"/>
    </row>
    <row r="118" spans="1:15" ht="11.1" customHeight="1" x14ac:dyDescent="0.25">
      <c r="A118" s="368">
        <f>[1]IFE!AO971</f>
        <v>0</v>
      </c>
      <c r="B118" s="358"/>
      <c r="C118" s="369">
        <f>[1]IFE!$AO$972</f>
        <v>0</v>
      </c>
      <c r="D118" s="592">
        <f>[1]IFE!$AO$980</f>
        <v>0</v>
      </c>
      <c r="E118" s="370">
        <f>[1]IFE!$AO$974</f>
        <v>0</v>
      </c>
      <c r="F118" s="371">
        <f>[1]IFE!$AO$973</f>
        <v>0</v>
      </c>
      <c r="G118" s="370">
        <f>[1]IFE!$AO$979</f>
        <v>0</v>
      </c>
      <c r="H118" s="370">
        <f>[1]IFE!$AO$975</f>
        <v>0</v>
      </c>
      <c r="I118" s="319">
        <f>[1]IFE!$AQ972</f>
        <v>0</v>
      </c>
      <c r="J118" s="370">
        <f>[1]IFE!$AO$976</f>
        <v>0</v>
      </c>
      <c r="K118" s="326">
        <f>[1]IFE!$AQ973</f>
        <v>0</v>
      </c>
      <c r="L118" s="372">
        <f>[1]IFE!$AO$977</f>
        <v>0</v>
      </c>
      <c r="M118" s="356">
        <f t="shared" si="1"/>
        <v>0</v>
      </c>
      <c r="N118" s="337"/>
      <c r="O118" s="337"/>
    </row>
    <row r="119" spans="1:15" ht="11.1" customHeight="1" x14ac:dyDescent="0.25">
      <c r="A119" s="368">
        <f>[1]IFE!AO981</f>
        <v>0</v>
      </c>
      <c r="B119" s="358"/>
      <c r="C119" s="369">
        <f>[1]IFE!$AO$982</f>
        <v>0</v>
      </c>
      <c r="D119" s="592">
        <f>[1]IFE!$AO$990</f>
        <v>0</v>
      </c>
      <c r="E119" s="370">
        <f>[1]IFE!$AO$984</f>
        <v>0</v>
      </c>
      <c r="F119" s="371">
        <f>[1]IFE!$AO$983</f>
        <v>0</v>
      </c>
      <c r="G119" s="370">
        <f>[1]IFE!$AO$989</f>
        <v>0</v>
      </c>
      <c r="H119" s="370">
        <f>[1]IFE!$AO$985</f>
        <v>0</v>
      </c>
      <c r="I119" s="319">
        <f>[1]IFE!$AQ982</f>
        <v>0</v>
      </c>
      <c r="J119" s="370">
        <f>[1]IFE!$AO$986</f>
        <v>0</v>
      </c>
      <c r="K119" s="319">
        <f>[1]IFE!$AQ983</f>
        <v>0</v>
      </c>
      <c r="L119" s="372">
        <f>[1]IFE!$AO$987</f>
        <v>0</v>
      </c>
      <c r="M119" s="356">
        <f t="shared" si="1"/>
        <v>0</v>
      </c>
      <c r="N119" s="337"/>
      <c r="O119" s="337"/>
    </row>
    <row r="120" spans="1:15" ht="11.1" customHeight="1" thickBot="1" x14ac:dyDescent="0.3">
      <c r="A120" s="373">
        <f>[1]IFE!AO991</f>
        <v>0</v>
      </c>
      <c r="B120" s="374"/>
      <c r="C120" s="375">
        <f>[1]IFE!$AO$992</f>
        <v>0</v>
      </c>
      <c r="D120" s="593">
        <f>[1]IFE!$AO$1000</f>
        <v>0</v>
      </c>
      <c r="E120" s="377">
        <f>[1]IFE!$AO$994</f>
        <v>0</v>
      </c>
      <c r="F120" s="378">
        <f>[1]IFE!$AO$993</f>
        <v>0</v>
      </c>
      <c r="G120" s="377">
        <f>[1]IFE!$AO$999</f>
        <v>0</v>
      </c>
      <c r="H120" s="377">
        <f>[1]IFE!$AO$995</f>
        <v>0</v>
      </c>
      <c r="I120" s="334">
        <f>[1]IFE!$AQ992</f>
        <v>0</v>
      </c>
      <c r="J120" s="377">
        <f>[1]IFE!$AO$996</f>
        <v>0</v>
      </c>
      <c r="K120" s="334">
        <f>[1]IFE!$AQ993</f>
        <v>0</v>
      </c>
      <c r="L120" s="379">
        <f>[1]IFE!$AO$997</f>
        <v>0</v>
      </c>
      <c r="M120" s="336">
        <f t="shared" si="1"/>
        <v>0</v>
      </c>
      <c r="N120" s="337"/>
      <c r="O120" s="337"/>
    </row>
    <row r="121" spans="1:15" ht="20.100000000000001" customHeight="1" thickTop="1" x14ac:dyDescent="0.3">
      <c r="A121" s="337"/>
      <c r="B121" s="337"/>
      <c r="C121" s="337"/>
      <c r="D121" s="337"/>
      <c r="E121" s="625"/>
      <c r="F121" s="625"/>
      <c r="G121" s="771" t="s">
        <v>196</v>
      </c>
      <c r="H121" s="771"/>
      <c r="I121" s="771"/>
      <c r="J121" s="771"/>
      <c r="K121" s="771"/>
      <c r="L121" s="771"/>
      <c r="M121" s="771"/>
      <c r="N121" s="380"/>
      <c r="O121" s="380"/>
    </row>
    <row r="122" spans="1:15" ht="24.9" customHeight="1" x14ac:dyDescent="0.25">
      <c r="A122" s="337"/>
      <c r="B122" s="337"/>
      <c r="C122" s="337"/>
      <c r="D122" s="337"/>
      <c r="E122" s="622"/>
      <c r="F122" s="622"/>
      <c r="G122" s="772" t="s">
        <v>178</v>
      </c>
      <c r="H122" s="772"/>
      <c r="I122" s="772"/>
      <c r="J122" s="772"/>
      <c r="K122" s="772"/>
      <c r="L122" s="772"/>
      <c r="M122" s="772"/>
      <c r="N122" s="380"/>
      <c r="O122" s="380"/>
    </row>
    <row r="123" spans="1:15" ht="12.75" customHeight="1" x14ac:dyDescent="0.25">
      <c r="A123" s="3"/>
      <c r="B123" s="283" t="s">
        <v>11</v>
      </c>
      <c r="C123" s="284" t="str">
        <f>[1]IFE!$B$6</f>
        <v>Cardon IV</v>
      </c>
      <c r="D123" s="284"/>
      <c r="E123" s="285"/>
      <c r="F123" s="3"/>
      <c r="G123" s="3"/>
      <c r="H123" s="3"/>
      <c r="I123" s="286" t="s">
        <v>179</v>
      </c>
      <c r="J123" s="777">
        <f>[1]IFE!$B$119</f>
        <v>39989</v>
      </c>
      <c r="K123" s="777"/>
      <c r="L123" s="287"/>
      <c r="N123" s="380"/>
      <c r="O123" s="380"/>
    </row>
    <row r="124" spans="1:15" ht="12.75" customHeight="1" x14ac:dyDescent="0.25">
      <c r="A124" s="3"/>
      <c r="B124" s="283" t="s">
        <v>8</v>
      </c>
      <c r="C124" s="284" t="str">
        <f>[1]IFE!$B$8</f>
        <v>Perla-1X</v>
      </c>
      <c r="D124" s="284"/>
      <c r="E124" s="3"/>
      <c r="F124" s="3"/>
      <c r="G124" s="3"/>
      <c r="H124" s="3"/>
      <c r="I124" s="288" t="s">
        <v>180</v>
      </c>
      <c r="J124" s="289">
        <f>[1]IFE!$B$166</f>
        <v>9</v>
      </c>
      <c r="K124" s="3"/>
      <c r="M124" s="290"/>
      <c r="N124" s="380"/>
      <c r="O124" s="380"/>
    </row>
    <row r="125" spans="1:15" ht="12.75" customHeight="1" thickBot="1" x14ac:dyDescent="0.3">
      <c r="A125" s="3"/>
      <c r="B125" s="283" t="s">
        <v>181</v>
      </c>
      <c r="C125" s="291" t="str">
        <f>[1]IFE!$B$11</f>
        <v>Offshore</v>
      </c>
      <c r="D125" s="291"/>
      <c r="E125" s="283"/>
      <c r="F125" s="284"/>
      <c r="G125" s="3"/>
      <c r="H125" s="3"/>
      <c r="I125" s="283" t="s">
        <v>182</v>
      </c>
      <c r="J125" s="292">
        <v>3</v>
      </c>
      <c r="K125" s="3"/>
      <c r="M125" s="290"/>
      <c r="N125" s="380"/>
      <c r="O125" s="380"/>
    </row>
    <row r="126" spans="1:15" ht="12.75" customHeight="1" thickTop="1" x14ac:dyDescent="0.25">
      <c r="A126" s="339"/>
      <c r="B126" s="295"/>
      <c r="C126" s="297"/>
      <c r="D126" s="297"/>
      <c r="E126" s="778" t="s">
        <v>183</v>
      </c>
      <c r="F126" s="778"/>
      <c r="G126" s="778"/>
      <c r="H126" s="778"/>
      <c r="I126" s="778"/>
      <c r="J126" s="297"/>
      <c r="K126" s="340"/>
      <c r="L126" s="341"/>
      <c r="M126" s="342"/>
      <c r="N126" s="380"/>
      <c r="O126" s="380"/>
    </row>
    <row r="127" spans="1:15" ht="12.75" customHeight="1" x14ac:dyDescent="0.25">
      <c r="A127" s="343"/>
      <c r="B127" s="291"/>
      <c r="D127" s="300" t="s">
        <v>184</v>
      </c>
      <c r="F127" s="773">
        <f>$F$7</f>
        <v>5749.32</v>
      </c>
      <c r="G127" s="773"/>
      <c r="I127" s="284"/>
      <c r="J127" s="300" t="s">
        <v>238</v>
      </c>
      <c r="K127" s="774">
        <f>$K$7</f>
        <v>0</v>
      </c>
      <c r="L127" s="775"/>
      <c r="M127" s="344"/>
      <c r="N127" s="380"/>
      <c r="O127" s="380"/>
    </row>
    <row r="128" spans="1:15" ht="12.75" customHeight="1" thickBot="1" x14ac:dyDescent="0.3">
      <c r="A128" s="303"/>
      <c r="B128" s="304"/>
      <c r="D128" s="305" t="s">
        <v>185</v>
      </c>
      <c r="E128" s="304"/>
      <c r="F128" s="776">
        <f>$F$8</f>
        <v>89939.53</v>
      </c>
      <c r="G128" s="776"/>
      <c r="H128" s="304"/>
      <c r="I128" s="304"/>
      <c r="J128" s="304"/>
      <c r="K128" s="304"/>
      <c r="L128" s="347"/>
      <c r="M128" s="348"/>
      <c r="N128" s="380"/>
      <c r="O128" s="380"/>
    </row>
    <row r="129" spans="1:15" ht="12" customHeight="1" thickTop="1" x14ac:dyDescent="0.25">
      <c r="A129" s="307" t="s">
        <v>186</v>
      </c>
      <c r="B129" s="349"/>
      <c r="C129" s="309" t="s">
        <v>187</v>
      </c>
      <c r="D129" s="309" t="s">
        <v>187</v>
      </c>
      <c r="E129" s="309" t="s">
        <v>95</v>
      </c>
      <c r="F129" s="309" t="s">
        <v>138</v>
      </c>
      <c r="G129" s="309" t="s">
        <v>188</v>
      </c>
      <c r="H129" s="309" t="s">
        <v>138</v>
      </c>
      <c r="I129" s="309" t="s">
        <v>188</v>
      </c>
      <c r="J129" s="309" t="s">
        <v>138</v>
      </c>
      <c r="K129" s="309" t="s">
        <v>189</v>
      </c>
      <c r="L129" s="310" t="s">
        <v>100</v>
      </c>
      <c r="M129" s="516" t="s">
        <v>138</v>
      </c>
      <c r="N129" s="380"/>
      <c r="O129" s="380"/>
    </row>
    <row r="130" spans="1:15" ht="12" customHeight="1" thickBot="1" x14ac:dyDescent="0.3">
      <c r="A130" s="350"/>
      <c r="B130" s="351"/>
      <c r="C130" s="352" t="s">
        <v>49</v>
      </c>
      <c r="D130" s="352" t="s">
        <v>191</v>
      </c>
      <c r="E130" s="352" t="s">
        <v>195</v>
      </c>
      <c r="F130" s="352" t="s">
        <v>97</v>
      </c>
      <c r="G130" s="352" t="s">
        <v>97</v>
      </c>
      <c r="H130" s="352" t="s">
        <v>192</v>
      </c>
      <c r="I130" s="352" t="s">
        <v>192</v>
      </c>
      <c r="J130" s="352" t="s">
        <v>99</v>
      </c>
      <c r="K130" s="352" t="s">
        <v>99</v>
      </c>
      <c r="L130" s="353" t="s">
        <v>193</v>
      </c>
      <c r="M130" s="517" t="s">
        <v>159</v>
      </c>
      <c r="N130" s="380"/>
      <c r="O130" s="380"/>
    </row>
    <row r="131" spans="1:15" ht="11.1" customHeight="1" thickTop="1" x14ac:dyDescent="0.25">
      <c r="A131" s="594">
        <f>[1]IFE!$AO1001</f>
        <v>0</v>
      </c>
      <c r="B131" s="595"/>
      <c r="C131" s="596">
        <f>[1]IFE!$AO1002</f>
        <v>0</v>
      </c>
      <c r="D131" s="592">
        <f>[1]IFE!$AO$1010</f>
        <v>0</v>
      </c>
      <c r="E131" s="597">
        <f>[1]IFE!$AO1004</f>
        <v>0</v>
      </c>
      <c r="F131" s="597">
        <f>[1]IFE!$AO1003</f>
        <v>0</v>
      </c>
      <c r="G131" s="597">
        <f>[1]IFE!$AO1009</f>
        <v>0</v>
      </c>
      <c r="H131" s="597">
        <f>[1]IFE!$AO1005</f>
        <v>0</v>
      </c>
      <c r="I131" s="597">
        <f t="shared" ref="I131:I170" si="2">G131+L131</f>
        <v>0</v>
      </c>
      <c r="J131" s="597">
        <f>[1]IFE!$AO1006</f>
        <v>0</v>
      </c>
      <c r="K131" s="598">
        <f>[1]IFE!$AQ1003</f>
        <v>0</v>
      </c>
      <c r="L131" s="599">
        <f>[1]IFE!$AO1007</f>
        <v>0</v>
      </c>
      <c r="M131" s="356">
        <f t="shared" ref="M131:M170" si="3">D131*F131</f>
        <v>0</v>
      </c>
      <c r="N131" s="380"/>
      <c r="O131" s="380"/>
    </row>
    <row r="132" spans="1:15" ht="11.1" customHeight="1" x14ac:dyDescent="0.25">
      <c r="A132" s="600">
        <f>[1]IFE!$AO1011</f>
        <v>0</v>
      </c>
      <c r="B132" s="601"/>
      <c r="C132" s="602">
        <f>[1]IFE!$AO1012</f>
        <v>0</v>
      </c>
      <c r="D132" s="592">
        <f>[1]IFE!$AO$1020</f>
        <v>0</v>
      </c>
      <c r="E132" s="603">
        <f>[1]IFE!$AO1014</f>
        <v>0</v>
      </c>
      <c r="F132" s="603">
        <f>[1]IFE!$AO1013</f>
        <v>0</v>
      </c>
      <c r="G132" s="603">
        <f>[1]IFE!$AO1019</f>
        <v>0</v>
      </c>
      <c r="H132" s="603">
        <f>[1]IFE!$AO1015</f>
        <v>0</v>
      </c>
      <c r="I132" s="603">
        <f t="shared" si="2"/>
        <v>0</v>
      </c>
      <c r="J132" s="603">
        <f>[1]IFE!$AO1016</f>
        <v>0</v>
      </c>
      <c r="K132" s="603">
        <f>[1]IFE!$AQ1013</f>
        <v>0</v>
      </c>
      <c r="L132" s="603">
        <f>[1]IFE!$AO1017</f>
        <v>0</v>
      </c>
      <c r="M132" s="322">
        <f t="shared" si="3"/>
        <v>0</v>
      </c>
      <c r="N132" s="380"/>
      <c r="O132" s="380"/>
    </row>
    <row r="133" spans="1:15" ht="11.1" customHeight="1" x14ac:dyDescent="0.25">
      <c r="A133" s="594">
        <f>[1]IFE!$AO1021</f>
        <v>0</v>
      </c>
      <c r="B133" s="595"/>
      <c r="C133" s="596">
        <f>[1]IFE!$AO1022</f>
        <v>0</v>
      </c>
      <c r="D133" s="592">
        <f>[1]IFE!$AO$1030</f>
        <v>0</v>
      </c>
      <c r="E133" s="597">
        <f>[1]IFE!$AO1024</f>
        <v>0</v>
      </c>
      <c r="F133" s="597">
        <f>[1]IFE!$AO1023</f>
        <v>0</v>
      </c>
      <c r="G133" s="597">
        <f>[1]IFE!$AO1029</f>
        <v>0</v>
      </c>
      <c r="H133" s="597">
        <f>[1]IFE!$AO1025</f>
        <v>0</v>
      </c>
      <c r="I133" s="597">
        <f t="shared" si="2"/>
        <v>0</v>
      </c>
      <c r="J133" s="597">
        <f>[1]IFE!$AO1026</f>
        <v>0</v>
      </c>
      <c r="K133" s="603">
        <f>[1]IFE!$AQ1023</f>
        <v>0</v>
      </c>
      <c r="L133" s="603">
        <f>[1]IFE!$AO1027</f>
        <v>0</v>
      </c>
      <c r="M133" s="322">
        <f t="shared" si="3"/>
        <v>0</v>
      </c>
      <c r="N133" s="380"/>
      <c r="O133" s="380"/>
    </row>
    <row r="134" spans="1:15" ht="11.1" customHeight="1" x14ac:dyDescent="0.25">
      <c r="A134" s="600">
        <f>[1]IFE!$AO1031</f>
        <v>0</v>
      </c>
      <c r="B134" s="601"/>
      <c r="C134" s="602">
        <f>[1]IFE!$AO1032</f>
        <v>0</v>
      </c>
      <c r="D134" s="592">
        <f>[1]IFE!$AO$1040</f>
        <v>0</v>
      </c>
      <c r="E134" s="603">
        <f>[1]IFE!$AO1034</f>
        <v>0</v>
      </c>
      <c r="F134" s="603">
        <f>[1]IFE!$AO1033</f>
        <v>0</v>
      </c>
      <c r="G134" s="603">
        <f>[1]IFE!$AO1039</f>
        <v>0</v>
      </c>
      <c r="H134" s="603">
        <f>[1]IFE!$AO1035</f>
        <v>0</v>
      </c>
      <c r="I134" s="603">
        <f t="shared" si="2"/>
        <v>0</v>
      </c>
      <c r="J134" s="603">
        <f>[1]IFE!$AO1036</f>
        <v>0</v>
      </c>
      <c r="K134" s="603">
        <f>[1]IFE!$AQ1033</f>
        <v>0</v>
      </c>
      <c r="L134" s="603">
        <f>[1]IFE!$AO1037</f>
        <v>0</v>
      </c>
      <c r="M134" s="322">
        <f t="shared" si="3"/>
        <v>0</v>
      </c>
      <c r="N134" s="380"/>
      <c r="O134" s="380"/>
    </row>
    <row r="135" spans="1:15" ht="11.1" customHeight="1" x14ac:dyDescent="0.25">
      <c r="A135" s="594">
        <f>[1]IFE!$AO1041</f>
        <v>0</v>
      </c>
      <c r="B135" s="595"/>
      <c r="C135" s="596">
        <f>[1]IFE!$AO1042</f>
        <v>0</v>
      </c>
      <c r="D135" s="592">
        <f>[1]IFE!$AO$1050</f>
        <v>0</v>
      </c>
      <c r="E135" s="597">
        <f>[1]IFE!$AO1044</f>
        <v>0</v>
      </c>
      <c r="F135" s="597">
        <f>[1]IFE!$AO1043</f>
        <v>0</v>
      </c>
      <c r="G135" s="597">
        <f>[1]IFE!$AO1049</f>
        <v>0</v>
      </c>
      <c r="H135" s="597">
        <f>[1]IFE!$AO1045</f>
        <v>0</v>
      </c>
      <c r="I135" s="597">
        <f t="shared" si="2"/>
        <v>0</v>
      </c>
      <c r="J135" s="597">
        <f>[1]IFE!$AO1046</f>
        <v>0</v>
      </c>
      <c r="K135" s="603">
        <f>[1]IFE!$AQ1043</f>
        <v>0</v>
      </c>
      <c r="L135" s="603">
        <f>[1]IFE!$AO1047</f>
        <v>0</v>
      </c>
      <c r="M135" s="322">
        <f t="shared" si="3"/>
        <v>0</v>
      </c>
      <c r="N135" s="380"/>
      <c r="O135" s="380"/>
    </row>
    <row r="136" spans="1:15" ht="11.1" customHeight="1" x14ac:dyDescent="0.25">
      <c r="A136" s="600">
        <f>[1]IFE!$AO1051</f>
        <v>0</v>
      </c>
      <c r="B136" s="601"/>
      <c r="C136" s="602">
        <f>[1]IFE!$AO1052</f>
        <v>0</v>
      </c>
      <c r="D136" s="592">
        <f>[1]IFE!$AO$1060</f>
        <v>0</v>
      </c>
      <c r="E136" s="603">
        <f>[1]IFE!$AO1054</f>
        <v>0</v>
      </c>
      <c r="F136" s="603">
        <f>[1]IFE!$AO1053</f>
        <v>0</v>
      </c>
      <c r="G136" s="603">
        <f>[1]IFE!$AO1059</f>
        <v>0</v>
      </c>
      <c r="H136" s="603">
        <f>[1]IFE!$AO1055</f>
        <v>0</v>
      </c>
      <c r="I136" s="603">
        <f t="shared" si="2"/>
        <v>0</v>
      </c>
      <c r="J136" s="603">
        <f>[1]IFE!$AO1056</f>
        <v>0</v>
      </c>
      <c r="K136" s="603">
        <f>[1]IFE!$AQ1053</f>
        <v>0</v>
      </c>
      <c r="L136" s="603">
        <f>[1]IFE!$AO1057</f>
        <v>0</v>
      </c>
      <c r="M136" s="322">
        <f t="shared" si="3"/>
        <v>0</v>
      </c>
      <c r="N136" s="380"/>
      <c r="O136" s="380"/>
    </row>
    <row r="137" spans="1:15" ht="11.1" customHeight="1" x14ac:dyDescent="0.25">
      <c r="A137" s="594">
        <f>[1]IFE!$AO1061</f>
        <v>0</v>
      </c>
      <c r="B137" s="595"/>
      <c r="C137" s="596">
        <f>[1]IFE!$AO1062</f>
        <v>0</v>
      </c>
      <c r="D137" s="592">
        <f>[1]IFE!$AO$1070</f>
        <v>0</v>
      </c>
      <c r="E137" s="597">
        <f>[1]IFE!$AO1064</f>
        <v>0</v>
      </c>
      <c r="F137" s="597">
        <f>[1]IFE!$AO1063</f>
        <v>0</v>
      </c>
      <c r="G137" s="597">
        <f>[1]IFE!$AO1069</f>
        <v>0</v>
      </c>
      <c r="H137" s="597">
        <f>[1]IFE!$AO1065</f>
        <v>0</v>
      </c>
      <c r="I137" s="597">
        <f t="shared" si="2"/>
        <v>0</v>
      </c>
      <c r="J137" s="597">
        <f>[1]IFE!$AO1066</f>
        <v>0</v>
      </c>
      <c r="K137" s="603">
        <f>[1]IFE!$AQ1063</f>
        <v>0</v>
      </c>
      <c r="L137" s="603">
        <f>[1]IFE!$AO1067</f>
        <v>0</v>
      </c>
      <c r="M137" s="322">
        <f t="shared" si="3"/>
        <v>0</v>
      </c>
      <c r="N137" s="380"/>
      <c r="O137" s="380"/>
    </row>
    <row r="138" spans="1:15" ht="11.1" customHeight="1" x14ac:dyDescent="0.25">
      <c r="A138" s="600">
        <f>[1]IFE!$AO1071</f>
        <v>0</v>
      </c>
      <c r="B138" s="601"/>
      <c r="C138" s="602">
        <f>[1]IFE!$AO1072</f>
        <v>0</v>
      </c>
      <c r="D138" s="592">
        <f>[1]IFE!$AO$1080</f>
        <v>0</v>
      </c>
      <c r="E138" s="603">
        <f>[1]IFE!$AO1074</f>
        <v>0</v>
      </c>
      <c r="F138" s="603">
        <f>[1]IFE!$AO1073</f>
        <v>0</v>
      </c>
      <c r="G138" s="603">
        <f>[1]IFE!$AO1079</f>
        <v>0</v>
      </c>
      <c r="H138" s="603">
        <f>[1]IFE!$AO1075</f>
        <v>0</v>
      </c>
      <c r="I138" s="603">
        <f t="shared" si="2"/>
        <v>0</v>
      </c>
      <c r="J138" s="603">
        <f>[1]IFE!$AO1076</f>
        <v>0</v>
      </c>
      <c r="K138" s="603">
        <f>[1]IFE!$AQ1073</f>
        <v>0</v>
      </c>
      <c r="L138" s="603">
        <f>[1]IFE!$AO1077</f>
        <v>0</v>
      </c>
      <c r="M138" s="322">
        <f t="shared" si="3"/>
        <v>0</v>
      </c>
      <c r="N138" s="380"/>
      <c r="O138" s="380"/>
    </row>
    <row r="139" spans="1:15" ht="11.1" customHeight="1" x14ac:dyDescent="0.25">
      <c r="A139" s="594">
        <f>[1]IFE!$AO1081</f>
        <v>0</v>
      </c>
      <c r="B139" s="595"/>
      <c r="C139" s="596">
        <f>[1]IFE!$AO1082</f>
        <v>0</v>
      </c>
      <c r="D139" s="592">
        <f>[1]IFE!$AO$1090</f>
        <v>0</v>
      </c>
      <c r="E139" s="597">
        <f>[1]IFE!$AO1084</f>
        <v>0</v>
      </c>
      <c r="F139" s="597">
        <f>[1]IFE!$AO1083</f>
        <v>0</v>
      </c>
      <c r="G139" s="597">
        <f>[1]IFE!$AO1089</f>
        <v>0</v>
      </c>
      <c r="H139" s="597">
        <f>[1]IFE!$AO1085</f>
        <v>0</v>
      </c>
      <c r="I139" s="597">
        <f t="shared" si="2"/>
        <v>0</v>
      </c>
      <c r="J139" s="597">
        <f>[1]IFE!$AO1086</f>
        <v>0</v>
      </c>
      <c r="K139" s="603">
        <f>[1]IFE!$AQ1083</f>
        <v>0</v>
      </c>
      <c r="L139" s="603">
        <f>[1]IFE!$AO1087</f>
        <v>0</v>
      </c>
      <c r="M139" s="356">
        <f t="shared" si="3"/>
        <v>0</v>
      </c>
      <c r="N139" s="380"/>
      <c r="O139" s="380"/>
    </row>
    <row r="140" spans="1:15" ht="11.1" customHeight="1" x14ac:dyDescent="0.25">
      <c r="A140" s="600">
        <f>[1]IFE!$AO1091</f>
        <v>0</v>
      </c>
      <c r="B140" s="601"/>
      <c r="C140" s="602">
        <f>[1]IFE!$AO1092</f>
        <v>0</v>
      </c>
      <c r="D140" s="592">
        <f>[1]IFE!$AO$1100</f>
        <v>0</v>
      </c>
      <c r="E140" s="603">
        <f>[1]IFE!$AO1094</f>
        <v>0</v>
      </c>
      <c r="F140" s="603">
        <f>[1]IFE!$AO1093</f>
        <v>0</v>
      </c>
      <c r="G140" s="603">
        <f>[1]IFE!$AO1099</f>
        <v>0</v>
      </c>
      <c r="H140" s="603">
        <f>[1]IFE!$AO1095</f>
        <v>0</v>
      </c>
      <c r="I140" s="603">
        <f t="shared" si="2"/>
        <v>0</v>
      </c>
      <c r="J140" s="603">
        <f>[1]IFE!$AO1096</f>
        <v>0</v>
      </c>
      <c r="K140" s="603">
        <f>[1]IFE!$AQ1093</f>
        <v>0</v>
      </c>
      <c r="L140" s="603">
        <f>[1]IFE!$AO1097</f>
        <v>0</v>
      </c>
      <c r="M140" s="356">
        <f t="shared" si="3"/>
        <v>0</v>
      </c>
      <c r="N140" s="380"/>
      <c r="O140" s="380"/>
    </row>
    <row r="141" spans="1:15" ht="11.1" customHeight="1" x14ac:dyDescent="0.25">
      <c r="A141" s="594">
        <f>[1]IFE!$AO1101</f>
        <v>0</v>
      </c>
      <c r="B141" s="595"/>
      <c r="C141" s="596">
        <f>[1]IFE!$AO1102</f>
        <v>0</v>
      </c>
      <c r="D141" s="592">
        <f>[1]IFE!$AO$1110</f>
        <v>0</v>
      </c>
      <c r="E141" s="597">
        <f>[1]IFE!$AO1104</f>
        <v>0</v>
      </c>
      <c r="F141" s="597">
        <f>[1]IFE!$AO1103</f>
        <v>0</v>
      </c>
      <c r="G141" s="597">
        <f>[1]IFE!$AO1109</f>
        <v>0</v>
      </c>
      <c r="H141" s="597">
        <f>[1]IFE!$AO1105</f>
        <v>0</v>
      </c>
      <c r="I141" s="597">
        <f t="shared" si="2"/>
        <v>0</v>
      </c>
      <c r="J141" s="597">
        <f>[1]IFE!$AO1106</f>
        <v>0</v>
      </c>
      <c r="K141" s="603">
        <f>[1]IFE!$AQ1103</f>
        <v>0</v>
      </c>
      <c r="L141" s="603">
        <f>[1]IFE!$AO1107</f>
        <v>0</v>
      </c>
      <c r="M141" s="356">
        <f t="shared" si="3"/>
        <v>0</v>
      </c>
      <c r="N141" s="380"/>
      <c r="O141" s="380"/>
    </row>
    <row r="142" spans="1:15" ht="11.1" customHeight="1" x14ac:dyDescent="0.25">
      <c r="A142" s="600">
        <f>[1]IFE!$AO1111</f>
        <v>0</v>
      </c>
      <c r="B142" s="601"/>
      <c r="C142" s="602">
        <f>[1]IFE!$AO1112</f>
        <v>0</v>
      </c>
      <c r="D142" s="592">
        <f>[1]IFE!$AO$1120</f>
        <v>0</v>
      </c>
      <c r="E142" s="603">
        <f>[1]IFE!$AO1114</f>
        <v>0</v>
      </c>
      <c r="F142" s="603">
        <f>[1]IFE!$AO1113</f>
        <v>0</v>
      </c>
      <c r="G142" s="603">
        <f>[1]IFE!$AO1119</f>
        <v>0</v>
      </c>
      <c r="H142" s="603">
        <f>[1]IFE!$AO1115</f>
        <v>0</v>
      </c>
      <c r="I142" s="603">
        <f t="shared" si="2"/>
        <v>0</v>
      </c>
      <c r="J142" s="603">
        <f>[1]IFE!$AO1116</f>
        <v>0</v>
      </c>
      <c r="K142" s="603">
        <f>[1]IFE!$AQ1113</f>
        <v>0</v>
      </c>
      <c r="L142" s="603">
        <f>[1]IFE!$AO1117</f>
        <v>0</v>
      </c>
      <c r="M142" s="356">
        <f t="shared" si="3"/>
        <v>0</v>
      </c>
      <c r="N142" s="380"/>
      <c r="O142" s="380"/>
    </row>
    <row r="143" spans="1:15" ht="11.1" customHeight="1" x14ac:dyDescent="0.25">
      <c r="A143" s="594">
        <f>[1]IFE!$AO1121</f>
        <v>0</v>
      </c>
      <c r="B143" s="595"/>
      <c r="C143" s="596">
        <f>[1]IFE!$AO1122</f>
        <v>0</v>
      </c>
      <c r="D143" s="592">
        <f>[1]IFE!$AO$1130</f>
        <v>0</v>
      </c>
      <c r="E143" s="597">
        <f>[1]IFE!$AO1124</f>
        <v>0</v>
      </c>
      <c r="F143" s="597">
        <f>[1]IFE!$AO1123</f>
        <v>0</v>
      </c>
      <c r="G143" s="597">
        <f>[1]IFE!$AO1129</f>
        <v>0</v>
      </c>
      <c r="H143" s="597">
        <f>[1]IFE!$AO1125</f>
        <v>0</v>
      </c>
      <c r="I143" s="597">
        <f t="shared" si="2"/>
        <v>0</v>
      </c>
      <c r="J143" s="597">
        <f>[1]IFE!$AO1126</f>
        <v>0</v>
      </c>
      <c r="K143" s="603">
        <f>[1]IFE!$AQ1123</f>
        <v>0</v>
      </c>
      <c r="L143" s="603">
        <f>[1]IFE!$AO1127</f>
        <v>0</v>
      </c>
      <c r="M143" s="356">
        <f t="shared" si="3"/>
        <v>0</v>
      </c>
      <c r="N143" s="380"/>
      <c r="O143" s="380"/>
    </row>
    <row r="144" spans="1:15" ht="11.1" customHeight="1" x14ac:dyDescent="0.25">
      <c r="A144" s="600">
        <f>[1]IFE!$AO1131</f>
        <v>0</v>
      </c>
      <c r="B144" s="601"/>
      <c r="C144" s="602">
        <f>[1]IFE!$AO1132</f>
        <v>0</v>
      </c>
      <c r="D144" s="592">
        <f>[1]IFE!$AO$1140</f>
        <v>0</v>
      </c>
      <c r="E144" s="603">
        <f>[1]IFE!$AO1134</f>
        <v>0</v>
      </c>
      <c r="F144" s="603">
        <f>[1]IFE!$AO1133</f>
        <v>0</v>
      </c>
      <c r="G144" s="603">
        <f>[1]IFE!$AO1139</f>
        <v>0</v>
      </c>
      <c r="H144" s="603">
        <f>[1]IFE!$AO1135</f>
        <v>0</v>
      </c>
      <c r="I144" s="603">
        <f t="shared" si="2"/>
        <v>0</v>
      </c>
      <c r="J144" s="603">
        <f>[1]IFE!$AO1136</f>
        <v>0</v>
      </c>
      <c r="K144" s="603">
        <f>[1]IFE!$AQ1133</f>
        <v>0</v>
      </c>
      <c r="L144" s="603">
        <f>[1]IFE!$AO1137</f>
        <v>0</v>
      </c>
      <c r="M144" s="356">
        <f t="shared" si="3"/>
        <v>0</v>
      </c>
      <c r="N144" s="380"/>
      <c r="O144" s="380"/>
    </row>
    <row r="145" spans="1:15" ht="11.1" customHeight="1" x14ac:dyDescent="0.25">
      <c r="A145" s="594">
        <f>[1]IFE!$AO1141</f>
        <v>0</v>
      </c>
      <c r="B145" s="595"/>
      <c r="C145" s="596">
        <f>[1]IFE!$AO1142</f>
        <v>0</v>
      </c>
      <c r="D145" s="592">
        <f>[1]IFE!$AO$1150</f>
        <v>0</v>
      </c>
      <c r="E145" s="597">
        <f>[1]IFE!$AO1144</f>
        <v>0</v>
      </c>
      <c r="F145" s="597">
        <f>[1]IFE!$AO1143</f>
        <v>0</v>
      </c>
      <c r="G145" s="597">
        <f>[1]IFE!$AO1149</f>
        <v>0</v>
      </c>
      <c r="H145" s="597">
        <f>[1]IFE!$AO1145</f>
        <v>0</v>
      </c>
      <c r="I145" s="597">
        <f t="shared" si="2"/>
        <v>0</v>
      </c>
      <c r="J145" s="597">
        <f>[1]IFE!$AO1146</f>
        <v>0</v>
      </c>
      <c r="K145" s="603">
        <f>[1]IFE!$AQ1143</f>
        <v>0</v>
      </c>
      <c r="L145" s="603">
        <f>[1]IFE!$AO1147</f>
        <v>0</v>
      </c>
      <c r="M145" s="356">
        <f t="shared" si="3"/>
        <v>0</v>
      </c>
      <c r="N145" s="380"/>
      <c r="O145" s="380"/>
    </row>
    <row r="146" spans="1:15" ht="11.1" customHeight="1" x14ac:dyDescent="0.25">
      <c r="A146" s="600">
        <f>[1]IFE!$AO1151</f>
        <v>0</v>
      </c>
      <c r="B146" s="601"/>
      <c r="C146" s="602">
        <f>[1]IFE!$AO1152</f>
        <v>0</v>
      </c>
      <c r="D146" s="592">
        <f>[1]IFE!$AO$1160</f>
        <v>0</v>
      </c>
      <c r="E146" s="603">
        <f>[1]IFE!$AO1154</f>
        <v>0</v>
      </c>
      <c r="F146" s="603">
        <f>[1]IFE!$AO1153</f>
        <v>0</v>
      </c>
      <c r="G146" s="603">
        <f>[1]IFE!$AO1159</f>
        <v>0</v>
      </c>
      <c r="H146" s="603">
        <f>[1]IFE!$AO1155</f>
        <v>0</v>
      </c>
      <c r="I146" s="603">
        <f t="shared" si="2"/>
        <v>0</v>
      </c>
      <c r="J146" s="603">
        <f>[1]IFE!$AO1156</f>
        <v>0</v>
      </c>
      <c r="K146" s="603">
        <f>[1]IFE!$AQ1153</f>
        <v>0</v>
      </c>
      <c r="L146" s="603">
        <f>[1]IFE!$AO1157</f>
        <v>0</v>
      </c>
      <c r="M146" s="356">
        <f t="shared" si="3"/>
        <v>0</v>
      </c>
      <c r="N146" s="380"/>
      <c r="O146" s="380"/>
    </row>
    <row r="147" spans="1:15" ht="11.1" customHeight="1" x14ac:dyDescent="0.25">
      <c r="A147" s="594">
        <f>[1]IFE!$AO1161</f>
        <v>0</v>
      </c>
      <c r="B147" s="595"/>
      <c r="C147" s="596">
        <f>[1]IFE!$AO1162</f>
        <v>0</v>
      </c>
      <c r="D147" s="592">
        <f>[1]IFE!$AO$1170</f>
        <v>0</v>
      </c>
      <c r="E147" s="597">
        <f>[1]IFE!$AO1164</f>
        <v>0</v>
      </c>
      <c r="F147" s="597">
        <f>[1]IFE!$AO1163</f>
        <v>0</v>
      </c>
      <c r="G147" s="597">
        <f>[1]IFE!$AO1169</f>
        <v>0</v>
      </c>
      <c r="H147" s="597">
        <f>[1]IFE!$AO1165</f>
        <v>0</v>
      </c>
      <c r="I147" s="597">
        <f t="shared" si="2"/>
        <v>0</v>
      </c>
      <c r="J147" s="597">
        <f>[1]IFE!$AO1166</f>
        <v>0</v>
      </c>
      <c r="K147" s="603">
        <f>[1]IFE!$AQ1163</f>
        <v>0</v>
      </c>
      <c r="L147" s="603">
        <f>[1]IFE!$AO1167</f>
        <v>0</v>
      </c>
      <c r="M147" s="356">
        <f t="shared" si="3"/>
        <v>0</v>
      </c>
      <c r="N147" s="380"/>
      <c r="O147" s="380"/>
    </row>
    <row r="148" spans="1:15" ht="11.1" customHeight="1" x14ac:dyDescent="0.25">
      <c r="A148" s="600">
        <f>[1]IFE!$AO1171</f>
        <v>0</v>
      </c>
      <c r="B148" s="601"/>
      <c r="C148" s="602">
        <f>[1]IFE!$AO1172</f>
        <v>0</v>
      </c>
      <c r="D148" s="592">
        <f>[1]IFE!$AO$1180</f>
        <v>0</v>
      </c>
      <c r="E148" s="603">
        <f>[1]IFE!$AO1174</f>
        <v>0</v>
      </c>
      <c r="F148" s="603">
        <f>[1]IFE!$AO1173</f>
        <v>0</v>
      </c>
      <c r="G148" s="603">
        <f>[1]IFE!$AO1179</f>
        <v>0</v>
      </c>
      <c r="H148" s="603">
        <f>[1]IFE!$AO1175</f>
        <v>0</v>
      </c>
      <c r="I148" s="603">
        <f t="shared" si="2"/>
        <v>0</v>
      </c>
      <c r="J148" s="603">
        <f>[1]IFE!$AO1176</f>
        <v>0</v>
      </c>
      <c r="K148" s="603">
        <f>[1]IFE!$AQ1173</f>
        <v>0</v>
      </c>
      <c r="L148" s="603">
        <f>[1]IFE!$AO1177</f>
        <v>0</v>
      </c>
      <c r="M148" s="356">
        <f t="shared" si="3"/>
        <v>0</v>
      </c>
      <c r="N148" s="380"/>
      <c r="O148" s="380"/>
    </row>
    <row r="149" spans="1:15" ht="11.1" customHeight="1" x14ac:dyDescent="0.25">
      <c r="A149" s="594">
        <f>[1]IFE!$AO1181</f>
        <v>0</v>
      </c>
      <c r="B149" s="595"/>
      <c r="C149" s="596">
        <f>[1]IFE!$AO1182</f>
        <v>0</v>
      </c>
      <c r="D149" s="592">
        <f>[1]IFE!$AO$1190</f>
        <v>0</v>
      </c>
      <c r="E149" s="597">
        <f>[1]IFE!$AO1184</f>
        <v>0</v>
      </c>
      <c r="F149" s="597">
        <f>[1]IFE!$AO1183</f>
        <v>0</v>
      </c>
      <c r="G149" s="597">
        <f>[1]IFE!$AO1189</f>
        <v>0</v>
      </c>
      <c r="H149" s="597">
        <f>[1]IFE!$AO1185</f>
        <v>0</v>
      </c>
      <c r="I149" s="597">
        <f t="shared" si="2"/>
        <v>0</v>
      </c>
      <c r="J149" s="597">
        <f>[1]IFE!$AO1186</f>
        <v>0</v>
      </c>
      <c r="K149" s="603">
        <f>[1]IFE!$AQ1183</f>
        <v>0</v>
      </c>
      <c r="L149" s="603">
        <f>[1]IFE!$AO1187</f>
        <v>0</v>
      </c>
      <c r="M149" s="356">
        <f t="shared" si="3"/>
        <v>0</v>
      </c>
      <c r="N149" s="380"/>
      <c r="O149" s="380"/>
    </row>
    <row r="150" spans="1:15" ht="11.1" customHeight="1" x14ac:dyDescent="0.25">
      <c r="A150" s="600">
        <f>[1]IFE!$AO1191</f>
        <v>0</v>
      </c>
      <c r="B150" s="601"/>
      <c r="C150" s="602">
        <f>[1]IFE!$AO1192</f>
        <v>0</v>
      </c>
      <c r="D150" s="592">
        <f>[1]IFE!$AO$1200</f>
        <v>0</v>
      </c>
      <c r="E150" s="603">
        <f>[1]IFE!$AO1194</f>
        <v>0</v>
      </c>
      <c r="F150" s="603">
        <f>[1]IFE!$AO1193</f>
        <v>0</v>
      </c>
      <c r="G150" s="603">
        <f>[1]IFE!$AO1199</f>
        <v>0</v>
      </c>
      <c r="H150" s="603">
        <f>[1]IFE!$AO1195</f>
        <v>0</v>
      </c>
      <c r="I150" s="603">
        <f t="shared" si="2"/>
        <v>0</v>
      </c>
      <c r="J150" s="603">
        <f>[1]IFE!$AO1196</f>
        <v>0</v>
      </c>
      <c r="K150" s="603">
        <f>[1]IFE!$AQ1193</f>
        <v>0</v>
      </c>
      <c r="L150" s="603">
        <f>[1]IFE!$AO1197</f>
        <v>0</v>
      </c>
      <c r="M150" s="356">
        <f t="shared" si="3"/>
        <v>0</v>
      </c>
      <c r="N150" s="380"/>
      <c r="O150" s="380"/>
    </row>
    <row r="151" spans="1:15" ht="11.1" customHeight="1" x14ac:dyDescent="0.25">
      <c r="A151" s="594">
        <f>[1]IFE!$AO1201</f>
        <v>0</v>
      </c>
      <c r="B151" s="595"/>
      <c r="C151" s="596">
        <f>[1]IFE!$AO1202</f>
        <v>0</v>
      </c>
      <c r="D151" s="592">
        <f>[1]IFE!$AO$1210</f>
        <v>0</v>
      </c>
      <c r="E151" s="597">
        <f>[1]IFE!$AO1204</f>
        <v>0</v>
      </c>
      <c r="F151" s="597">
        <f>[1]IFE!$AO1203</f>
        <v>0</v>
      </c>
      <c r="G151" s="597">
        <f>[1]IFE!$AO1209</f>
        <v>0</v>
      </c>
      <c r="H151" s="597">
        <f>[1]IFE!$AO1205</f>
        <v>0</v>
      </c>
      <c r="I151" s="597">
        <f t="shared" si="2"/>
        <v>0</v>
      </c>
      <c r="J151" s="597">
        <f>[1]IFE!$AO1206</f>
        <v>0</v>
      </c>
      <c r="K151" s="603">
        <f>[1]IFE!$AQ1203</f>
        <v>0</v>
      </c>
      <c r="L151" s="603">
        <f>[1]IFE!$AO1207</f>
        <v>0</v>
      </c>
      <c r="M151" s="356">
        <f t="shared" si="3"/>
        <v>0</v>
      </c>
      <c r="N151" s="380"/>
      <c r="O151" s="380"/>
    </row>
    <row r="152" spans="1:15" ht="11.1" customHeight="1" x14ac:dyDescent="0.25">
      <c r="A152" s="600">
        <f>[1]IFE!$AO1211</f>
        <v>0</v>
      </c>
      <c r="B152" s="601"/>
      <c r="C152" s="602">
        <f>[1]IFE!$AO1212</f>
        <v>0</v>
      </c>
      <c r="D152" s="592">
        <f>[1]IFE!$AO$1220</f>
        <v>0</v>
      </c>
      <c r="E152" s="603">
        <f>[1]IFE!$AO1214</f>
        <v>0</v>
      </c>
      <c r="F152" s="603">
        <f>[1]IFE!$AO1213</f>
        <v>0</v>
      </c>
      <c r="G152" s="603">
        <f>[1]IFE!$AO1219</f>
        <v>0</v>
      </c>
      <c r="H152" s="603">
        <f>[1]IFE!$AO1215</f>
        <v>0</v>
      </c>
      <c r="I152" s="603">
        <f t="shared" si="2"/>
        <v>0</v>
      </c>
      <c r="J152" s="603">
        <f>[1]IFE!$AO1216</f>
        <v>0</v>
      </c>
      <c r="K152" s="603">
        <f>[1]IFE!$AQ1213</f>
        <v>0</v>
      </c>
      <c r="L152" s="603">
        <f>[1]IFE!$AO1217</f>
        <v>0</v>
      </c>
      <c r="M152" s="356">
        <f t="shared" si="3"/>
        <v>0</v>
      </c>
      <c r="N152" s="380"/>
      <c r="O152" s="380"/>
    </row>
    <row r="153" spans="1:15" ht="11.1" customHeight="1" x14ac:dyDescent="0.25">
      <c r="A153" s="594">
        <f>[1]IFE!$AO1221</f>
        <v>0</v>
      </c>
      <c r="B153" s="595"/>
      <c r="C153" s="596">
        <f>[1]IFE!$AO1222</f>
        <v>0</v>
      </c>
      <c r="D153" s="592">
        <f>[1]IFE!$AO$1230</f>
        <v>0</v>
      </c>
      <c r="E153" s="597">
        <f>[1]IFE!$AO1224</f>
        <v>0</v>
      </c>
      <c r="F153" s="597">
        <f>[1]IFE!$AO1223</f>
        <v>0</v>
      </c>
      <c r="G153" s="597">
        <f>[1]IFE!$AO1229</f>
        <v>0</v>
      </c>
      <c r="H153" s="597">
        <f>[1]IFE!$AO1225</f>
        <v>0</v>
      </c>
      <c r="I153" s="597">
        <f t="shared" si="2"/>
        <v>0</v>
      </c>
      <c r="J153" s="597">
        <f>[1]IFE!$AO1226</f>
        <v>0</v>
      </c>
      <c r="K153" s="603">
        <f>[1]IFE!$AQ1223</f>
        <v>0</v>
      </c>
      <c r="L153" s="603">
        <f>[1]IFE!$AO1227</f>
        <v>0</v>
      </c>
      <c r="M153" s="356">
        <f t="shared" si="3"/>
        <v>0</v>
      </c>
      <c r="N153" s="380"/>
      <c r="O153" s="380"/>
    </row>
    <row r="154" spans="1:15" ht="11.1" customHeight="1" x14ac:dyDescent="0.25">
      <c r="A154" s="600">
        <f>[1]IFE!$AO1231</f>
        <v>0</v>
      </c>
      <c r="B154" s="601"/>
      <c r="C154" s="602">
        <f>[1]IFE!$AO1232</f>
        <v>0</v>
      </c>
      <c r="D154" s="592">
        <f>[1]IFE!$AO$1240</f>
        <v>0</v>
      </c>
      <c r="E154" s="603">
        <f>[1]IFE!$AO1234</f>
        <v>0</v>
      </c>
      <c r="F154" s="603">
        <f>[1]IFE!$AO1233</f>
        <v>0</v>
      </c>
      <c r="G154" s="603">
        <f>[1]IFE!$AO1239</f>
        <v>0</v>
      </c>
      <c r="H154" s="603">
        <f>[1]IFE!$AO1235</f>
        <v>0</v>
      </c>
      <c r="I154" s="603">
        <f t="shared" si="2"/>
        <v>0</v>
      </c>
      <c r="J154" s="603">
        <f>[1]IFE!$AO1236</f>
        <v>0</v>
      </c>
      <c r="K154" s="603">
        <f>[1]IFE!$AQ1233</f>
        <v>0</v>
      </c>
      <c r="L154" s="603">
        <f>[1]IFE!$AO1237</f>
        <v>0</v>
      </c>
      <c r="M154" s="356">
        <f t="shared" si="3"/>
        <v>0</v>
      </c>
      <c r="N154" s="380"/>
      <c r="O154" s="380"/>
    </row>
    <row r="155" spans="1:15" ht="11.1" customHeight="1" x14ac:dyDescent="0.25">
      <c r="A155" s="594">
        <f>[1]IFE!$AO1241</f>
        <v>0</v>
      </c>
      <c r="B155" s="595"/>
      <c r="C155" s="596">
        <f>[1]IFE!$AO1242</f>
        <v>0</v>
      </c>
      <c r="D155" s="592">
        <f>[1]IFE!$AO$1250</f>
        <v>0</v>
      </c>
      <c r="E155" s="597">
        <f>[1]IFE!$AO1244</f>
        <v>0</v>
      </c>
      <c r="F155" s="597">
        <f>[1]IFE!$AO1243</f>
        <v>0</v>
      </c>
      <c r="G155" s="597">
        <f>[1]IFE!$AO1249</f>
        <v>0</v>
      </c>
      <c r="H155" s="597">
        <f>[1]IFE!$AO1245</f>
        <v>0</v>
      </c>
      <c r="I155" s="597">
        <f t="shared" si="2"/>
        <v>0</v>
      </c>
      <c r="J155" s="597">
        <f>[1]IFE!$AO1246</f>
        <v>0</v>
      </c>
      <c r="K155" s="603">
        <f>[1]IFE!$AQ1243</f>
        <v>0</v>
      </c>
      <c r="L155" s="603">
        <f>[1]IFE!$AO1247</f>
        <v>0</v>
      </c>
      <c r="M155" s="356">
        <f t="shared" si="3"/>
        <v>0</v>
      </c>
      <c r="N155" s="380"/>
      <c r="O155" s="380"/>
    </row>
    <row r="156" spans="1:15" ht="11.1" customHeight="1" x14ac:dyDescent="0.25">
      <c r="A156" s="600">
        <f>[1]IFE!$AO1251</f>
        <v>0</v>
      </c>
      <c r="B156" s="601"/>
      <c r="C156" s="602">
        <f>[1]IFE!$AO1252</f>
        <v>0</v>
      </c>
      <c r="D156" s="592">
        <f>[1]IFE!$AO$1260</f>
        <v>0</v>
      </c>
      <c r="E156" s="603">
        <f>[1]IFE!$AO1254</f>
        <v>0</v>
      </c>
      <c r="F156" s="603">
        <f>[1]IFE!$AO1253</f>
        <v>0</v>
      </c>
      <c r="G156" s="603">
        <f>[1]IFE!$AO1259</f>
        <v>0</v>
      </c>
      <c r="H156" s="603">
        <f>[1]IFE!$AO1255</f>
        <v>0</v>
      </c>
      <c r="I156" s="603">
        <f t="shared" si="2"/>
        <v>0</v>
      </c>
      <c r="J156" s="603">
        <f>[1]IFE!$AO1256</f>
        <v>0</v>
      </c>
      <c r="K156" s="603">
        <f>[1]IFE!$AQ1253</f>
        <v>0</v>
      </c>
      <c r="L156" s="603">
        <f>[1]IFE!$AO1257</f>
        <v>0</v>
      </c>
      <c r="M156" s="356">
        <f t="shared" si="3"/>
        <v>0</v>
      </c>
      <c r="N156" s="380"/>
      <c r="O156" s="380"/>
    </row>
    <row r="157" spans="1:15" ht="11.1" customHeight="1" x14ac:dyDescent="0.25">
      <c r="A157" s="594">
        <f>[1]IFE!$AO1261</f>
        <v>0</v>
      </c>
      <c r="B157" s="595"/>
      <c r="C157" s="596">
        <f>[1]IFE!$AO1262</f>
        <v>0</v>
      </c>
      <c r="D157" s="592">
        <f>[1]IFE!$AO$1270</f>
        <v>0</v>
      </c>
      <c r="E157" s="597">
        <f>[1]IFE!$AO1264</f>
        <v>0</v>
      </c>
      <c r="F157" s="597">
        <f>[1]IFE!$AO1263</f>
        <v>0</v>
      </c>
      <c r="G157" s="597">
        <f>[1]IFE!$AO1269</f>
        <v>0</v>
      </c>
      <c r="H157" s="597">
        <f>[1]IFE!$AO1265</f>
        <v>0</v>
      </c>
      <c r="I157" s="597">
        <f t="shared" si="2"/>
        <v>0</v>
      </c>
      <c r="J157" s="597">
        <f>[1]IFE!$AO1266</f>
        <v>0</v>
      </c>
      <c r="K157" s="603">
        <f>[1]IFE!$AQ1263</f>
        <v>0</v>
      </c>
      <c r="L157" s="603">
        <f>[1]IFE!$AO1267</f>
        <v>0</v>
      </c>
      <c r="M157" s="356">
        <f t="shared" si="3"/>
        <v>0</v>
      </c>
    </row>
    <row r="158" spans="1:15" ht="11.1" customHeight="1" x14ac:dyDescent="0.25">
      <c r="A158" s="600">
        <f>[1]IFE!$AO1271</f>
        <v>0</v>
      </c>
      <c r="B158" s="601"/>
      <c r="C158" s="602">
        <f>[1]IFE!$AO1272</f>
        <v>0</v>
      </c>
      <c r="D158" s="592">
        <f>[1]IFE!$AO$1280</f>
        <v>0</v>
      </c>
      <c r="E158" s="603">
        <f>[1]IFE!$AO1274</f>
        <v>0</v>
      </c>
      <c r="F158" s="603">
        <f>[1]IFE!$AO1273</f>
        <v>0</v>
      </c>
      <c r="G158" s="603">
        <f>[1]IFE!$AO1279</f>
        <v>0</v>
      </c>
      <c r="H158" s="603">
        <f>[1]IFE!$AO1275</f>
        <v>0</v>
      </c>
      <c r="I158" s="603">
        <f t="shared" si="2"/>
        <v>0</v>
      </c>
      <c r="J158" s="603">
        <f>[1]IFE!$AO1276</f>
        <v>0</v>
      </c>
      <c r="K158" s="603">
        <f>[1]IFE!$AQ1273</f>
        <v>0</v>
      </c>
      <c r="L158" s="603">
        <f>[1]IFE!$AO1277</f>
        <v>0</v>
      </c>
      <c r="M158" s="356">
        <f t="shared" si="3"/>
        <v>0</v>
      </c>
    </row>
    <row r="159" spans="1:15" ht="11.1" customHeight="1" x14ac:dyDescent="0.25">
      <c r="A159" s="594">
        <f>[1]IFE!$AO1281</f>
        <v>0</v>
      </c>
      <c r="B159" s="595"/>
      <c r="C159" s="596">
        <f>[1]IFE!$AO1282</f>
        <v>0</v>
      </c>
      <c r="D159" s="592">
        <f>[1]IFE!$AO$1290</f>
        <v>0</v>
      </c>
      <c r="E159" s="597">
        <f>[1]IFE!$AO1284</f>
        <v>0</v>
      </c>
      <c r="F159" s="597">
        <f>[1]IFE!$AO1283</f>
        <v>0</v>
      </c>
      <c r="G159" s="597">
        <f>[1]IFE!$AO1289</f>
        <v>0</v>
      </c>
      <c r="H159" s="597">
        <f>[1]IFE!$AO1285</f>
        <v>0</v>
      </c>
      <c r="I159" s="597">
        <f t="shared" si="2"/>
        <v>0</v>
      </c>
      <c r="J159" s="597">
        <f>[1]IFE!$AO1286</f>
        <v>0</v>
      </c>
      <c r="K159" s="603">
        <f>[1]IFE!$AQ1283</f>
        <v>0</v>
      </c>
      <c r="L159" s="603">
        <f>[1]IFE!$AO1287</f>
        <v>0</v>
      </c>
      <c r="M159" s="356">
        <f t="shared" si="3"/>
        <v>0</v>
      </c>
    </row>
    <row r="160" spans="1:15" ht="11.1" customHeight="1" x14ac:dyDescent="0.25">
      <c r="A160" s="600">
        <f>[1]IFE!$AO1291</f>
        <v>0</v>
      </c>
      <c r="B160" s="601"/>
      <c r="C160" s="602">
        <f>[1]IFE!$AO1292</f>
        <v>0</v>
      </c>
      <c r="D160" s="592">
        <f>[1]IFE!$AO$1300</f>
        <v>0</v>
      </c>
      <c r="E160" s="603">
        <f>[1]IFE!$AO1294</f>
        <v>0</v>
      </c>
      <c r="F160" s="603">
        <f>[1]IFE!$AO1293</f>
        <v>0</v>
      </c>
      <c r="G160" s="603">
        <f>[1]IFE!$AO1299</f>
        <v>0</v>
      </c>
      <c r="H160" s="603">
        <f>[1]IFE!$AO1295</f>
        <v>0</v>
      </c>
      <c r="I160" s="603">
        <f t="shared" si="2"/>
        <v>0</v>
      </c>
      <c r="J160" s="603">
        <f>[1]IFE!$AO1296</f>
        <v>0</v>
      </c>
      <c r="K160" s="603">
        <f>[1]IFE!$AQ1293</f>
        <v>0</v>
      </c>
      <c r="L160" s="603">
        <f>[1]IFE!$AO1297</f>
        <v>0</v>
      </c>
      <c r="M160" s="356">
        <f t="shared" si="3"/>
        <v>0</v>
      </c>
    </row>
    <row r="161" spans="1:13" ht="11.1" customHeight="1" x14ac:dyDescent="0.25">
      <c r="A161" s="594">
        <f>[1]IFE!$AJ901</f>
        <v>0</v>
      </c>
      <c r="B161" s="595"/>
      <c r="C161" s="596">
        <f>[1]IFE!$AJ902</f>
        <v>0</v>
      </c>
      <c r="D161" s="592">
        <f>[1]IFE!$AJ$910</f>
        <v>0</v>
      </c>
      <c r="E161" s="597">
        <f>[1]IFE!$AJ904</f>
        <v>0</v>
      </c>
      <c r="F161" s="597">
        <f>[1]IFE!$AJ903</f>
        <v>0</v>
      </c>
      <c r="G161" s="597">
        <f>[1]IFE!$AJ909</f>
        <v>0</v>
      </c>
      <c r="H161" s="597">
        <f>[1]IFE!$AJ905</f>
        <v>0</v>
      </c>
      <c r="I161" s="597">
        <f t="shared" si="2"/>
        <v>0</v>
      </c>
      <c r="J161" s="597">
        <f>[1]IFE!$AJ906</f>
        <v>0</v>
      </c>
      <c r="K161" s="603">
        <f>[1]IFE!$AL903</f>
        <v>0</v>
      </c>
      <c r="L161" s="603">
        <f>[1]IFE!$AJ907</f>
        <v>0</v>
      </c>
      <c r="M161" s="356">
        <f t="shared" si="3"/>
        <v>0</v>
      </c>
    </row>
    <row r="162" spans="1:13" ht="11.1" customHeight="1" x14ac:dyDescent="0.25">
      <c r="A162" s="600">
        <f>[1]IFE!$AJ911</f>
        <v>0</v>
      </c>
      <c r="B162" s="601"/>
      <c r="C162" s="602">
        <f>[1]IFE!$AJ912</f>
        <v>0</v>
      </c>
      <c r="D162" s="592">
        <f>[1]IFE!$AJ$920</f>
        <v>0</v>
      </c>
      <c r="E162" s="603">
        <f>[1]IFE!$AJ914</f>
        <v>0</v>
      </c>
      <c r="F162" s="603">
        <f>[1]IFE!$AJ913</f>
        <v>0</v>
      </c>
      <c r="G162" s="603">
        <f>[1]IFE!$AJ919</f>
        <v>0</v>
      </c>
      <c r="H162" s="603">
        <f>[1]IFE!$AJ915</f>
        <v>0</v>
      </c>
      <c r="I162" s="603">
        <f t="shared" si="2"/>
        <v>0</v>
      </c>
      <c r="J162" s="603">
        <f>[1]IFE!$AJ916</f>
        <v>0</v>
      </c>
      <c r="K162" s="603">
        <f>[1]IFE!$AL913</f>
        <v>0</v>
      </c>
      <c r="L162" s="603">
        <f>[1]IFE!$AJ917</f>
        <v>0</v>
      </c>
      <c r="M162" s="356">
        <f t="shared" si="3"/>
        <v>0</v>
      </c>
    </row>
    <row r="163" spans="1:13" ht="11.1" customHeight="1" x14ac:dyDescent="0.25">
      <c r="A163" s="594">
        <f>[1]IFE!$AJ921</f>
        <v>0</v>
      </c>
      <c r="B163" s="595"/>
      <c r="C163" s="596">
        <f>[1]IFE!$AJ922</f>
        <v>0</v>
      </c>
      <c r="D163" s="592">
        <f>[1]IFE!$AJ$930</f>
        <v>0</v>
      </c>
      <c r="E163" s="597">
        <f>[1]IFE!$AJ924</f>
        <v>0</v>
      </c>
      <c r="F163" s="597">
        <f>[1]IFE!$AJ923</f>
        <v>0</v>
      </c>
      <c r="G163" s="597">
        <f>[1]IFE!$AJ929</f>
        <v>0</v>
      </c>
      <c r="H163" s="597">
        <f>[1]IFE!$AJ925</f>
        <v>0</v>
      </c>
      <c r="I163" s="597">
        <f t="shared" si="2"/>
        <v>0</v>
      </c>
      <c r="J163" s="597">
        <f>[1]IFE!$AJ926</f>
        <v>0</v>
      </c>
      <c r="K163" s="603">
        <f>[1]IFE!$AL923</f>
        <v>0</v>
      </c>
      <c r="L163" s="603">
        <f>[1]IFE!$AJ927</f>
        <v>0</v>
      </c>
      <c r="M163" s="356">
        <f t="shared" si="3"/>
        <v>0</v>
      </c>
    </row>
    <row r="164" spans="1:13" ht="11.1" customHeight="1" x14ac:dyDescent="0.25">
      <c r="A164" s="600">
        <f>[1]IFE!$AJ931</f>
        <v>0</v>
      </c>
      <c r="B164" s="601"/>
      <c r="C164" s="602">
        <f>[1]IFE!$AJ932</f>
        <v>0</v>
      </c>
      <c r="D164" s="592">
        <f>[1]IFE!$AJ$940</f>
        <v>0</v>
      </c>
      <c r="E164" s="603">
        <f>[1]IFE!$AJ934</f>
        <v>0</v>
      </c>
      <c r="F164" s="603">
        <f>[1]IFE!$AJ933</f>
        <v>0</v>
      </c>
      <c r="G164" s="603">
        <f>[1]IFE!$AJ939</f>
        <v>0</v>
      </c>
      <c r="H164" s="603">
        <f>[1]IFE!$AJ935</f>
        <v>0</v>
      </c>
      <c r="I164" s="603">
        <f t="shared" si="2"/>
        <v>0</v>
      </c>
      <c r="J164" s="603">
        <f>[1]IFE!$AJ936</f>
        <v>0</v>
      </c>
      <c r="K164" s="603">
        <f>[1]IFE!$AL933</f>
        <v>0</v>
      </c>
      <c r="L164" s="603">
        <f>[1]IFE!$AJ937</f>
        <v>0</v>
      </c>
      <c r="M164" s="356">
        <f t="shared" si="3"/>
        <v>0</v>
      </c>
    </row>
    <row r="165" spans="1:13" ht="11.1" customHeight="1" x14ac:dyDescent="0.25">
      <c r="A165" s="594">
        <f>[1]IFE!$AJ941</f>
        <v>0</v>
      </c>
      <c r="B165" s="595"/>
      <c r="C165" s="596">
        <f>[1]IFE!$AJ942</f>
        <v>0</v>
      </c>
      <c r="D165" s="592">
        <f>[1]IFE!$AJ$950</f>
        <v>0</v>
      </c>
      <c r="E165" s="597">
        <f>[1]IFE!$AJ944</f>
        <v>0</v>
      </c>
      <c r="F165" s="597">
        <f>[1]IFE!$AJ943</f>
        <v>0</v>
      </c>
      <c r="G165" s="597">
        <f>[1]IFE!$AJ949</f>
        <v>0</v>
      </c>
      <c r="H165" s="597">
        <f>[1]IFE!$AJ945</f>
        <v>0</v>
      </c>
      <c r="I165" s="597">
        <f t="shared" si="2"/>
        <v>0</v>
      </c>
      <c r="J165" s="597">
        <f>[1]IFE!$AJ946</f>
        <v>0</v>
      </c>
      <c r="K165" s="603">
        <f>[1]IFE!$AL943</f>
        <v>0</v>
      </c>
      <c r="L165" s="603">
        <f>[1]IFE!$AJ947</f>
        <v>0</v>
      </c>
      <c r="M165" s="356">
        <f t="shared" si="3"/>
        <v>0</v>
      </c>
    </row>
    <row r="166" spans="1:13" ht="11.1" customHeight="1" x14ac:dyDescent="0.25">
      <c r="A166" s="600">
        <f>[1]IFE!$AJ951</f>
        <v>0</v>
      </c>
      <c r="B166" s="601"/>
      <c r="C166" s="602">
        <f>[1]IFE!$AJ952</f>
        <v>0</v>
      </c>
      <c r="D166" s="592">
        <f>[1]IFE!$AJ$960</f>
        <v>0</v>
      </c>
      <c r="E166" s="603">
        <f>[1]IFE!$AJ954</f>
        <v>0</v>
      </c>
      <c r="F166" s="603">
        <f>[1]IFE!$AJ953</f>
        <v>0</v>
      </c>
      <c r="G166" s="603">
        <f>[1]IFE!$AJ959</f>
        <v>0</v>
      </c>
      <c r="H166" s="603">
        <f>[1]IFE!$AJ955</f>
        <v>0</v>
      </c>
      <c r="I166" s="603">
        <f t="shared" si="2"/>
        <v>0</v>
      </c>
      <c r="J166" s="603">
        <f>[1]IFE!$AJ956</f>
        <v>0</v>
      </c>
      <c r="K166" s="603">
        <f>[1]IFE!$AL953</f>
        <v>0</v>
      </c>
      <c r="L166" s="603">
        <f>[1]IFE!$AJ957</f>
        <v>0</v>
      </c>
      <c r="M166" s="356">
        <f t="shared" si="3"/>
        <v>0</v>
      </c>
    </row>
    <row r="167" spans="1:13" ht="11.1" customHeight="1" x14ac:dyDescent="0.25">
      <c r="A167" s="594">
        <f>[1]IFE!$AJ961</f>
        <v>0</v>
      </c>
      <c r="B167" s="595"/>
      <c r="C167" s="596">
        <f>[1]IFE!$AJ962</f>
        <v>0</v>
      </c>
      <c r="D167" s="592">
        <f>[1]IFE!$AJ$970</f>
        <v>0</v>
      </c>
      <c r="E167" s="597">
        <f>[1]IFE!$AJ964</f>
        <v>0</v>
      </c>
      <c r="F167" s="597">
        <f>[1]IFE!$AJ963</f>
        <v>0</v>
      </c>
      <c r="G167" s="597">
        <f>[1]IFE!$AJ969</f>
        <v>0</v>
      </c>
      <c r="H167" s="597">
        <f>[1]IFE!$AJ965</f>
        <v>0</v>
      </c>
      <c r="I167" s="597">
        <f t="shared" si="2"/>
        <v>0</v>
      </c>
      <c r="J167" s="597">
        <f>[1]IFE!$AJ966</f>
        <v>0</v>
      </c>
      <c r="K167" s="603">
        <f>[1]IFE!$AL963</f>
        <v>0</v>
      </c>
      <c r="L167" s="603">
        <f>[1]IFE!$AJ967</f>
        <v>0</v>
      </c>
      <c r="M167" s="356">
        <f t="shared" si="3"/>
        <v>0</v>
      </c>
    </row>
    <row r="168" spans="1:13" ht="11.1" customHeight="1" x14ac:dyDescent="0.25">
      <c r="A168" s="600">
        <f>[1]IFE!$AJ971</f>
        <v>0</v>
      </c>
      <c r="B168" s="601"/>
      <c r="C168" s="602">
        <f>[1]IFE!$AJ972</f>
        <v>0</v>
      </c>
      <c r="D168" s="592">
        <f>[1]IFE!$AJ$980</f>
        <v>0</v>
      </c>
      <c r="E168" s="603">
        <f>[1]IFE!$AJ974</f>
        <v>0</v>
      </c>
      <c r="F168" s="603">
        <f>[1]IFE!$AJ973</f>
        <v>0</v>
      </c>
      <c r="G168" s="603">
        <f>[1]IFE!$AJ979</f>
        <v>0</v>
      </c>
      <c r="H168" s="603">
        <f>[1]IFE!$AJ975</f>
        <v>0</v>
      </c>
      <c r="I168" s="603">
        <f t="shared" si="2"/>
        <v>0</v>
      </c>
      <c r="J168" s="603">
        <f>[1]IFE!$AJ976</f>
        <v>0</v>
      </c>
      <c r="K168" s="603">
        <f>[1]IFE!$AL973</f>
        <v>0</v>
      </c>
      <c r="L168" s="603">
        <f>[1]IFE!$AJ977</f>
        <v>0</v>
      </c>
      <c r="M168" s="356">
        <f t="shared" si="3"/>
        <v>0</v>
      </c>
    </row>
    <row r="169" spans="1:13" ht="11.1" customHeight="1" x14ac:dyDescent="0.25">
      <c r="A169" s="594">
        <f>[1]IFE!$AJ981</f>
        <v>0</v>
      </c>
      <c r="B169" s="595"/>
      <c r="C169" s="596">
        <f>[1]IFE!$AJ982</f>
        <v>0</v>
      </c>
      <c r="D169" s="592">
        <f>[1]IFE!$AJ$990</f>
        <v>0</v>
      </c>
      <c r="E169" s="597">
        <f>[1]IFE!$AJ984</f>
        <v>0</v>
      </c>
      <c r="F169" s="597">
        <f>[1]IFE!$AJ983</f>
        <v>0</v>
      </c>
      <c r="G169" s="597">
        <f>[1]IFE!$AJ989</f>
        <v>0</v>
      </c>
      <c r="H169" s="597">
        <f>[1]IFE!$AJ985</f>
        <v>0</v>
      </c>
      <c r="I169" s="597">
        <f t="shared" si="2"/>
        <v>0</v>
      </c>
      <c r="J169" s="597">
        <f>[1]IFE!$AJ986</f>
        <v>0</v>
      </c>
      <c r="K169" s="603">
        <f>[1]IFE!$AL983</f>
        <v>0</v>
      </c>
      <c r="L169" s="603">
        <f>[1]IFE!$AJ987</f>
        <v>0</v>
      </c>
      <c r="M169" s="356">
        <f t="shared" si="3"/>
        <v>0</v>
      </c>
    </row>
    <row r="170" spans="1:13" ht="11.1" customHeight="1" x14ac:dyDescent="0.25">
      <c r="A170" s="604">
        <f>[1]IFE!$AJ991</f>
        <v>0</v>
      </c>
      <c r="B170" s="605"/>
      <c r="C170" s="602">
        <f>[1]IFE!$AJ992</f>
        <v>0</v>
      </c>
      <c r="D170" s="592">
        <f>[1]IFE!$AJ$1000</f>
        <v>0</v>
      </c>
      <c r="E170" s="603">
        <f>[1]IFE!$AJ994</f>
        <v>0</v>
      </c>
      <c r="F170" s="603">
        <f>[1]IFE!$AJ993</f>
        <v>0</v>
      </c>
      <c r="G170" s="603">
        <f>[1]IFE!$AJ999</f>
        <v>0</v>
      </c>
      <c r="H170" s="603">
        <f>[1]IFE!$AJ995</f>
        <v>0</v>
      </c>
      <c r="I170" s="606">
        <f t="shared" si="2"/>
        <v>0</v>
      </c>
      <c r="J170" s="603">
        <f>[1]IFE!$AJ996</f>
        <v>0</v>
      </c>
      <c r="K170" s="603">
        <f>[1]IFE!$AL993</f>
        <v>0</v>
      </c>
      <c r="L170" s="603">
        <f>[1]IFE!$AJ997</f>
        <v>0</v>
      </c>
      <c r="M170" s="607">
        <f t="shared" si="3"/>
        <v>0</v>
      </c>
    </row>
    <row r="171" spans="1:13" ht="11.1" customHeight="1" x14ac:dyDescent="0.25">
      <c r="A171" s="600"/>
      <c r="B171" s="601"/>
      <c r="C171" s="602"/>
      <c r="D171" s="592"/>
      <c r="E171" s="603"/>
      <c r="F171" s="603"/>
      <c r="G171" s="603"/>
      <c r="H171" s="603"/>
      <c r="I171" s="603"/>
      <c r="J171" s="603"/>
      <c r="K171" s="603"/>
      <c r="L171" s="603"/>
      <c r="M171" s="322"/>
    </row>
    <row r="172" spans="1:13" ht="11.1" customHeight="1" x14ac:dyDescent="0.25">
      <c r="A172" s="600"/>
      <c r="B172" s="601"/>
      <c r="C172" s="602"/>
      <c r="D172" s="592"/>
      <c r="E172" s="603"/>
      <c r="F172" s="603"/>
      <c r="G172" s="603"/>
      <c r="H172" s="603"/>
      <c r="I172" s="603"/>
      <c r="J172" s="603"/>
      <c r="K172" s="603"/>
      <c r="L172" s="608"/>
      <c r="M172" s="322"/>
    </row>
    <row r="173" spans="1:13" ht="11.1" customHeight="1" x14ac:dyDescent="0.25">
      <c r="A173" s="600"/>
      <c r="B173" s="601"/>
      <c r="C173" s="602"/>
      <c r="D173" s="592"/>
      <c r="E173" s="603"/>
      <c r="F173" s="603"/>
      <c r="G173" s="603"/>
      <c r="H173" s="603"/>
      <c r="I173" s="603"/>
      <c r="J173" s="603"/>
      <c r="K173" s="603"/>
      <c r="L173" s="608"/>
      <c r="M173" s="322"/>
    </row>
    <row r="174" spans="1:13" ht="11.1" customHeight="1" x14ac:dyDescent="0.25">
      <c r="A174" s="600"/>
      <c r="B174" s="601"/>
      <c r="C174" s="602"/>
      <c r="D174" s="592"/>
      <c r="E174" s="603"/>
      <c r="F174" s="603"/>
      <c r="G174" s="603"/>
      <c r="H174" s="603"/>
      <c r="I174" s="603"/>
      <c r="J174" s="603"/>
      <c r="K174" s="603"/>
      <c r="L174" s="608"/>
      <c r="M174" s="322"/>
    </row>
    <row r="175" spans="1:13" ht="11.1" customHeight="1" x14ac:dyDescent="0.25">
      <c r="A175" s="600"/>
      <c r="B175" s="601"/>
      <c r="C175" s="602"/>
      <c r="D175" s="592"/>
      <c r="E175" s="603"/>
      <c r="F175" s="603"/>
      <c r="G175" s="603"/>
      <c r="H175" s="603"/>
      <c r="I175" s="603"/>
      <c r="J175" s="603"/>
      <c r="K175" s="603"/>
      <c r="L175" s="608"/>
      <c r="M175" s="322"/>
    </row>
    <row r="176" spans="1:13" ht="11.1" customHeight="1" x14ac:dyDescent="0.25">
      <c r="A176" s="600"/>
      <c r="B176" s="601"/>
      <c r="C176" s="602"/>
      <c r="D176" s="592"/>
      <c r="E176" s="603"/>
      <c r="F176" s="603"/>
      <c r="G176" s="603"/>
      <c r="H176" s="603"/>
      <c r="I176" s="603"/>
      <c r="J176" s="603"/>
      <c r="K176" s="603"/>
      <c r="L176" s="608"/>
      <c r="M176" s="322"/>
    </row>
    <row r="177" spans="1:13" ht="11.1" customHeight="1" x14ac:dyDescent="0.25">
      <c r="A177" s="600"/>
      <c r="B177" s="601"/>
      <c r="C177" s="602"/>
      <c r="D177" s="592"/>
      <c r="E177" s="603"/>
      <c r="F177" s="603"/>
      <c r="G177" s="603"/>
      <c r="H177" s="603"/>
      <c r="I177" s="603"/>
      <c r="J177" s="603"/>
      <c r="K177" s="603"/>
      <c r="L177" s="608"/>
      <c r="M177" s="322"/>
    </row>
    <row r="178" spans="1:13" ht="11.1" customHeight="1" x14ac:dyDescent="0.25">
      <c r="A178" s="600"/>
      <c r="B178" s="601"/>
      <c r="C178" s="602"/>
      <c r="D178" s="592"/>
      <c r="E178" s="603"/>
      <c r="F178" s="603"/>
      <c r="G178" s="603"/>
      <c r="H178" s="603"/>
      <c r="I178" s="603"/>
      <c r="J178" s="603"/>
      <c r="K178" s="603"/>
      <c r="L178" s="608"/>
      <c r="M178" s="322"/>
    </row>
    <row r="179" spans="1:13" ht="11.1" customHeight="1" x14ac:dyDescent="0.25">
      <c r="A179" s="600"/>
      <c r="B179" s="601"/>
      <c r="C179" s="602"/>
      <c r="D179" s="592"/>
      <c r="E179" s="603"/>
      <c r="F179" s="603"/>
      <c r="G179" s="603"/>
      <c r="H179" s="603"/>
      <c r="I179" s="603"/>
      <c r="J179" s="603"/>
      <c r="K179" s="603"/>
      <c r="L179" s="608"/>
      <c r="M179" s="322"/>
    </row>
    <row r="180" spans="1:13" ht="11.1" customHeight="1" thickBot="1" x14ac:dyDescent="0.3">
      <c r="A180" s="609"/>
      <c r="B180" s="610"/>
      <c r="C180" s="611"/>
      <c r="D180" s="593"/>
      <c r="E180" s="612"/>
      <c r="F180" s="612"/>
      <c r="G180" s="612"/>
      <c r="H180" s="612"/>
      <c r="I180" s="612"/>
      <c r="J180" s="612"/>
      <c r="K180" s="612"/>
      <c r="L180" s="613"/>
      <c r="M180" s="336"/>
    </row>
    <row r="181" spans="1:13" ht="13.8" thickTop="1" x14ac:dyDescent="0.25"/>
  </sheetData>
  <mergeCells count="23">
    <mergeCell ref="Q12:S12"/>
    <mergeCell ref="Q14:S14"/>
    <mergeCell ref="J3:K3"/>
    <mergeCell ref="G62:M62"/>
    <mergeCell ref="F67:G67"/>
    <mergeCell ref="F128:G128"/>
    <mergeCell ref="J123:K123"/>
    <mergeCell ref="E126:I126"/>
    <mergeCell ref="G121:M121"/>
    <mergeCell ref="G122:M122"/>
    <mergeCell ref="G1:M1"/>
    <mergeCell ref="G2:M2"/>
    <mergeCell ref="F127:G127"/>
    <mergeCell ref="K127:L127"/>
    <mergeCell ref="G61:M61"/>
    <mergeCell ref="F68:G68"/>
    <mergeCell ref="J63:K63"/>
    <mergeCell ref="E66:I66"/>
    <mergeCell ref="E6:I6"/>
    <mergeCell ref="F7:G7"/>
    <mergeCell ref="F8:G8"/>
    <mergeCell ref="K7:L7"/>
    <mergeCell ref="K67:L67"/>
  </mergeCells>
  <phoneticPr fontId="0" type="noConversion"/>
  <printOptions horizontalCentered="1" verticalCentered="1"/>
  <pageMargins left="0.75" right="0.75" top="1" bottom="0.5" header="0.511811023622047" footer="0.511811023622047"/>
  <pageSetup scale="91" orientation="portrait" r:id="rId1"/>
  <headerFooter alignWithMargins="0"/>
  <rowBreaks count="2" manualBreakCount="2">
    <brk id="60" max="12" man="1"/>
    <brk id="120" max="12"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2"/>
  <dimension ref="A1:AC181"/>
  <sheetViews>
    <sheetView showGridLines="0" showZeros="0" zoomScaleNormal="100" workbookViewId="0"/>
  </sheetViews>
  <sheetFormatPr baseColWidth="10" defaultColWidth="8.88671875" defaultRowHeight="13.2" x14ac:dyDescent="0.25"/>
  <cols>
    <col min="1" max="1" width="13.44140625" customWidth="1"/>
    <col min="2" max="2" width="7.5546875" customWidth="1"/>
    <col min="3" max="3" width="8.6640625" customWidth="1"/>
    <col min="4" max="4" width="7.5546875" customWidth="1"/>
    <col min="5" max="5" width="7.109375" customWidth="1"/>
    <col min="6" max="6" width="5.33203125" customWidth="1"/>
    <col min="7" max="7" width="6.6640625" customWidth="1"/>
    <col min="8" max="8" width="5.33203125" customWidth="1"/>
    <col min="9" max="10" width="6.6640625" customWidth="1"/>
    <col min="11" max="11" width="8.6640625" customWidth="1"/>
    <col min="12" max="12" width="6.6640625" customWidth="1"/>
    <col min="14" max="14" width="6.5546875" hidden="1" customWidth="1"/>
    <col min="15" max="15" width="0.109375" hidden="1" customWidth="1"/>
  </cols>
  <sheetData>
    <row r="1" spans="1:15" ht="20.100000000000001" customHeight="1" x14ac:dyDescent="0.3">
      <c r="E1" s="623"/>
      <c r="F1" s="623"/>
      <c r="G1" s="771" t="s">
        <v>196</v>
      </c>
      <c r="H1" s="771"/>
      <c r="I1" s="771"/>
      <c r="J1" s="771"/>
      <c r="K1" s="771"/>
      <c r="L1" s="771"/>
      <c r="M1" s="771"/>
    </row>
    <row r="2" spans="1:15" ht="24.9" customHeight="1" x14ac:dyDescent="0.25">
      <c r="E2" s="624"/>
      <c r="F2" s="624"/>
      <c r="G2" s="772" t="s">
        <v>178</v>
      </c>
      <c r="H2" s="772"/>
      <c r="I2" s="772"/>
      <c r="J2" s="772"/>
      <c r="K2" s="772"/>
      <c r="L2" s="772"/>
      <c r="M2" s="772"/>
    </row>
    <row r="3" spans="1:15" ht="12.75" customHeight="1" x14ac:dyDescent="0.25">
      <c r="A3" s="3"/>
      <c r="B3" s="283" t="s">
        <v>11</v>
      </c>
      <c r="C3" s="284" t="s">
        <v>259</v>
      </c>
      <c r="D3" s="284"/>
      <c r="E3" s="285"/>
      <c r="F3" s="3"/>
      <c r="G3" s="3"/>
      <c r="H3" s="3"/>
      <c r="I3" s="286" t="s">
        <v>179</v>
      </c>
      <c r="J3" s="777">
        <v>39996</v>
      </c>
      <c r="K3" s="777"/>
      <c r="L3" s="287"/>
    </row>
    <row r="4" spans="1:15" ht="12.75" customHeight="1" x14ac:dyDescent="0.25">
      <c r="A4" s="3"/>
      <c r="B4" s="283" t="s">
        <v>8</v>
      </c>
      <c r="C4" s="284" t="s">
        <v>260</v>
      </c>
      <c r="D4" s="284"/>
      <c r="E4" s="3"/>
      <c r="F4" s="3"/>
      <c r="G4" s="3"/>
      <c r="H4" s="3"/>
      <c r="I4" s="288" t="s">
        <v>180</v>
      </c>
      <c r="J4" s="289">
        <v>16</v>
      </c>
      <c r="K4" s="3"/>
      <c r="M4" s="290"/>
    </row>
    <row r="5" spans="1:15" ht="12.75" customHeight="1" thickBot="1" x14ac:dyDescent="0.3">
      <c r="A5" s="3"/>
      <c r="B5" s="283" t="s">
        <v>181</v>
      </c>
      <c r="C5" s="291" t="s">
        <v>261</v>
      </c>
      <c r="D5" s="291"/>
      <c r="E5" s="283"/>
      <c r="F5" s="284"/>
      <c r="G5" s="3"/>
      <c r="H5" s="3"/>
      <c r="I5" s="283" t="s">
        <v>182</v>
      </c>
      <c r="J5" s="292">
        <v>1</v>
      </c>
      <c r="K5" s="3"/>
      <c r="M5" s="290"/>
    </row>
    <row r="6" spans="1:15" ht="12.75" customHeight="1" thickTop="1" x14ac:dyDescent="0.25">
      <c r="A6" s="293"/>
      <c r="B6" s="294"/>
      <c r="C6" s="295"/>
      <c r="D6" s="295"/>
      <c r="E6" s="784" t="s">
        <v>183</v>
      </c>
      <c r="F6" s="784"/>
      <c r="G6" s="784"/>
      <c r="H6" s="784"/>
      <c r="I6" s="784"/>
      <c r="J6" s="296"/>
      <c r="K6" s="297"/>
      <c r="L6" s="297"/>
      <c r="M6" s="298"/>
    </row>
    <row r="7" spans="1:15" ht="12.75" customHeight="1" x14ac:dyDescent="0.25">
      <c r="A7" s="299"/>
      <c r="B7" s="283"/>
      <c r="C7" s="291"/>
      <c r="D7" s="300" t="s">
        <v>184</v>
      </c>
      <c r="E7" s="283"/>
      <c r="F7" s="780">
        <v>10960.5</v>
      </c>
      <c r="G7" s="780"/>
      <c r="H7" s="301"/>
      <c r="I7" s="283"/>
      <c r="J7" s="300" t="s">
        <v>238</v>
      </c>
      <c r="K7" s="774">
        <v>0</v>
      </c>
      <c r="L7" s="775"/>
      <c r="M7" s="302"/>
    </row>
    <row r="8" spans="1:15" ht="12.75" customHeight="1" thickBot="1" x14ac:dyDescent="0.3">
      <c r="A8" s="303"/>
      <c r="B8" s="304"/>
      <c r="C8" s="304"/>
      <c r="D8" s="305" t="s">
        <v>185</v>
      </c>
      <c r="E8" s="304"/>
      <c r="F8" s="776">
        <v>160863.84</v>
      </c>
      <c r="G8" s="776"/>
      <c r="H8" s="304"/>
      <c r="I8" s="304"/>
      <c r="J8" s="304"/>
      <c r="K8" s="304"/>
      <c r="L8" s="304"/>
      <c r="M8" s="306"/>
    </row>
    <row r="9" spans="1:15" ht="12" customHeight="1" thickTop="1" x14ac:dyDescent="0.25">
      <c r="A9" s="307" t="s">
        <v>186</v>
      </c>
      <c r="B9" s="308"/>
      <c r="C9" s="309" t="s">
        <v>187</v>
      </c>
      <c r="D9" s="309" t="s">
        <v>161</v>
      </c>
      <c r="E9" s="309" t="s">
        <v>95</v>
      </c>
      <c r="F9" s="309" t="s">
        <v>138</v>
      </c>
      <c r="G9" s="309" t="s">
        <v>188</v>
      </c>
      <c r="H9" s="309" t="s">
        <v>138</v>
      </c>
      <c r="I9" s="309" t="s">
        <v>188</v>
      </c>
      <c r="J9" s="309" t="s">
        <v>138</v>
      </c>
      <c r="K9" s="309" t="s">
        <v>189</v>
      </c>
      <c r="L9" s="310" t="s">
        <v>100</v>
      </c>
      <c r="M9" s="516" t="s">
        <v>190</v>
      </c>
      <c r="N9" s="311" t="s">
        <v>138</v>
      </c>
      <c r="O9" s="312" t="s">
        <v>189</v>
      </c>
    </row>
    <row r="10" spans="1:15" ht="12" customHeight="1" thickBot="1" x14ac:dyDescent="0.3">
      <c r="A10" s="614"/>
      <c r="B10" s="615"/>
      <c r="C10" s="352" t="s">
        <v>49</v>
      </c>
      <c r="D10" s="352" t="s">
        <v>191</v>
      </c>
      <c r="E10" s="352" t="s">
        <v>195</v>
      </c>
      <c r="F10" s="352" t="s">
        <v>97</v>
      </c>
      <c r="G10" s="352" t="s">
        <v>97</v>
      </c>
      <c r="H10" s="352" t="s">
        <v>192</v>
      </c>
      <c r="I10" s="352" t="s">
        <v>192</v>
      </c>
      <c r="J10" s="352" t="s">
        <v>99</v>
      </c>
      <c r="K10" s="352" t="s">
        <v>99</v>
      </c>
      <c r="L10" s="353" t="s">
        <v>193</v>
      </c>
      <c r="M10" s="517" t="s">
        <v>159</v>
      </c>
      <c r="N10" s="313" t="s">
        <v>159</v>
      </c>
      <c r="O10" s="314" t="s">
        <v>159</v>
      </c>
    </row>
    <row r="11" spans="1:15" ht="11.1" customHeight="1" thickTop="1" x14ac:dyDescent="0.25">
      <c r="A11" s="354" t="s">
        <v>262</v>
      </c>
      <c r="B11" s="355"/>
      <c r="C11" s="317" t="s">
        <v>263</v>
      </c>
      <c r="D11" s="318">
        <v>28.72</v>
      </c>
      <c r="E11" s="319">
        <v>55</v>
      </c>
      <c r="F11" s="320">
        <v>0</v>
      </c>
      <c r="G11" s="319">
        <v>445</v>
      </c>
      <c r="H11" s="319">
        <v>0</v>
      </c>
      <c r="I11" s="319">
        <v>500</v>
      </c>
      <c r="J11" s="319">
        <v>0</v>
      </c>
      <c r="K11" s="319">
        <v>0</v>
      </c>
      <c r="L11" s="321">
        <v>55</v>
      </c>
      <c r="M11" s="356">
        <v>0</v>
      </c>
      <c r="N11" s="323">
        <v>0</v>
      </c>
      <c r="O11" s="324">
        <v>8210.25</v>
      </c>
    </row>
    <row r="12" spans="1:15" ht="11.1" customHeight="1" x14ac:dyDescent="0.25">
      <c r="A12" s="315" t="s">
        <v>264</v>
      </c>
      <c r="B12" s="316"/>
      <c r="C12" s="317" t="s">
        <v>265</v>
      </c>
      <c r="D12" s="318">
        <v>18.45</v>
      </c>
      <c r="E12" s="319">
        <v>112</v>
      </c>
      <c r="F12" s="320">
        <v>0</v>
      </c>
      <c r="G12" s="319">
        <v>0</v>
      </c>
      <c r="H12" s="319">
        <v>0</v>
      </c>
      <c r="I12" s="319">
        <v>112</v>
      </c>
      <c r="J12" s="319">
        <v>0</v>
      </c>
      <c r="K12" s="319">
        <v>0</v>
      </c>
      <c r="L12" s="321">
        <v>112</v>
      </c>
      <c r="M12" s="322">
        <v>0</v>
      </c>
      <c r="N12" s="323"/>
      <c r="O12" s="324"/>
    </row>
    <row r="13" spans="1:15" ht="11.1" customHeight="1" x14ac:dyDescent="0.25">
      <c r="A13" s="315" t="s">
        <v>266</v>
      </c>
      <c r="B13" s="316"/>
      <c r="C13" s="317" t="s">
        <v>267</v>
      </c>
      <c r="D13" s="318">
        <v>113.32</v>
      </c>
      <c r="E13" s="319">
        <v>14</v>
      </c>
      <c r="F13" s="320">
        <v>0</v>
      </c>
      <c r="G13" s="319">
        <v>0</v>
      </c>
      <c r="H13" s="319">
        <v>0</v>
      </c>
      <c r="I13" s="319">
        <v>14</v>
      </c>
      <c r="J13" s="319">
        <v>0</v>
      </c>
      <c r="K13" s="319">
        <v>0</v>
      </c>
      <c r="L13" s="321">
        <v>14</v>
      </c>
      <c r="M13" s="322">
        <v>0</v>
      </c>
      <c r="N13" s="323"/>
      <c r="O13" s="324"/>
    </row>
    <row r="14" spans="1:15" ht="11.1" customHeight="1" x14ac:dyDescent="0.25">
      <c r="A14" s="315" t="s">
        <v>268</v>
      </c>
      <c r="B14" s="316"/>
      <c r="C14" s="317" t="s">
        <v>267</v>
      </c>
      <c r="D14" s="318">
        <v>64.72</v>
      </c>
      <c r="E14" s="319">
        <v>9</v>
      </c>
      <c r="F14" s="320">
        <v>7</v>
      </c>
      <c r="G14" s="319">
        <v>28</v>
      </c>
      <c r="H14" s="319">
        <v>0</v>
      </c>
      <c r="I14" s="319">
        <v>30</v>
      </c>
      <c r="J14" s="319">
        <v>0</v>
      </c>
      <c r="K14" s="319">
        <v>0</v>
      </c>
      <c r="L14" s="321">
        <v>2</v>
      </c>
      <c r="M14" s="322">
        <v>453.03999999999996</v>
      </c>
      <c r="N14" s="323"/>
      <c r="O14" s="324"/>
    </row>
    <row r="15" spans="1:15" ht="11.1" customHeight="1" x14ac:dyDescent="0.25">
      <c r="A15" s="315" t="s">
        <v>269</v>
      </c>
      <c r="B15" s="316"/>
      <c r="C15" s="317" t="s">
        <v>270</v>
      </c>
      <c r="D15" s="318">
        <v>69.67</v>
      </c>
      <c r="E15" s="319">
        <v>114</v>
      </c>
      <c r="F15" s="320">
        <v>0</v>
      </c>
      <c r="G15" s="319">
        <v>0</v>
      </c>
      <c r="H15" s="319">
        <v>0</v>
      </c>
      <c r="I15" s="319">
        <v>114</v>
      </c>
      <c r="J15" s="319">
        <v>0</v>
      </c>
      <c r="K15" s="319">
        <v>0</v>
      </c>
      <c r="L15" s="321">
        <v>114</v>
      </c>
      <c r="M15" s="322">
        <v>0</v>
      </c>
      <c r="N15" s="323"/>
      <c r="O15" s="324"/>
    </row>
    <row r="16" spans="1:15" ht="11.1" customHeight="1" x14ac:dyDescent="0.25">
      <c r="A16" s="315" t="s">
        <v>271</v>
      </c>
      <c r="B16" s="316"/>
      <c r="C16" s="317" t="s">
        <v>272</v>
      </c>
      <c r="D16" s="318">
        <v>387.61</v>
      </c>
      <c r="E16" s="319">
        <v>21</v>
      </c>
      <c r="F16" s="320">
        <v>0</v>
      </c>
      <c r="G16" s="319">
        <v>9</v>
      </c>
      <c r="H16" s="319">
        <v>0</v>
      </c>
      <c r="I16" s="319">
        <v>30</v>
      </c>
      <c r="J16" s="319">
        <v>0</v>
      </c>
      <c r="K16" s="319">
        <v>0</v>
      </c>
      <c r="L16" s="321">
        <v>21</v>
      </c>
      <c r="M16" s="322">
        <v>0</v>
      </c>
      <c r="N16" s="323">
        <v>0</v>
      </c>
      <c r="O16" s="328">
        <v>627.03</v>
      </c>
    </row>
    <row r="17" spans="1:15" ht="11.1" customHeight="1" x14ac:dyDescent="0.25">
      <c r="A17" s="315" t="s">
        <v>273</v>
      </c>
      <c r="B17" s="316"/>
      <c r="C17" s="317" t="s">
        <v>272</v>
      </c>
      <c r="D17" s="318">
        <v>322.20999999999998</v>
      </c>
      <c r="E17" s="319">
        <v>20</v>
      </c>
      <c r="F17" s="320">
        <v>0</v>
      </c>
      <c r="G17" s="319">
        <v>2</v>
      </c>
      <c r="H17" s="319">
        <v>0</v>
      </c>
      <c r="I17" s="319">
        <v>45</v>
      </c>
      <c r="J17" s="319">
        <v>0</v>
      </c>
      <c r="K17" s="319">
        <v>23</v>
      </c>
      <c r="L17" s="321">
        <v>20</v>
      </c>
      <c r="M17" s="322">
        <v>0</v>
      </c>
      <c r="N17" s="323">
        <v>0</v>
      </c>
      <c r="O17" s="328">
        <v>226.64</v>
      </c>
    </row>
    <row r="18" spans="1:15" ht="11.1" customHeight="1" x14ac:dyDescent="0.25">
      <c r="A18" s="315" t="s">
        <v>274</v>
      </c>
      <c r="B18" s="316"/>
      <c r="C18" s="317" t="s">
        <v>267</v>
      </c>
      <c r="D18" s="318">
        <v>550.12</v>
      </c>
      <c r="E18" s="319">
        <v>10</v>
      </c>
      <c r="F18" s="320">
        <v>8</v>
      </c>
      <c r="G18" s="319">
        <v>56</v>
      </c>
      <c r="H18" s="319">
        <v>30</v>
      </c>
      <c r="I18" s="319">
        <v>88</v>
      </c>
      <c r="J18" s="319">
        <v>0</v>
      </c>
      <c r="K18" s="319">
        <v>0</v>
      </c>
      <c r="L18" s="321">
        <v>32</v>
      </c>
      <c r="M18" s="322">
        <v>4400.96</v>
      </c>
      <c r="N18" s="323">
        <v>11880</v>
      </c>
      <c r="O18" s="328">
        <v>83160</v>
      </c>
    </row>
    <row r="19" spans="1:15" ht="11.1" customHeight="1" x14ac:dyDescent="0.25">
      <c r="A19" s="315" t="s">
        <v>275</v>
      </c>
      <c r="B19" s="316"/>
      <c r="C19" s="317" t="s">
        <v>276</v>
      </c>
      <c r="D19" s="318">
        <v>1485</v>
      </c>
      <c r="E19" s="319">
        <v>0</v>
      </c>
      <c r="F19" s="320">
        <v>2</v>
      </c>
      <c r="G19" s="319">
        <v>27</v>
      </c>
      <c r="H19" s="319">
        <v>0</v>
      </c>
      <c r="I19" s="319">
        <v>0</v>
      </c>
      <c r="J19" s="319">
        <v>0</v>
      </c>
      <c r="K19" s="319">
        <v>0</v>
      </c>
      <c r="L19" s="321">
        <v>0</v>
      </c>
      <c r="M19" s="322">
        <v>2970</v>
      </c>
      <c r="N19" s="323">
        <v>57.44</v>
      </c>
      <c r="O19" s="328">
        <v>775.43999999999994</v>
      </c>
    </row>
    <row r="20" spans="1:15" ht="11.1" customHeight="1" x14ac:dyDescent="0.25">
      <c r="A20" s="315" t="s">
        <v>277</v>
      </c>
      <c r="B20" s="316"/>
      <c r="C20" s="317" t="s">
        <v>267</v>
      </c>
      <c r="D20" s="318">
        <v>178.41</v>
      </c>
      <c r="E20" s="319">
        <v>35</v>
      </c>
      <c r="F20" s="320">
        <v>0</v>
      </c>
      <c r="G20" s="319">
        <v>0</v>
      </c>
      <c r="H20" s="319">
        <v>0</v>
      </c>
      <c r="I20" s="319">
        <v>35</v>
      </c>
      <c r="J20" s="319">
        <v>0</v>
      </c>
      <c r="K20" s="319">
        <v>0</v>
      </c>
      <c r="L20" s="321">
        <v>35</v>
      </c>
      <c r="M20" s="322">
        <v>0</v>
      </c>
      <c r="N20" s="323">
        <v>0</v>
      </c>
      <c r="O20" s="328">
        <v>0</v>
      </c>
    </row>
    <row r="21" spans="1:15" ht="11.1" customHeight="1" x14ac:dyDescent="0.25">
      <c r="A21" s="315" t="s">
        <v>278</v>
      </c>
      <c r="B21" s="316"/>
      <c r="C21" s="317" t="s">
        <v>279</v>
      </c>
      <c r="D21" s="318">
        <v>37.43</v>
      </c>
      <c r="E21" s="319">
        <v>89</v>
      </c>
      <c r="F21" s="320">
        <v>0</v>
      </c>
      <c r="G21" s="319">
        <v>0</v>
      </c>
      <c r="H21" s="319">
        <v>0</v>
      </c>
      <c r="I21" s="319">
        <v>89</v>
      </c>
      <c r="J21" s="319">
        <v>0</v>
      </c>
      <c r="K21" s="319">
        <v>0</v>
      </c>
      <c r="L21" s="321">
        <v>89</v>
      </c>
      <c r="M21" s="322">
        <v>0</v>
      </c>
      <c r="N21" s="323">
        <v>0</v>
      </c>
      <c r="O21" s="328">
        <v>0</v>
      </c>
    </row>
    <row r="22" spans="1:15" ht="11.1" customHeight="1" x14ac:dyDescent="0.25">
      <c r="A22" s="315" t="s">
        <v>280</v>
      </c>
      <c r="B22" s="316"/>
      <c r="C22" s="317" t="s">
        <v>265</v>
      </c>
      <c r="D22" s="318">
        <v>18.45</v>
      </c>
      <c r="E22" s="319">
        <v>112</v>
      </c>
      <c r="F22" s="320">
        <v>0</v>
      </c>
      <c r="G22" s="319">
        <v>0</v>
      </c>
      <c r="H22" s="319">
        <v>0</v>
      </c>
      <c r="I22" s="319">
        <v>224</v>
      </c>
      <c r="J22" s="319">
        <v>0</v>
      </c>
      <c r="K22" s="319">
        <v>112</v>
      </c>
      <c r="L22" s="321">
        <v>112</v>
      </c>
      <c r="M22" s="322">
        <v>0</v>
      </c>
      <c r="N22" s="323">
        <v>0</v>
      </c>
      <c r="O22" s="328">
        <v>0</v>
      </c>
    </row>
    <row r="23" spans="1:15" ht="11.1" customHeight="1" x14ac:dyDescent="0.25">
      <c r="A23" s="315" t="s">
        <v>281</v>
      </c>
      <c r="B23" s="316"/>
      <c r="C23" s="317" t="s">
        <v>263</v>
      </c>
      <c r="D23" s="318">
        <v>20.25</v>
      </c>
      <c r="E23" s="319">
        <v>1903</v>
      </c>
      <c r="F23" s="320">
        <v>0</v>
      </c>
      <c r="G23" s="319">
        <v>2456</v>
      </c>
      <c r="H23" s="319">
        <v>0</v>
      </c>
      <c r="I23" s="319">
        <v>4359</v>
      </c>
      <c r="J23" s="319">
        <v>0</v>
      </c>
      <c r="K23" s="319">
        <v>0</v>
      </c>
      <c r="L23" s="321">
        <v>1903</v>
      </c>
      <c r="M23" s="322">
        <v>0</v>
      </c>
      <c r="N23" s="323">
        <v>0</v>
      </c>
      <c r="O23" s="328">
        <v>158952.32000000001</v>
      </c>
    </row>
    <row r="24" spans="1:15" ht="11.1" customHeight="1" x14ac:dyDescent="0.25">
      <c r="A24" s="315" t="s">
        <v>282</v>
      </c>
      <c r="B24" s="316"/>
      <c r="C24" s="317" t="s">
        <v>267</v>
      </c>
      <c r="D24" s="318">
        <v>184.5</v>
      </c>
      <c r="E24" s="319">
        <v>0</v>
      </c>
      <c r="F24" s="320">
        <v>0</v>
      </c>
      <c r="G24" s="319">
        <v>0</v>
      </c>
      <c r="H24" s="319">
        <v>23</v>
      </c>
      <c r="I24" s="319">
        <v>23</v>
      </c>
      <c r="J24" s="319">
        <v>0</v>
      </c>
      <c r="K24" s="319">
        <v>0</v>
      </c>
      <c r="L24" s="321">
        <v>23</v>
      </c>
      <c r="M24" s="322">
        <v>0</v>
      </c>
      <c r="N24" s="323">
        <v>0</v>
      </c>
      <c r="O24" s="328">
        <v>0</v>
      </c>
    </row>
    <row r="25" spans="1:15" ht="11.1" customHeight="1" x14ac:dyDescent="0.25">
      <c r="A25" s="315" t="s">
        <v>283</v>
      </c>
      <c r="B25" s="316"/>
      <c r="C25" s="317" t="s">
        <v>265</v>
      </c>
      <c r="D25" s="318">
        <v>65.290000000000006</v>
      </c>
      <c r="E25" s="319">
        <v>10</v>
      </c>
      <c r="F25" s="320">
        <v>0</v>
      </c>
      <c r="G25" s="319">
        <v>15</v>
      </c>
      <c r="H25" s="319">
        <v>0</v>
      </c>
      <c r="I25" s="319">
        <v>25</v>
      </c>
      <c r="J25" s="319">
        <v>0</v>
      </c>
      <c r="K25" s="319">
        <v>0</v>
      </c>
      <c r="L25" s="321">
        <v>10</v>
      </c>
      <c r="M25" s="322">
        <v>0</v>
      </c>
      <c r="N25" s="323">
        <v>0</v>
      </c>
      <c r="O25" s="328">
        <v>0</v>
      </c>
    </row>
    <row r="26" spans="1:15" ht="11.1" customHeight="1" x14ac:dyDescent="0.25">
      <c r="A26" s="315" t="s">
        <v>284</v>
      </c>
      <c r="B26" s="316"/>
      <c r="C26" s="317" t="s">
        <v>285</v>
      </c>
      <c r="D26" s="318">
        <v>2385.02</v>
      </c>
      <c r="E26" s="319">
        <v>20</v>
      </c>
      <c r="F26" s="320">
        <v>0</v>
      </c>
      <c r="G26" s="319">
        <v>0</v>
      </c>
      <c r="H26" s="319">
        <v>0</v>
      </c>
      <c r="I26" s="319">
        <v>20</v>
      </c>
      <c r="J26" s="319">
        <v>0</v>
      </c>
      <c r="K26" s="319">
        <v>0</v>
      </c>
      <c r="L26" s="321">
        <v>20</v>
      </c>
      <c r="M26" s="322">
        <v>0</v>
      </c>
      <c r="N26" s="323">
        <v>0</v>
      </c>
      <c r="O26" s="328">
        <v>2676.15</v>
      </c>
    </row>
    <row r="27" spans="1:15" ht="11.1" customHeight="1" x14ac:dyDescent="0.25">
      <c r="A27" s="315" t="s">
        <v>286</v>
      </c>
      <c r="B27" s="316"/>
      <c r="C27" s="317" t="s">
        <v>265</v>
      </c>
      <c r="D27" s="318">
        <v>184.5</v>
      </c>
      <c r="E27" s="319">
        <v>7</v>
      </c>
      <c r="F27" s="320">
        <v>17</v>
      </c>
      <c r="G27" s="319">
        <v>80</v>
      </c>
      <c r="H27" s="319">
        <v>29</v>
      </c>
      <c r="I27" s="319">
        <v>99</v>
      </c>
      <c r="J27" s="319">
        <v>0</v>
      </c>
      <c r="K27" s="319">
        <v>0</v>
      </c>
      <c r="L27" s="321">
        <v>19</v>
      </c>
      <c r="M27" s="322">
        <v>3136.5</v>
      </c>
      <c r="N27" s="323">
        <v>313.64999999999998</v>
      </c>
      <c r="O27" s="328">
        <v>0</v>
      </c>
    </row>
    <row r="28" spans="1:15" ht="11.1" customHeight="1" x14ac:dyDescent="0.25">
      <c r="A28" s="315" t="s">
        <v>287</v>
      </c>
      <c r="B28" s="316"/>
      <c r="C28" s="317" t="s">
        <v>265</v>
      </c>
      <c r="D28" s="318">
        <v>184.5</v>
      </c>
      <c r="E28" s="319">
        <v>0</v>
      </c>
      <c r="F28" s="320">
        <v>0</v>
      </c>
      <c r="G28" s="319">
        <v>0</v>
      </c>
      <c r="H28" s="319">
        <v>105</v>
      </c>
      <c r="I28" s="319">
        <v>105</v>
      </c>
      <c r="J28" s="319">
        <v>0</v>
      </c>
      <c r="K28" s="319">
        <v>0</v>
      </c>
      <c r="L28" s="321">
        <v>105</v>
      </c>
      <c r="M28" s="322">
        <v>0</v>
      </c>
      <c r="N28" s="323">
        <v>0</v>
      </c>
      <c r="O28" s="328">
        <v>44009.599999999999</v>
      </c>
    </row>
    <row r="29" spans="1:15" ht="11.1" customHeight="1" x14ac:dyDescent="0.25">
      <c r="A29" s="315" t="s">
        <v>288</v>
      </c>
      <c r="B29" s="316"/>
      <c r="C29" s="317" t="s">
        <v>289</v>
      </c>
      <c r="D29" s="318">
        <v>55.51</v>
      </c>
      <c r="E29" s="319">
        <v>5</v>
      </c>
      <c r="F29" s="320">
        <v>0</v>
      </c>
      <c r="G29" s="319">
        <v>11</v>
      </c>
      <c r="H29" s="319">
        <v>0</v>
      </c>
      <c r="I29" s="319">
        <v>16</v>
      </c>
      <c r="J29" s="319">
        <v>0</v>
      </c>
      <c r="K29" s="319">
        <v>0</v>
      </c>
      <c r="L29" s="321">
        <v>5</v>
      </c>
      <c r="M29" s="322">
        <v>0</v>
      </c>
      <c r="N29" s="323">
        <v>0</v>
      </c>
      <c r="O29" s="328">
        <v>0</v>
      </c>
    </row>
    <row r="30" spans="1:15" ht="11.1" customHeight="1" x14ac:dyDescent="0.25">
      <c r="A30" s="315" t="s">
        <v>290</v>
      </c>
      <c r="B30" s="316"/>
      <c r="C30" s="317" t="s">
        <v>265</v>
      </c>
      <c r="D30" s="318">
        <v>52.87</v>
      </c>
      <c r="E30" s="319">
        <v>5</v>
      </c>
      <c r="F30" s="320">
        <v>0</v>
      </c>
      <c r="G30" s="319">
        <v>0</v>
      </c>
      <c r="H30" s="319">
        <v>0</v>
      </c>
      <c r="I30" s="319">
        <v>27</v>
      </c>
      <c r="J30" s="319">
        <v>0</v>
      </c>
      <c r="K30" s="319">
        <v>22</v>
      </c>
      <c r="L30" s="321">
        <v>5</v>
      </c>
      <c r="M30" s="322">
        <v>0</v>
      </c>
      <c r="N30" s="323">
        <v>0</v>
      </c>
      <c r="O30" s="328">
        <v>2029.5</v>
      </c>
    </row>
    <row r="31" spans="1:15" ht="11.1" customHeight="1" x14ac:dyDescent="0.25">
      <c r="A31" s="315" t="s">
        <v>291</v>
      </c>
      <c r="B31" s="316"/>
      <c r="C31" s="317" t="s">
        <v>292</v>
      </c>
      <c r="D31" s="318">
        <v>119.83</v>
      </c>
      <c r="E31" s="319">
        <v>117</v>
      </c>
      <c r="F31" s="320">
        <v>0</v>
      </c>
      <c r="G31" s="319">
        <v>43</v>
      </c>
      <c r="H31" s="319">
        <v>0</v>
      </c>
      <c r="I31" s="319">
        <v>160</v>
      </c>
      <c r="J31" s="319">
        <v>0</v>
      </c>
      <c r="K31" s="319">
        <v>0</v>
      </c>
      <c r="L31" s="321">
        <v>117</v>
      </c>
      <c r="M31" s="322">
        <v>0</v>
      </c>
      <c r="N31" s="323">
        <v>0</v>
      </c>
      <c r="O31" s="328">
        <v>0</v>
      </c>
    </row>
    <row r="32" spans="1:15" ht="11.1" customHeight="1" x14ac:dyDescent="0.25">
      <c r="A32" s="315">
        <v>0</v>
      </c>
      <c r="B32" s="316"/>
      <c r="C32" s="317">
        <v>0</v>
      </c>
      <c r="D32" s="318">
        <v>0</v>
      </c>
      <c r="E32" s="319">
        <v>0</v>
      </c>
      <c r="F32" s="320">
        <v>0</v>
      </c>
      <c r="G32" s="319">
        <v>0</v>
      </c>
      <c r="H32" s="319">
        <v>0</v>
      </c>
      <c r="I32" s="319">
        <v>0</v>
      </c>
      <c r="J32" s="319">
        <v>0</v>
      </c>
      <c r="K32" s="319">
        <v>0</v>
      </c>
      <c r="L32" s="321">
        <v>0</v>
      </c>
      <c r="M32" s="322">
        <v>0</v>
      </c>
      <c r="N32" s="323">
        <v>0</v>
      </c>
      <c r="O32" s="328">
        <v>0</v>
      </c>
    </row>
    <row r="33" spans="1:15" ht="11.1" customHeight="1" x14ac:dyDescent="0.25">
      <c r="A33" s="315">
        <v>0</v>
      </c>
      <c r="B33" s="316"/>
      <c r="C33" s="317">
        <v>0</v>
      </c>
      <c r="D33" s="318">
        <v>0</v>
      </c>
      <c r="E33" s="319">
        <v>0</v>
      </c>
      <c r="F33" s="320">
        <v>0</v>
      </c>
      <c r="G33" s="319">
        <v>0</v>
      </c>
      <c r="H33" s="319">
        <v>0</v>
      </c>
      <c r="I33" s="319">
        <v>0</v>
      </c>
      <c r="J33" s="319">
        <v>0</v>
      </c>
      <c r="K33" s="319">
        <v>0</v>
      </c>
      <c r="L33" s="321">
        <v>0</v>
      </c>
      <c r="M33" s="322">
        <v>0</v>
      </c>
      <c r="N33" s="323">
        <v>0</v>
      </c>
      <c r="O33" s="328">
        <v>0</v>
      </c>
    </row>
    <row r="34" spans="1:15" ht="11.1" customHeight="1" x14ac:dyDescent="0.25">
      <c r="A34" s="315">
        <v>0</v>
      </c>
      <c r="B34" s="316"/>
      <c r="C34" s="317">
        <v>0</v>
      </c>
      <c r="D34" s="318">
        <v>0</v>
      </c>
      <c r="E34" s="319">
        <v>0</v>
      </c>
      <c r="F34" s="320">
        <v>0</v>
      </c>
      <c r="G34" s="319">
        <v>0</v>
      </c>
      <c r="H34" s="319">
        <v>0</v>
      </c>
      <c r="I34" s="319">
        <v>0</v>
      </c>
      <c r="J34" s="319">
        <v>0</v>
      </c>
      <c r="K34" s="319">
        <v>0</v>
      </c>
      <c r="L34" s="321">
        <v>0</v>
      </c>
      <c r="M34" s="322">
        <v>0</v>
      </c>
      <c r="N34" s="323">
        <v>0</v>
      </c>
      <c r="O34" s="328">
        <v>0</v>
      </c>
    </row>
    <row r="35" spans="1:15" ht="11.1" customHeight="1" x14ac:dyDescent="0.25">
      <c r="A35" s="315">
        <v>0</v>
      </c>
      <c r="B35" s="316"/>
      <c r="C35" s="317">
        <v>0</v>
      </c>
      <c r="D35" s="318">
        <v>0</v>
      </c>
      <c r="E35" s="319">
        <v>0</v>
      </c>
      <c r="F35" s="320">
        <v>0</v>
      </c>
      <c r="G35" s="319">
        <v>0</v>
      </c>
      <c r="H35" s="319">
        <v>0</v>
      </c>
      <c r="I35" s="319">
        <v>0</v>
      </c>
      <c r="J35" s="319">
        <v>0</v>
      </c>
      <c r="K35" s="319">
        <v>0</v>
      </c>
      <c r="L35" s="321">
        <v>0</v>
      </c>
      <c r="M35" s="322">
        <v>0</v>
      </c>
      <c r="N35" s="323">
        <v>0</v>
      </c>
      <c r="O35" s="328">
        <v>0</v>
      </c>
    </row>
    <row r="36" spans="1:15" ht="11.1" customHeight="1" x14ac:dyDescent="0.25">
      <c r="A36" s="315">
        <v>0</v>
      </c>
      <c r="B36" s="316"/>
      <c r="C36" s="317">
        <v>0</v>
      </c>
      <c r="D36" s="318">
        <v>0</v>
      </c>
      <c r="E36" s="319">
        <v>0</v>
      </c>
      <c r="F36" s="320">
        <v>0</v>
      </c>
      <c r="G36" s="319">
        <v>0</v>
      </c>
      <c r="H36" s="319">
        <v>0</v>
      </c>
      <c r="I36" s="319">
        <v>0</v>
      </c>
      <c r="J36" s="319">
        <v>0</v>
      </c>
      <c r="K36" s="319">
        <v>0</v>
      </c>
      <c r="L36" s="321">
        <v>0</v>
      </c>
      <c r="M36" s="322">
        <v>0</v>
      </c>
      <c r="N36" s="323">
        <v>0</v>
      </c>
      <c r="O36" s="328">
        <v>0</v>
      </c>
    </row>
    <row r="37" spans="1:15" ht="11.1" customHeight="1" x14ac:dyDescent="0.25">
      <c r="A37" s="315">
        <v>0</v>
      </c>
      <c r="B37" s="316"/>
      <c r="C37" s="317">
        <v>0</v>
      </c>
      <c r="D37" s="318">
        <v>0</v>
      </c>
      <c r="E37" s="319">
        <v>0</v>
      </c>
      <c r="F37" s="320">
        <v>0</v>
      </c>
      <c r="G37" s="319">
        <v>0</v>
      </c>
      <c r="H37" s="319">
        <v>0</v>
      </c>
      <c r="I37" s="319">
        <v>0</v>
      </c>
      <c r="J37" s="319">
        <v>0</v>
      </c>
      <c r="K37" s="319">
        <v>0</v>
      </c>
      <c r="L37" s="321">
        <v>0</v>
      </c>
      <c r="M37" s="322">
        <v>0</v>
      </c>
      <c r="N37" s="323">
        <v>0</v>
      </c>
      <c r="O37" s="328">
        <v>0</v>
      </c>
    </row>
    <row r="38" spans="1:15" ht="11.1" customHeight="1" x14ac:dyDescent="0.25">
      <c r="A38" s="315">
        <v>0</v>
      </c>
      <c r="B38" s="316"/>
      <c r="C38" s="317">
        <v>0</v>
      </c>
      <c r="D38" s="318">
        <v>0</v>
      </c>
      <c r="E38" s="319">
        <v>0</v>
      </c>
      <c r="F38" s="320">
        <v>0</v>
      </c>
      <c r="G38" s="319">
        <v>0</v>
      </c>
      <c r="H38" s="319">
        <v>0</v>
      </c>
      <c r="I38" s="319">
        <v>0</v>
      </c>
      <c r="J38" s="319">
        <v>0</v>
      </c>
      <c r="K38" s="319">
        <v>0</v>
      </c>
      <c r="L38" s="321">
        <v>0</v>
      </c>
      <c r="M38" s="322">
        <v>0</v>
      </c>
      <c r="N38" s="323">
        <v>0</v>
      </c>
      <c r="O38" s="328">
        <v>0</v>
      </c>
    </row>
    <row r="39" spans="1:15" ht="11.1" customHeight="1" x14ac:dyDescent="0.25">
      <c r="A39" s="315">
        <v>0</v>
      </c>
      <c r="B39" s="316"/>
      <c r="C39" s="317">
        <v>0</v>
      </c>
      <c r="D39" s="318">
        <v>0</v>
      </c>
      <c r="E39" s="319">
        <v>0</v>
      </c>
      <c r="F39" s="320">
        <v>0</v>
      </c>
      <c r="G39" s="319">
        <v>0</v>
      </c>
      <c r="H39" s="319">
        <v>0</v>
      </c>
      <c r="I39" s="319">
        <v>0</v>
      </c>
      <c r="J39" s="319">
        <v>0</v>
      </c>
      <c r="K39" s="319">
        <v>0</v>
      </c>
      <c r="L39" s="321">
        <v>0</v>
      </c>
      <c r="M39" s="322">
        <v>0</v>
      </c>
      <c r="N39" s="323">
        <v>0</v>
      </c>
      <c r="O39" s="328">
        <v>0</v>
      </c>
    </row>
    <row r="40" spans="1:15" ht="11.1" customHeight="1" x14ac:dyDescent="0.25">
      <c r="A40" s="315">
        <v>0</v>
      </c>
      <c r="B40" s="316"/>
      <c r="C40" s="317">
        <v>0</v>
      </c>
      <c r="D40" s="318">
        <v>0</v>
      </c>
      <c r="E40" s="319">
        <v>0</v>
      </c>
      <c r="F40" s="320">
        <v>0</v>
      </c>
      <c r="G40" s="319">
        <v>0</v>
      </c>
      <c r="H40" s="319">
        <v>0</v>
      </c>
      <c r="I40" s="319">
        <v>0</v>
      </c>
      <c r="J40" s="319">
        <v>0</v>
      </c>
      <c r="K40" s="319">
        <v>0</v>
      </c>
      <c r="L40" s="321">
        <v>0</v>
      </c>
      <c r="M40" s="322">
        <v>0</v>
      </c>
      <c r="N40" s="323">
        <v>0</v>
      </c>
      <c r="O40" s="328">
        <v>0</v>
      </c>
    </row>
    <row r="41" spans="1:15" ht="11.1" customHeight="1" x14ac:dyDescent="0.25">
      <c r="A41" s="315">
        <v>0</v>
      </c>
      <c r="B41" s="316"/>
      <c r="C41" s="317">
        <v>0</v>
      </c>
      <c r="D41" s="318">
        <v>0</v>
      </c>
      <c r="E41" s="319">
        <v>0</v>
      </c>
      <c r="F41" s="320">
        <v>0</v>
      </c>
      <c r="G41" s="319">
        <v>0</v>
      </c>
      <c r="H41" s="319">
        <v>0</v>
      </c>
      <c r="I41" s="319">
        <v>0</v>
      </c>
      <c r="J41" s="319">
        <v>0</v>
      </c>
      <c r="K41" s="319">
        <v>0</v>
      </c>
      <c r="L41" s="321">
        <v>0</v>
      </c>
      <c r="M41" s="322">
        <v>0</v>
      </c>
      <c r="N41" s="323">
        <v>0</v>
      </c>
      <c r="O41" s="328">
        <v>0</v>
      </c>
    </row>
    <row r="42" spans="1:15" ht="11.1" customHeight="1" x14ac:dyDescent="0.25">
      <c r="A42" s="315">
        <v>0</v>
      </c>
      <c r="B42" s="316"/>
      <c r="C42" s="317">
        <v>0</v>
      </c>
      <c r="D42" s="318">
        <v>0</v>
      </c>
      <c r="E42" s="319">
        <v>0</v>
      </c>
      <c r="F42" s="320">
        <v>0</v>
      </c>
      <c r="G42" s="319">
        <v>0</v>
      </c>
      <c r="H42" s="319">
        <v>0</v>
      </c>
      <c r="I42" s="319">
        <v>0</v>
      </c>
      <c r="J42" s="319">
        <v>0</v>
      </c>
      <c r="K42" s="319">
        <v>0</v>
      </c>
      <c r="L42" s="321">
        <v>0</v>
      </c>
      <c r="M42" s="322">
        <v>0</v>
      </c>
      <c r="N42" s="323">
        <v>0</v>
      </c>
      <c r="O42" s="328">
        <v>0</v>
      </c>
    </row>
    <row r="43" spans="1:15" ht="11.1" customHeight="1" x14ac:dyDescent="0.25">
      <c r="A43" s="315">
        <v>0</v>
      </c>
      <c r="B43" s="316"/>
      <c r="C43" s="317">
        <v>0</v>
      </c>
      <c r="D43" s="318">
        <v>0</v>
      </c>
      <c r="E43" s="319">
        <v>0</v>
      </c>
      <c r="F43" s="320">
        <v>0</v>
      </c>
      <c r="G43" s="319">
        <v>0</v>
      </c>
      <c r="H43" s="319">
        <v>0</v>
      </c>
      <c r="I43" s="319">
        <v>0</v>
      </c>
      <c r="J43" s="319">
        <v>0</v>
      </c>
      <c r="K43" s="319">
        <v>0</v>
      </c>
      <c r="L43" s="321">
        <v>0</v>
      </c>
      <c r="M43" s="322">
        <v>0</v>
      </c>
      <c r="N43" s="323">
        <v>0</v>
      </c>
      <c r="O43" s="328">
        <v>0</v>
      </c>
    </row>
    <row r="44" spans="1:15" ht="11.1" customHeight="1" x14ac:dyDescent="0.25">
      <c r="A44" s="315">
        <v>0</v>
      </c>
      <c r="B44" s="316"/>
      <c r="C44" s="317">
        <v>0</v>
      </c>
      <c r="D44" s="318">
        <v>0</v>
      </c>
      <c r="E44" s="319">
        <v>0</v>
      </c>
      <c r="F44" s="320">
        <v>0</v>
      </c>
      <c r="G44" s="319">
        <v>0</v>
      </c>
      <c r="H44" s="319">
        <v>0</v>
      </c>
      <c r="I44" s="319">
        <v>0</v>
      </c>
      <c r="J44" s="319">
        <v>0</v>
      </c>
      <c r="K44" s="319">
        <v>0</v>
      </c>
      <c r="L44" s="321">
        <v>0</v>
      </c>
      <c r="M44" s="322">
        <v>0</v>
      </c>
      <c r="N44" s="323">
        <v>0</v>
      </c>
      <c r="O44" s="328">
        <v>0</v>
      </c>
    </row>
    <row r="45" spans="1:15" ht="11.1" customHeight="1" x14ac:dyDescent="0.25">
      <c r="A45" s="315">
        <v>0</v>
      </c>
      <c r="B45" s="316"/>
      <c r="C45" s="317">
        <v>0</v>
      </c>
      <c r="D45" s="318">
        <v>0</v>
      </c>
      <c r="E45" s="319">
        <v>0</v>
      </c>
      <c r="F45" s="320">
        <v>0</v>
      </c>
      <c r="G45" s="319">
        <v>0</v>
      </c>
      <c r="H45" s="319">
        <v>0</v>
      </c>
      <c r="I45" s="319">
        <v>0</v>
      </c>
      <c r="J45" s="319">
        <v>0</v>
      </c>
      <c r="K45" s="319">
        <v>0</v>
      </c>
      <c r="L45" s="321">
        <v>0</v>
      </c>
      <c r="M45" s="322">
        <v>0</v>
      </c>
      <c r="N45" s="323">
        <v>0</v>
      </c>
      <c r="O45" s="328">
        <v>0</v>
      </c>
    </row>
    <row r="46" spans="1:15" ht="11.1" customHeight="1" x14ac:dyDescent="0.25">
      <c r="A46" s="315">
        <v>0</v>
      </c>
      <c r="B46" s="316"/>
      <c r="C46" s="317">
        <v>0</v>
      </c>
      <c r="D46" s="318">
        <v>0</v>
      </c>
      <c r="E46" s="319">
        <v>0</v>
      </c>
      <c r="F46" s="320">
        <v>0</v>
      </c>
      <c r="G46" s="319">
        <v>0</v>
      </c>
      <c r="H46" s="319">
        <v>0</v>
      </c>
      <c r="I46" s="319">
        <v>0</v>
      </c>
      <c r="J46" s="319">
        <v>0</v>
      </c>
      <c r="K46" s="319">
        <v>0</v>
      </c>
      <c r="L46" s="321">
        <v>0</v>
      </c>
      <c r="M46" s="322">
        <v>0</v>
      </c>
      <c r="N46" s="323">
        <v>0</v>
      </c>
      <c r="O46" s="328">
        <v>0</v>
      </c>
    </row>
    <row r="47" spans="1:15" ht="11.1" customHeight="1" x14ac:dyDescent="0.25">
      <c r="A47" s="315">
        <v>0</v>
      </c>
      <c r="B47" s="316"/>
      <c r="C47" s="317">
        <v>0</v>
      </c>
      <c r="D47" s="318">
        <v>0</v>
      </c>
      <c r="E47" s="319">
        <v>0</v>
      </c>
      <c r="F47" s="320">
        <v>0</v>
      </c>
      <c r="G47" s="319">
        <v>0</v>
      </c>
      <c r="H47" s="319">
        <v>0</v>
      </c>
      <c r="I47" s="319">
        <v>0</v>
      </c>
      <c r="J47" s="319">
        <v>0</v>
      </c>
      <c r="K47" s="319">
        <v>0</v>
      </c>
      <c r="L47" s="321">
        <v>0</v>
      </c>
      <c r="M47" s="322">
        <v>0</v>
      </c>
      <c r="N47" s="323">
        <v>0</v>
      </c>
      <c r="O47" s="328">
        <v>0</v>
      </c>
    </row>
    <row r="48" spans="1:15" ht="11.1" customHeight="1" x14ac:dyDescent="0.25">
      <c r="A48" s="315">
        <v>0</v>
      </c>
      <c r="B48" s="316"/>
      <c r="C48" s="317">
        <v>0</v>
      </c>
      <c r="D48" s="318">
        <v>0</v>
      </c>
      <c r="E48" s="319">
        <v>0</v>
      </c>
      <c r="F48" s="320">
        <v>0</v>
      </c>
      <c r="G48" s="319">
        <v>0</v>
      </c>
      <c r="H48" s="319">
        <v>0</v>
      </c>
      <c r="I48" s="319">
        <v>0</v>
      </c>
      <c r="J48" s="319">
        <v>0</v>
      </c>
      <c r="K48" s="319">
        <v>0</v>
      </c>
      <c r="L48" s="321">
        <v>0</v>
      </c>
      <c r="M48" s="322">
        <v>0</v>
      </c>
      <c r="N48" s="323">
        <v>0</v>
      </c>
      <c r="O48" s="328">
        <v>0</v>
      </c>
    </row>
    <row r="49" spans="1:29" ht="11.1" customHeight="1" x14ac:dyDescent="0.25">
      <c r="A49" s="315">
        <v>0</v>
      </c>
      <c r="B49" s="316"/>
      <c r="C49" s="317">
        <v>0</v>
      </c>
      <c r="D49" s="318">
        <v>0</v>
      </c>
      <c r="E49" s="319">
        <v>0</v>
      </c>
      <c r="F49" s="320">
        <v>0</v>
      </c>
      <c r="G49" s="319">
        <v>0</v>
      </c>
      <c r="H49" s="319">
        <v>0</v>
      </c>
      <c r="I49" s="319">
        <v>0</v>
      </c>
      <c r="J49" s="319">
        <v>0</v>
      </c>
      <c r="K49" s="319">
        <v>0</v>
      </c>
      <c r="L49" s="321">
        <v>0</v>
      </c>
      <c r="M49" s="322">
        <v>0</v>
      </c>
      <c r="N49" s="323">
        <v>0</v>
      </c>
      <c r="O49" s="328">
        <v>0</v>
      </c>
    </row>
    <row r="50" spans="1:29" ht="11.1" customHeight="1" x14ac:dyDescent="0.25">
      <c r="A50" s="315">
        <v>0</v>
      </c>
      <c r="B50" s="316"/>
      <c r="C50" s="317">
        <v>0</v>
      </c>
      <c r="D50" s="318">
        <v>0</v>
      </c>
      <c r="E50" s="319">
        <v>0</v>
      </c>
      <c r="F50" s="320">
        <v>0</v>
      </c>
      <c r="G50" s="319">
        <v>0</v>
      </c>
      <c r="H50" s="319">
        <v>0</v>
      </c>
      <c r="I50" s="319">
        <v>0</v>
      </c>
      <c r="J50" s="319">
        <v>0</v>
      </c>
      <c r="K50" s="319">
        <v>0</v>
      </c>
      <c r="L50" s="321">
        <v>0</v>
      </c>
      <c r="M50" s="322">
        <v>0</v>
      </c>
      <c r="N50" s="323">
        <v>0</v>
      </c>
      <c r="O50" s="328">
        <v>0</v>
      </c>
    </row>
    <row r="51" spans="1:29" ht="11.1" customHeight="1" x14ac:dyDescent="0.25">
      <c r="A51" s="315">
        <v>0</v>
      </c>
      <c r="B51" s="316"/>
      <c r="C51" s="317">
        <v>0</v>
      </c>
      <c r="D51" s="318">
        <v>0</v>
      </c>
      <c r="E51" s="319">
        <v>0</v>
      </c>
      <c r="F51" s="320">
        <v>0</v>
      </c>
      <c r="G51" s="319">
        <v>0</v>
      </c>
      <c r="H51" s="319">
        <v>0</v>
      </c>
      <c r="I51" s="319">
        <v>0</v>
      </c>
      <c r="J51" s="319">
        <v>0</v>
      </c>
      <c r="K51" s="319">
        <v>0</v>
      </c>
      <c r="L51" s="321">
        <v>0</v>
      </c>
      <c r="M51" s="322">
        <v>0</v>
      </c>
      <c r="N51" s="323">
        <v>0</v>
      </c>
      <c r="O51" s="328">
        <v>0</v>
      </c>
    </row>
    <row r="52" spans="1:29" ht="11.1" customHeight="1" x14ac:dyDescent="0.25">
      <c r="A52" s="315">
        <v>0</v>
      </c>
      <c r="B52" s="316"/>
      <c r="C52" s="317">
        <v>0</v>
      </c>
      <c r="D52" s="318">
        <v>0</v>
      </c>
      <c r="E52" s="319">
        <v>0</v>
      </c>
      <c r="F52" s="320">
        <v>0</v>
      </c>
      <c r="G52" s="319">
        <v>0</v>
      </c>
      <c r="H52" s="319">
        <v>0</v>
      </c>
      <c r="I52" s="319">
        <v>0</v>
      </c>
      <c r="J52" s="319">
        <v>0</v>
      </c>
      <c r="K52" s="319">
        <v>0</v>
      </c>
      <c r="L52" s="321">
        <v>0</v>
      </c>
      <c r="M52" s="322">
        <v>0</v>
      </c>
      <c r="N52" s="323">
        <v>0</v>
      </c>
      <c r="O52" s="328">
        <v>0</v>
      </c>
    </row>
    <row r="53" spans="1:29" ht="11.1" customHeight="1" x14ac:dyDescent="0.25">
      <c r="A53" s="315">
        <v>0</v>
      </c>
      <c r="B53" s="316"/>
      <c r="C53" s="317">
        <v>0</v>
      </c>
      <c r="D53" s="318">
        <v>0</v>
      </c>
      <c r="E53" s="319">
        <v>0</v>
      </c>
      <c r="F53" s="320">
        <v>0</v>
      </c>
      <c r="G53" s="319">
        <v>0</v>
      </c>
      <c r="H53" s="319">
        <v>0</v>
      </c>
      <c r="I53" s="319">
        <v>0</v>
      </c>
      <c r="J53" s="319">
        <v>0</v>
      </c>
      <c r="K53" s="319">
        <v>0</v>
      </c>
      <c r="L53" s="321">
        <v>0</v>
      </c>
      <c r="M53" s="322">
        <v>0</v>
      </c>
      <c r="N53" s="323">
        <v>0</v>
      </c>
      <c r="O53" s="328">
        <v>0</v>
      </c>
    </row>
    <row r="54" spans="1:29" ht="11.1" customHeight="1" x14ac:dyDescent="0.25">
      <c r="A54" s="315">
        <v>0</v>
      </c>
      <c r="B54" s="316"/>
      <c r="C54" s="317">
        <v>0</v>
      </c>
      <c r="D54" s="318">
        <v>0</v>
      </c>
      <c r="E54" s="319">
        <v>0</v>
      </c>
      <c r="F54" s="320">
        <v>0</v>
      </c>
      <c r="G54" s="319">
        <v>0</v>
      </c>
      <c r="H54" s="319">
        <v>0</v>
      </c>
      <c r="I54" s="319">
        <v>0</v>
      </c>
      <c r="J54" s="319">
        <v>0</v>
      </c>
      <c r="K54" s="319">
        <v>0</v>
      </c>
      <c r="L54" s="321">
        <v>0</v>
      </c>
      <c r="M54" s="322">
        <v>0</v>
      </c>
      <c r="N54" s="323">
        <v>0</v>
      </c>
      <c r="O54" s="328">
        <v>0</v>
      </c>
    </row>
    <row r="55" spans="1:29" ht="11.1" customHeight="1" x14ac:dyDescent="0.25">
      <c r="A55" s="315">
        <v>0</v>
      </c>
      <c r="B55" s="316"/>
      <c r="C55" s="317">
        <v>0</v>
      </c>
      <c r="D55" s="318">
        <v>0</v>
      </c>
      <c r="E55" s="319">
        <v>0</v>
      </c>
      <c r="F55" s="320">
        <v>0</v>
      </c>
      <c r="G55" s="319">
        <v>0</v>
      </c>
      <c r="H55" s="319">
        <v>0</v>
      </c>
      <c r="I55" s="319">
        <v>0</v>
      </c>
      <c r="J55" s="319">
        <v>0</v>
      </c>
      <c r="K55" s="319">
        <v>0</v>
      </c>
      <c r="L55" s="321">
        <v>0</v>
      </c>
      <c r="M55" s="322">
        <v>0</v>
      </c>
      <c r="N55" s="323">
        <v>0</v>
      </c>
      <c r="O55" s="328">
        <v>0</v>
      </c>
    </row>
    <row r="56" spans="1:29" ht="11.1" customHeight="1" x14ac:dyDescent="0.25">
      <c r="A56" s="315">
        <v>0</v>
      </c>
      <c r="B56" s="316"/>
      <c r="C56" s="317">
        <v>0</v>
      </c>
      <c r="D56" s="318">
        <v>0</v>
      </c>
      <c r="E56" s="319">
        <v>0</v>
      </c>
      <c r="F56" s="320">
        <v>0</v>
      </c>
      <c r="G56" s="319">
        <v>0</v>
      </c>
      <c r="H56" s="319">
        <v>0</v>
      </c>
      <c r="I56" s="319">
        <v>0</v>
      </c>
      <c r="J56" s="319">
        <v>0</v>
      </c>
      <c r="K56" s="319">
        <v>0</v>
      </c>
      <c r="L56" s="321">
        <v>0</v>
      </c>
      <c r="M56" s="322">
        <v>0</v>
      </c>
      <c r="N56" s="323">
        <v>0</v>
      </c>
      <c r="O56" s="328">
        <v>0</v>
      </c>
    </row>
    <row r="57" spans="1:29" ht="11.1" customHeight="1" x14ac:dyDescent="0.25">
      <c r="A57" s="315">
        <v>0</v>
      </c>
      <c r="B57" s="316"/>
      <c r="C57" s="317">
        <v>0</v>
      </c>
      <c r="D57" s="318">
        <v>0</v>
      </c>
      <c r="E57" s="319">
        <v>0</v>
      </c>
      <c r="F57" s="320">
        <v>0</v>
      </c>
      <c r="G57" s="319">
        <v>0</v>
      </c>
      <c r="H57" s="319">
        <v>0</v>
      </c>
      <c r="I57" s="319">
        <v>0</v>
      </c>
      <c r="J57" s="319">
        <v>0</v>
      </c>
      <c r="K57" s="319">
        <v>0</v>
      </c>
      <c r="L57" s="321">
        <v>0</v>
      </c>
      <c r="M57" s="322">
        <v>0</v>
      </c>
      <c r="N57" s="323">
        <v>0</v>
      </c>
      <c r="O57" s="328">
        <v>0</v>
      </c>
    </row>
    <row r="58" spans="1:29" ht="11.1" customHeight="1" x14ac:dyDescent="0.25">
      <c r="A58" s="315">
        <v>0</v>
      </c>
      <c r="B58" s="316"/>
      <c r="C58" s="317">
        <v>0</v>
      </c>
      <c r="D58" s="318">
        <v>0</v>
      </c>
      <c r="E58" s="319">
        <v>0</v>
      </c>
      <c r="F58" s="320">
        <v>0</v>
      </c>
      <c r="G58" s="319">
        <v>0</v>
      </c>
      <c r="H58" s="319">
        <v>0</v>
      </c>
      <c r="I58" s="319">
        <v>0</v>
      </c>
      <c r="J58" s="319">
        <v>0</v>
      </c>
      <c r="K58" s="319">
        <v>0</v>
      </c>
      <c r="L58" s="321">
        <v>0</v>
      </c>
      <c r="M58" s="322">
        <v>0</v>
      </c>
      <c r="N58" s="323">
        <v>0</v>
      </c>
      <c r="O58" s="328">
        <v>0</v>
      </c>
    </row>
    <row r="59" spans="1:29" ht="11.1" customHeight="1" x14ac:dyDescent="0.25">
      <c r="A59" s="315">
        <v>0</v>
      </c>
      <c r="B59" s="316"/>
      <c r="C59" s="317">
        <v>0</v>
      </c>
      <c r="D59" s="318">
        <v>0</v>
      </c>
      <c r="E59" s="319">
        <v>0</v>
      </c>
      <c r="F59" s="320">
        <v>0</v>
      </c>
      <c r="G59" s="319">
        <v>0</v>
      </c>
      <c r="H59" s="319">
        <v>0</v>
      </c>
      <c r="I59" s="319">
        <v>0</v>
      </c>
      <c r="J59" s="319">
        <v>0</v>
      </c>
      <c r="K59" s="319">
        <v>0</v>
      </c>
      <c r="L59" s="321">
        <v>0</v>
      </c>
      <c r="M59" s="322">
        <v>0</v>
      </c>
      <c r="N59" s="323">
        <v>0</v>
      </c>
      <c r="O59" s="328">
        <v>0</v>
      </c>
    </row>
    <row r="60" spans="1:29" ht="11.1" customHeight="1" thickBot="1" x14ac:dyDescent="0.3">
      <c r="A60" s="330">
        <v>0</v>
      </c>
      <c r="B60" s="331"/>
      <c r="C60" s="519">
        <v>0</v>
      </c>
      <c r="D60" s="333">
        <v>0</v>
      </c>
      <c r="E60" s="520">
        <v>0</v>
      </c>
      <c r="F60" s="521">
        <v>0</v>
      </c>
      <c r="G60" s="520">
        <v>0</v>
      </c>
      <c r="H60" s="520">
        <v>0</v>
      </c>
      <c r="I60" s="520">
        <v>0</v>
      </c>
      <c r="J60" s="520">
        <v>0</v>
      </c>
      <c r="K60" s="520">
        <v>0</v>
      </c>
      <c r="L60" s="522">
        <v>0</v>
      </c>
      <c r="M60" s="336">
        <v>0</v>
      </c>
      <c r="N60" s="323">
        <v>0</v>
      </c>
      <c r="O60" s="328">
        <v>0</v>
      </c>
    </row>
    <row r="61" spans="1:29" ht="20.100000000000001" customHeight="1" thickTop="1" x14ac:dyDescent="0.3">
      <c r="A61" s="337"/>
      <c r="B61" s="337"/>
      <c r="C61" s="337"/>
      <c r="D61" s="337"/>
      <c r="E61" s="625"/>
      <c r="F61" s="625"/>
      <c r="G61" s="771" t="s">
        <v>196</v>
      </c>
      <c r="H61" s="771"/>
      <c r="I61" s="771"/>
      <c r="J61" s="771"/>
      <c r="K61" s="771"/>
      <c r="L61" s="771"/>
      <c r="M61" s="771"/>
      <c r="N61" s="323">
        <v>0</v>
      </c>
      <c r="O61" s="328">
        <v>0</v>
      </c>
      <c r="T61" s="338"/>
      <c r="U61" s="338"/>
      <c r="V61" s="338"/>
      <c r="W61" s="338"/>
      <c r="X61" s="338"/>
      <c r="Y61" s="338"/>
      <c r="Z61" s="338"/>
      <c r="AA61" s="338"/>
      <c r="AB61" s="338"/>
      <c r="AC61" s="338"/>
    </row>
    <row r="62" spans="1:29" ht="24.9" customHeight="1" x14ac:dyDescent="0.25">
      <c r="A62" s="337"/>
      <c r="B62" s="337"/>
      <c r="C62" s="337"/>
      <c r="D62" s="337"/>
      <c r="E62" s="622"/>
      <c r="F62" s="622"/>
      <c r="G62" s="772" t="s">
        <v>178</v>
      </c>
      <c r="H62" s="772"/>
      <c r="I62" s="772"/>
      <c r="J62" s="772"/>
      <c r="K62" s="772"/>
      <c r="L62" s="772"/>
      <c r="M62" s="772"/>
      <c r="N62" s="323">
        <v>0</v>
      </c>
      <c r="O62" s="328">
        <v>0</v>
      </c>
      <c r="T62" s="338"/>
      <c r="U62" s="338"/>
      <c r="V62" s="338"/>
      <c r="W62" s="338"/>
      <c r="X62" s="338"/>
      <c r="Y62" s="338"/>
      <c r="Z62" s="338"/>
      <c r="AA62" s="338"/>
      <c r="AB62" s="338"/>
      <c r="AC62" s="338"/>
    </row>
    <row r="63" spans="1:29" ht="12.75" customHeight="1" x14ac:dyDescent="0.25">
      <c r="A63" s="3"/>
      <c r="B63" s="283" t="s">
        <v>11</v>
      </c>
      <c r="C63" s="284" t="s">
        <v>259</v>
      </c>
      <c r="D63" s="284"/>
      <c r="E63" s="285"/>
      <c r="F63" s="3"/>
      <c r="G63" s="3"/>
      <c r="H63" s="3"/>
      <c r="I63" s="286" t="s">
        <v>179</v>
      </c>
      <c r="J63" s="777">
        <v>39996</v>
      </c>
      <c r="K63" s="777"/>
      <c r="L63" s="287"/>
      <c r="N63" s="323">
        <v>0</v>
      </c>
      <c r="O63" s="328">
        <v>0</v>
      </c>
    </row>
    <row r="64" spans="1:29" ht="12.75" customHeight="1" x14ac:dyDescent="0.25">
      <c r="A64" s="3"/>
      <c r="B64" s="283" t="s">
        <v>8</v>
      </c>
      <c r="C64" s="284" t="s">
        <v>260</v>
      </c>
      <c r="D64" s="284"/>
      <c r="E64" s="3"/>
      <c r="F64" s="3"/>
      <c r="G64" s="3"/>
      <c r="H64" s="3"/>
      <c r="I64" s="288" t="s">
        <v>180</v>
      </c>
      <c r="J64" s="289">
        <v>16</v>
      </c>
      <c r="K64" s="3"/>
      <c r="M64" s="290"/>
      <c r="N64" s="323">
        <v>0</v>
      </c>
      <c r="O64" s="328">
        <v>0</v>
      </c>
    </row>
    <row r="65" spans="1:15" ht="12.75" customHeight="1" thickBot="1" x14ac:dyDescent="0.3">
      <c r="A65" s="3"/>
      <c r="B65" s="283" t="s">
        <v>181</v>
      </c>
      <c r="C65" s="291" t="s">
        <v>261</v>
      </c>
      <c r="D65" s="291"/>
      <c r="E65" s="283"/>
      <c r="F65" s="284"/>
      <c r="G65" s="3"/>
      <c r="H65" s="3"/>
      <c r="I65" s="283" t="s">
        <v>182</v>
      </c>
      <c r="J65" s="292">
        <v>2</v>
      </c>
      <c r="K65" s="3"/>
      <c r="M65" s="290"/>
      <c r="N65" s="323">
        <v>0</v>
      </c>
      <c r="O65" s="328">
        <v>0</v>
      </c>
    </row>
    <row r="66" spans="1:15" ht="12.75" customHeight="1" thickTop="1" x14ac:dyDescent="0.25">
      <c r="A66" s="339"/>
      <c r="B66" s="295"/>
      <c r="C66" s="297"/>
      <c r="D66" s="297"/>
      <c r="E66" s="778" t="s">
        <v>183</v>
      </c>
      <c r="F66" s="778"/>
      <c r="G66" s="778"/>
      <c r="H66" s="778"/>
      <c r="I66" s="778"/>
      <c r="J66" s="297"/>
      <c r="K66" s="340"/>
      <c r="L66" s="341"/>
      <c r="M66" s="342"/>
      <c r="N66" s="323">
        <v>0</v>
      </c>
      <c r="O66" s="328">
        <v>0</v>
      </c>
    </row>
    <row r="67" spans="1:15" ht="12.75" customHeight="1" x14ac:dyDescent="0.25">
      <c r="A67" s="343"/>
      <c r="B67" s="291"/>
      <c r="D67" s="300" t="s">
        <v>184</v>
      </c>
      <c r="F67" s="780">
        <v>10960.5</v>
      </c>
      <c r="G67" s="780"/>
      <c r="I67" s="616"/>
      <c r="J67" s="300" t="s">
        <v>238</v>
      </c>
      <c r="K67" s="774">
        <v>0</v>
      </c>
      <c r="L67" s="775"/>
      <c r="M67" s="344"/>
      <c r="N67" s="345"/>
      <c r="O67" s="346"/>
    </row>
    <row r="68" spans="1:15" ht="12.75" customHeight="1" thickBot="1" x14ac:dyDescent="0.3">
      <c r="A68" s="303"/>
      <c r="B68" s="304"/>
      <c r="D68" s="305" t="s">
        <v>185</v>
      </c>
      <c r="E68" s="304"/>
      <c r="F68" s="776">
        <v>160863.84</v>
      </c>
      <c r="G68" s="776"/>
      <c r="H68" s="304"/>
      <c r="I68" s="304"/>
      <c r="J68" s="304"/>
      <c r="K68" s="304"/>
      <c r="L68" s="347"/>
      <c r="M68" s="348"/>
      <c r="N68" s="345"/>
      <c r="O68" s="346"/>
    </row>
    <row r="69" spans="1:15" ht="12" customHeight="1" thickTop="1" x14ac:dyDescent="0.25">
      <c r="A69" s="307" t="s">
        <v>186</v>
      </c>
      <c r="B69" s="349"/>
      <c r="C69" s="309" t="s">
        <v>187</v>
      </c>
      <c r="D69" s="309" t="s">
        <v>161</v>
      </c>
      <c r="E69" s="309" t="s">
        <v>95</v>
      </c>
      <c r="F69" s="309" t="s">
        <v>138</v>
      </c>
      <c r="G69" s="309" t="s">
        <v>188</v>
      </c>
      <c r="H69" s="309" t="s">
        <v>138</v>
      </c>
      <c r="I69" s="309" t="s">
        <v>188</v>
      </c>
      <c r="J69" s="309" t="s">
        <v>138</v>
      </c>
      <c r="K69" s="309" t="s">
        <v>189</v>
      </c>
      <c r="L69" s="310" t="s">
        <v>100</v>
      </c>
      <c r="M69" s="516" t="s">
        <v>138</v>
      </c>
      <c r="N69" s="345"/>
      <c r="O69" s="346"/>
    </row>
    <row r="70" spans="1:15" ht="12" customHeight="1" thickBot="1" x14ac:dyDescent="0.3">
      <c r="A70" s="350"/>
      <c r="B70" s="351"/>
      <c r="C70" s="352" t="s">
        <v>49</v>
      </c>
      <c r="D70" s="352" t="s">
        <v>191</v>
      </c>
      <c r="E70" s="352" t="s">
        <v>195</v>
      </c>
      <c r="F70" s="352" t="s">
        <v>97</v>
      </c>
      <c r="G70" s="352" t="s">
        <v>97</v>
      </c>
      <c r="H70" s="352" t="s">
        <v>192</v>
      </c>
      <c r="I70" s="352" t="s">
        <v>192</v>
      </c>
      <c r="J70" s="352" t="s">
        <v>99</v>
      </c>
      <c r="K70" s="352" t="s">
        <v>99</v>
      </c>
      <c r="L70" s="353" t="s">
        <v>193</v>
      </c>
      <c r="M70" s="517" t="s">
        <v>159</v>
      </c>
      <c r="N70" s="345"/>
      <c r="O70" s="346"/>
    </row>
    <row r="71" spans="1:15" ht="11.1" customHeight="1" thickTop="1" x14ac:dyDescent="0.25">
      <c r="A71" s="523">
        <v>0</v>
      </c>
      <c r="B71" s="524"/>
      <c r="C71" s="525">
        <v>0</v>
      </c>
      <c r="D71" s="526">
        <v>0</v>
      </c>
      <c r="E71" s="515">
        <v>0</v>
      </c>
      <c r="F71" s="527">
        <v>0</v>
      </c>
      <c r="G71" s="515">
        <v>0</v>
      </c>
      <c r="H71" s="515">
        <v>0</v>
      </c>
      <c r="I71" s="515">
        <v>0</v>
      </c>
      <c r="J71" s="515">
        <v>0</v>
      </c>
      <c r="K71" s="515">
        <v>0</v>
      </c>
      <c r="L71" s="528">
        <v>0</v>
      </c>
      <c r="M71" s="529">
        <v>0</v>
      </c>
      <c r="N71" s="345"/>
      <c r="O71" s="346"/>
    </row>
    <row r="72" spans="1:15" ht="11.1" customHeight="1" x14ac:dyDescent="0.25">
      <c r="A72" s="315">
        <v>0</v>
      </c>
      <c r="B72" s="316"/>
      <c r="C72" s="325">
        <v>0</v>
      </c>
      <c r="D72" s="329">
        <v>0</v>
      </c>
      <c r="E72" s="326">
        <v>0</v>
      </c>
      <c r="F72" s="518">
        <v>0</v>
      </c>
      <c r="G72" s="326">
        <v>0</v>
      </c>
      <c r="H72" s="326">
        <v>0</v>
      </c>
      <c r="I72" s="326">
        <v>0</v>
      </c>
      <c r="J72" s="326">
        <v>0</v>
      </c>
      <c r="K72" s="326">
        <v>0</v>
      </c>
      <c r="L72" s="327">
        <v>0</v>
      </c>
      <c r="M72" s="322">
        <v>0</v>
      </c>
      <c r="N72" s="345"/>
      <c r="O72" s="346"/>
    </row>
    <row r="73" spans="1:15" ht="11.1" customHeight="1" x14ac:dyDescent="0.25">
      <c r="A73" s="315">
        <v>0</v>
      </c>
      <c r="B73" s="316"/>
      <c r="C73" s="325">
        <v>0</v>
      </c>
      <c r="D73" s="329">
        <v>0</v>
      </c>
      <c r="E73" s="326">
        <v>0</v>
      </c>
      <c r="F73" s="518">
        <v>0</v>
      </c>
      <c r="G73" s="326">
        <v>0</v>
      </c>
      <c r="H73" s="326">
        <v>0</v>
      </c>
      <c r="I73" s="326">
        <v>0</v>
      </c>
      <c r="J73" s="326">
        <v>0</v>
      </c>
      <c r="K73" s="326">
        <v>0</v>
      </c>
      <c r="L73" s="327">
        <v>0</v>
      </c>
      <c r="M73" s="322">
        <v>0</v>
      </c>
      <c r="N73" s="345"/>
      <c r="O73" s="346"/>
    </row>
    <row r="74" spans="1:15" ht="11.1" customHeight="1" x14ac:dyDescent="0.25">
      <c r="A74" s="315">
        <v>0</v>
      </c>
      <c r="B74" s="316"/>
      <c r="C74" s="325">
        <v>0</v>
      </c>
      <c r="D74" s="329">
        <v>0</v>
      </c>
      <c r="E74" s="326">
        <v>0</v>
      </c>
      <c r="F74" s="518">
        <v>0</v>
      </c>
      <c r="G74" s="326">
        <v>0</v>
      </c>
      <c r="H74" s="326">
        <v>0</v>
      </c>
      <c r="I74" s="326">
        <v>0</v>
      </c>
      <c r="J74" s="326">
        <v>0</v>
      </c>
      <c r="K74" s="326">
        <v>0</v>
      </c>
      <c r="L74" s="327">
        <v>0</v>
      </c>
      <c r="M74" s="322">
        <v>0</v>
      </c>
      <c r="N74" s="345"/>
      <c r="O74" s="346"/>
    </row>
    <row r="75" spans="1:15" ht="11.1" customHeight="1" x14ac:dyDescent="0.25">
      <c r="A75" s="315">
        <v>0</v>
      </c>
      <c r="B75" s="316"/>
      <c r="C75" s="325">
        <v>0</v>
      </c>
      <c r="D75" s="329">
        <v>0</v>
      </c>
      <c r="E75" s="326">
        <v>0</v>
      </c>
      <c r="F75" s="518">
        <v>0</v>
      </c>
      <c r="G75" s="326">
        <v>0</v>
      </c>
      <c r="H75" s="326">
        <v>0</v>
      </c>
      <c r="I75" s="326">
        <v>0</v>
      </c>
      <c r="J75" s="326">
        <v>0</v>
      </c>
      <c r="K75" s="326">
        <v>0</v>
      </c>
      <c r="L75" s="327">
        <v>0</v>
      </c>
      <c r="M75" s="322">
        <v>0</v>
      </c>
      <c r="N75" s="345"/>
      <c r="O75" s="346"/>
    </row>
    <row r="76" spans="1:15" ht="11.1" customHeight="1" x14ac:dyDescent="0.25">
      <c r="A76" s="315">
        <v>0</v>
      </c>
      <c r="B76" s="316"/>
      <c r="C76" s="325">
        <v>0</v>
      </c>
      <c r="D76" s="329">
        <v>0</v>
      </c>
      <c r="E76" s="326">
        <v>0</v>
      </c>
      <c r="F76" s="518">
        <v>0</v>
      </c>
      <c r="G76" s="326">
        <v>0</v>
      </c>
      <c r="H76" s="326">
        <v>0</v>
      </c>
      <c r="I76" s="326">
        <v>0</v>
      </c>
      <c r="J76" s="326">
        <v>0</v>
      </c>
      <c r="K76" s="326">
        <v>0</v>
      </c>
      <c r="L76" s="327">
        <v>0</v>
      </c>
      <c r="M76" s="322">
        <v>0</v>
      </c>
      <c r="N76" s="345"/>
      <c r="O76" s="346"/>
    </row>
    <row r="77" spans="1:15" ht="11.1" customHeight="1" x14ac:dyDescent="0.25">
      <c r="A77" s="315">
        <v>0</v>
      </c>
      <c r="B77" s="316"/>
      <c r="C77" s="325">
        <v>0</v>
      </c>
      <c r="D77" s="329">
        <v>0</v>
      </c>
      <c r="E77" s="326">
        <v>0</v>
      </c>
      <c r="F77" s="518">
        <v>0</v>
      </c>
      <c r="G77" s="326">
        <v>0</v>
      </c>
      <c r="H77" s="326">
        <v>0</v>
      </c>
      <c r="I77" s="326">
        <v>0</v>
      </c>
      <c r="J77" s="326">
        <v>0</v>
      </c>
      <c r="K77" s="326">
        <v>0</v>
      </c>
      <c r="L77" s="327">
        <v>0</v>
      </c>
      <c r="M77" s="322">
        <v>0</v>
      </c>
      <c r="N77" s="345"/>
      <c r="O77" s="346"/>
    </row>
    <row r="78" spans="1:15" ht="11.1" customHeight="1" x14ac:dyDescent="0.25">
      <c r="A78" s="315">
        <v>0</v>
      </c>
      <c r="B78" s="316"/>
      <c r="C78" s="325">
        <v>0</v>
      </c>
      <c r="D78" s="329">
        <v>0</v>
      </c>
      <c r="E78" s="326">
        <v>0</v>
      </c>
      <c r="F78" s="518">
        <v>0</v>
      </c>
      <c r="G78" s="326">
        <v>0</v>
      </c>
      <c r="H78" s="326">
        <v>0</v>
      </c>
      <c r="I78" s="326">
        <v>0</v>
      </c>
      <c r="J78" s="326">
        <v>0</v>
      </c>
      <c r="K78" s="326">
        <v>0</v>
      </c>
      <c r="L78" s="327">
        <v>0</v>
      </c>
      <c r="M78" s="322">
        <v>0</v>
      </c>
      <c r="N78" s="345"/>
      <c r="O78" s="346"/>
    </row>
    <row r="79" spans="1:15" ht="11.1" customHeight="1" x14ac:dyDescent="0.25">
      <c r="A79" s="315">
        <v>0</v>
      </c>
      <c r="B79" s="316"/>
      <c r="C79" s="325">
        <v>0</v>
      </c>
      <c r="D79" s="329">
        <v>0</v>
      </c>
      <c r="E79" s="326">
        <v>0</v>
      </c>
      <c r="F79" s="518">
        <v>0</v>
      </c>
      <c r="G79" s="326">
        <v>0</v>
      </c>
      <c r="H79" s="326">
        <v>0</v>
      </c>
      <c r="I79" s="326">
        <v>0</v>
      </c>
      <c r="J79" s="326">
        <v>0</v>
      </c>
      <c r="K79" s="326">
        <v>0</v>
      </c>
      <c r="L79" s="327">
        <v>0</v>
      </c>
      <c r="M79" s="322">
        <v>0</v>
      </c>
      <c r="N79" s="345"/>
      <c r="O79" s="346"/>
    </row>
    <row r="80" spans="1:15" ht="11.1" customHeight="1" x14ac:dyDescent="0.25">
      <c r="A80" s="315">
        <v>0</v>
      </c>
      <c r="B80" s="316"/>
      <c r="C80" s="325">
        <v>0</v>
      </c>
      <c r="D80" s="329">
        <v>0</v>
      </c>
      <c r="E80" s="326">
        <v>0</v>
      </c>
      <c r="F80" s="518">
        <v>0</v>
      </c>
      <c r="G80" s="326">
        <v>0</v>
      </c>
      <c r="H80" s="326">
        <v>0</v>
      </c>
      <c r="I80" s="326">
        <v>0</v>
      </c>
      <c r="J80" s="326">
        <v>0</v>
      </c>
      <c r="K80" s="326">
        <v>0</v>
      </c>
      <c r="L80" s="327">
        <v>0</v>
      </c>
      <c r="M80" s="322">
        <v>0</v>
      </c>
      <c r="N80" s="337"/>
      <c r="O80" s="337"/>
    </row>
    <row r="81" spans="1:15" ht="11.1" customHeight="1" x14ac:dyDescent="0.25">
      <c r="A81" s="315">
        <v>0</v>
      </c>
      <c r="B81" s="316"/>
      <c r="C81" s="325">
        <v>0</v>
      </c>
      <c r="D81" s="329">
        <v>0</v>
      </c>
      <c r="E81" s="326">
        <v>0</v>
      </c>
      <c r="F81" s="518">
        <v>0</v>
      </c>
      <c r="G81" s="326">
        <v>0</v>
      </c>
      <c r="H81" s="326">
        <v>0</v>
      </c>
      <c r="I81" s="326">
        <v>0</v>
      </c>
      <c r="J81" s="326">
        <v>0</v>
      </c>
      <c r="K81" s="326">
        <v>0</v>
      </c>
      <c r="L81" s="327">
        <v>0</v>
      </c>
      <c r="M81" s="322">
        <v>0</v>
      </c>
      <c r="N81" s="337"/>
      <c r="O81" s="337"/>
    </row>
    <row r="82" spans="1:15" ht="11.1" customHeight="1" x14ac:dyDescent="0.25">
      <c r="A82" s="315">
        <v>0</v>
      </c>
      <c r="B82" s="316"/>
      <c r="C82" s="325">
        <v>0</v>
      </c>
      <c r="D82" s="329">
        <v>0</v>
      </c>
      <c r="E82" s="326">
        <v>0</v>
      </c>
      <c r="F82" s="518">
        <v>0</v>
      </c>
      <c r="G82" s="326">
        <v>0</v>
      </c>
      <c r="H82" s="326">
        <v>0</v>
      </c>
      <c r="I82" s="326">
        <v>0</v>
      </c>
      <c r="J82" s="326">
        <v>0</v>
      </c>
      <c r="K82" s="326">
        <v>0</v>
      </c>
      <c r="L82" s="327">
        <v>0</v>
      </c>
      <c r="M82" s="322">
        <v>0</v>
      </c>
      <c r="N82" s="337"/>
      <c r="O82" s="337"/>
    </row>
    <row r="83" spans="1:15" ht="11.1" customHeight="1" x14ac:dyDescent="0.25">
      <c r="A83" s="315">
        <v>0</v>
      </c>
      <c r="B83" s="316"/>
      <c r="C83" s="325">
        <v>0</v>
      </c>
      <c r="D83" s="329">
        <v>0</v>
      </c>
      <c r="E83" s="326">
        <v>0</v>
      </c>
      <c r="F83" s="518">
        <v>0</v>
      </c>
      <c r="G83" s="326">
        <v>0</v>
      </c>
      <c r="H83" s="326">
        <v>0</v>
      </c>
      <c r="I83" s="326">
        <v>0</v>
      </c>
      <c r="J83" s="326">
        <v>0</v>
      </c>
      <c r="K83" s="326">
        <v>0</v>
      </c>
      <c r="L83" s="327">
        <v>0</v>
      </c>
      <c r="M83" s="322">
        <v>0</v>
      </c>
      <c r="N83" s="337"/>
      <c r="O83" s="337"/>
    </row>
    <row r="84" spans="1:15" ht="11.1" customHeight="1" x14ac:dyDescent="0.25">
      <c r="A84" s="315">
        <v>0</v>
      </c>
      <c r="B84" s="316"/>
      <c r="C84" s="325">
        <v>0</v>
      </c>
      <c r="D84" s="329">
        <v>0</v>
      </c>
      <c r="E84" s="326">
        <v>0</v>
      </c>
      <c r="F84" s="518">
        <v>0</v>
      </c>
      <c r="G84" s="326">
        <v>0</v>
      </c>
      <c r="H84" s="326">
        <v>0</v>
      </c>
      <c r="I84" s="326">
        <v>0</v>
      </c>
      <c r="J84" s="326">
        <v>0</v>
      </c>
      <c r="K84" s="326">
        <v>0</v>
      </c>
      <c r="L84" s="327">
        <v>0</v>
      </c>
      <c r="M84" s="322">
        <v>0</v>
      </c>
      <c r="N84" s="337"/>
      <c r="O84" s="337"/>
    </row>
    <row r="85" spans="1:15" ht="11.1" customHeight="1" x14ac:dyDescent="0.25">
      <c r="A85" s="315">
        <v>0</v>
      </c>
      <c r="B85" s="316"/>
      <c r="C85" s="325">
        <v>0</v>
      </c>
      <c r="D85" s="329">
        <v>0</v>
      </c>
      <c r="E85" s="326">
        <v>0</v>
      </c>
      <c r="F85" s="518">
        <v>0</v>
      </c>
      <c r="G85" s="326">
        <v>0</v>
      </c>
      <c r="H85" s="326">
        <v>0</v>
      </c>
      <c r="I85" s="326">
        <v>0</v>
      </c>
      <c r="J85" s="326">
        <v>0</v>
      </c>
      <c r="K85" s="326">
        <v>0</v>
      </c>
      <c r="L85" s="327">
        <v>0</v>
      </c>
      <c r="M85" s="322">
        <v>0</v>
      </c>
      <c r="N85" s="337"/>
      <c r="O85" s="337"/>
    </row>
    <row r="86" spans="1:15" ht="11.1" customHeight="1" x14ac:dyDescent="0.25">
      <c r="A86" s="315">
        <v>0</v>
      </c>
      <c r="B86" s="316"/>
      <c r="C86" s="325">
        <v>0</v>
      </c>
      <c r="D86" s="329">
        <v>0</v>
      </c>
      <c r="E86" s="326">
        <v>0</v>
      </c>
      <c r="F86" s="518">
        <v>0</v>
      </c>
      <c r="G86" s="326">
        <v>0</v>
      </c>
      <c r="H86" s="326">
        <v>0</v>
      </c>
      <c r="I86" s="326">
        <v>0</v>
      </c>
      <c r="J86" s="326">
        <v>0</v>
      </c>
      <c r="K86" s="326">
        <v>0</v>
      </c>
      <c r="L86" s="327">
        <v>0</v>
      </c>
      <c r="M86" s="322">
        <v>0</v>
      </c>
      <c r="N86" s="337"/>
      <c r="O86" s="337"/>
    </row>
    <row r="87" spans="1:15" ht="11.1" customHeight="1" x14ac:dyDescent="0.25">
      <c r="A87" s="315">
        <v>0</v>
      </c>
      <c r="B87" s="316"/>
      <c r="C87" s="325">
        <v>0</v>
      </c>
      <c r="D87" s="329">
        <v>0</v>
      </c>
      <c r="E87" s="326">
        <v>0</v>
      </c>
      <c r="F87" s="518">
        <v>0</v>
      </c>
      <c r="G87" s="326">
        <v>0</v>
      </c>
      <c r="H87" s="326">
        <v>0</v>
      </c>
      <c r="I87" s="326">
        <v>0</v>
      </c>
      <c r="J87" s="326">
        <v>0</v>
      </c>
      <c r="K87" s="326">
        <v>0</v>
      </c>
      <c r="L87" s="327">
        <v>0</v>
      </c>
      <c r="M87" s="322">
        <v>0</v>
      </c>
      <c r="N87" s="337"/>
      <c r="O87" s="337"/>
    </row>
    <row r="88" spans="1:15" ht="11.1" customHeight="1" x14ac:dyDescent="0.25">
      <c r="A88" s="315">
        <v>0</v>
      </c>
      <c r="B88" s="316"/>
      <c r="C88" s="325">
        <v>0</v>
      </c>
      <c r="D88" s="329">
        <v>0</v>
      </c>
      <c r="E88" s="326">
        <v>0</v>
      </c>
      <c r="F88" s="518">
        <v>0</v>
      </c>
      <c r="G88" s="326">
        <v>0</v>
      </c>
      <c r="H88" s="326">
        <v>0</v>
      </c>
      <c r="I88" s="326">
        <v>0</v>
      </c>
      <c r="J88" s="326">
        <v>0</v>
      </c>
      <c r="K88" s="326">
        <v>0</v>
      </c>
      <c r="L88" s="327">
        <v>0</v>
      </c>
      <c r="M88" s="322">
        <v>0</v>
      </c>
      <c r="N88" s="337"/>
      <c r="O88" s="337"/>
    </row>
    <row r="89" spans="1:15" ht="11.1" customHeight="1" x14ac:dyDescent="0.25">
      <c r="A89" s="315">
        <v>0</v>
      </c>
      <c r="B89" s="316"/>
      <c r="C89" s="325">
        <v>0</v>
      </c>
      <c r="D89" s="329">
        <v>0</v>
      </c>
      <c r="E89" s="326">
        <v>0</v>
      </c>
      <c r="F89" s="518">
        <v>0</v>
      </c>
      <c r="G89" s="326">
        <v>0</v>
      </c>
      <c r="H89" s="326">
        <v>0</v>
      </c>
      <c r="I89" s="326">
        <v>0</v>
      </c>
      <c r="J89" s="326">
        <v>0</v>
      </c>
      <c r="K89" s="326">
        <v>0</v>
      </c>
      <c r="L89" s="327">
        <v>0</v>
      </c>
      <c r="M89" s="322">
        <v>0</v>
      </c>
      <c r="N89" s="337"/>
      <c r="O89" s="337"/>
    </row>
    <row r="90" spans="1:15" ht="11.1" customHeight="1" x14ac:dyDescent="0.25">
      <c r="A90" s="315">
        <v>0</v>
      </c>
      <c r="B90" s="316"/>
      <c r="C90" s="325">
        <v>0</v>
      </c>
      <c r="D90" s="329">
        <v>0</v>
      </c>
      <c r="E90" s="326">
        <v>0</v>
      </c>
      <c r="F90" s="518">
        <v>0</v>
      </c>
      <c r="G90" s="326">
        <v>0</v>
      </c>
      <c r="H90" s="326">
        <v>0</v>
      </c>
      <c r="I90" s="326">
        <v>0</v>
      </c>
      <c r="J90" s="326">
        <v>0</v>
      </c>
      <c r="K90" s="326">
        <v>0</v>
      </c>
      <c r="L90" s="327">
        <v>0</v>
      </c>
      <c r="M90" s="322">
        <v>0</v>
      </c>
      <c r="N90" s="337"/>
      <c r="O90" s="337"/>
    </row>
    <row r="91" spans="1:15" ht="11.1" customHeight="1" x14ac:dyDescent="0.25">
      <c r="A91" s="315">
        <v>0</v>
      </c>
      <c r="B91" s="316"/>
      <c r="C91" s="325">
        <v>0</v>
      </c>
      <c r="D91" s="329">
        <v>0</v>
      </c>
      <c r="E91" s="326">
        <v>0</v>
      </c>
      <c r="F91" s="518">
        <v>0</v>
      </c>
      <c r="G91" s="326">
        <v>0</v>
      </c>
      <c r="H91" s="326">
        <v>0</v>
      </c>
      <c r="I91" s="326">
        <v>0</v>
      </c>
      <c r="J91" s="326">
        <v>0</v>
      </c>
      <c r="K91" s="326">
        <v>0</v>
      </c>
      <c r="L91" s="327">
        <v>0</v>
      </c>
      <c r="M91" s="322">
        <v>0</v>
      </c>
      <c r="N91" s="337"/>
      <c r="O91" s="337"/>
    </row>
    <row r="92" spans="1:15" ht="11.1" customHeight="1" x14ac:dyDescent="0.25">
      <c r="A92" s="315">
        <v>0</v>
      </c>
      <c r="B92" s="316"/>
      <c r="C92" s="325">
        <v>0</v>
      </c>
      <c r="D92" s="329">
        <v>0</v>
      </c>
      <c r="E92" s="326">
        <v>0</v>
      </c>
      <c r="F92" s="518">
        <v>0</v>
      </c>
      <c r="G92" s="326">
        <v>0</v>
      </c>
      <c r="H92" s="326">
        <v>0</v>
      </c>
      <c r="I92" s="326">
        <v>0</v>
      </c>
      <c r="J92" s="326">
        <v>0</v>
      </c>
      <c r="K92" s="326">
        <v>0</v>
      </c>
      <c r="L92" s="327">
        <v>0</v>
      </c>
      <c r="M92" s="322">
        <v>0</v>
      </c>
      <c r="N92" s="337"/>
      <c r="O92" s="337"/>
    </row>
    <row r="93" spans="1:15" ht="11.1" customHeight="1" x14ac:dyDescent="0.25">
      <c r="A93" s="315">
        <v>0</v>
      </c>
      <c r="B93" s="316"/>
      <c r="C93" s="325">
        <v>0</v>
      </c>
      <c r="D93" s="329">
        <v>0</v>
      </c>
      <c r="E93" s="326">
        <v>0</v>
      </c>
      <c r="F93" s="518">
        <v>0</v>
      </c>
      <c r="G93" s="326">
        <v>0</v>
      </c>
      <c r="H93" s="326">
        <v>0</v>
      </c>
      <c r="I93" s="326">
        <v>0</v>
      </c>
      <c r="J93" s="326">
        <v>0</v>
      </c>
      <c r="K93" s="326">
        <v>0</v>
      </c>
      <c r="L93" s="327">
        <v>0</v>
      </c>
      <c r="M93" s="322">
        <v>0</v>
      </c>
      <c r="N93" s="337"/>
      <c r="O93" s="337"/>
    </row>
    <row r="94" spans="1:15" ht="11.1" customHeight="1" x14ac:dyDescent="0.25">
      <c r="A94" s="315">
        <v>0</v>
      </c>
      <c r="B94" s="316"/>
      <c r="C94" s="325">
        <v>0</v>
      </c>
      <c r="D94" s="329">
        <v>0</v>
      </c>
      <c r="E94" s="326">
        <v>0</v>
      </c>
      <c r="F94" s="518">
        <v>0</v>
      </c>
      <c r="G94" s="326">
        <v>0</v>
      </c>
      <c r="H94" s="326">
        <v>0</v>
      </c>
      <c r="I94" s="326">
        <v>0</v>
      </c>
      <c r="J94" s="326">
        <v>0</v>
      </c>
      <c r="K94" s="326">
        <v>0</v>
      </c>
      <c r="L94" s="327">
        <v>0</v>
      </c>
      <c r="M94" s="322">
        <v>0</v>
      </c>
      <c r="N94" s="337"/>
      <c r="O94" s="337"/>
    </row>
    <row r="95" spans="1:15" ht="11.1" customHeight="1" x14ac:dyDescent="0.25">
      <c r="A95" s="315">
        <v>0</v>
      </c>
      <c r="B95" s="316"/>
      <c r="C95" s="325">
        <v>0</v>
      </c>
      <c r="D95" s="329">
        <v>0</v>
      </c>
      <c r="E95" s="326">
        <v>0</v>
      </c>
      <c r="F95" s="518">
        <v>0</v>
      </c>
      <c r="G95" s="326">
        <v>0</v>
      </c>
      <c r="H95" s="326">
        <v>0</v>
      </c>
      <c r="I95" s="326">
        <v>0</v>
      </c>
      <c r="J95" s="326">
        <v>0</v>
      </c>
      <c r="K95" s="326">
        <v>0</v>
      </c>
      <c r="L95" s="327">
        <v>0</v>
      </c>
      <c r="M95" s="322">
        <v>0</v>
      </c>
      <c r="N95" s="337"/>
      <c r="O95" s="337"/>
    </row>
    <row r="96" spans="1:15" ht="11.1" customHeight="1" x14ac:dyDescent="0.25">
      <c r="A96" s="315">
        <v>0</v>
      </c>
      <c r="B96" s="316"/>
      <c r="C96" s="325">
        <v>0</v>
      </c>
      <c r="D96" s="329">
        <v>0</v>
      </c>
      <c r="E96" s="326">
        <v>0</v>
      </c>
      <c r="F96" s="518">
        <v>0</v>
      </c>
      <c r="G96" s="326">
        <v>0</v>
      </c>
      <c r="H96" s="326">
        <v>0</v>
      </c>
      <c r="I96" s="326">
        <v>0</v>
      </c>
      <c r="J96" s="326">
        <v>0</v>
      </c>
      <c r="K96" s="326">
        <v>0</v>
      </c>
      <c r="L96" s="327">
        <v>0</v>
      </c>
      <c r="M96" s="322">
        <v>0</v>
      </c>
      <c r="N96" s="337"/>
      <c r="O96" s="337"/>
    </row>
    <row r="97" spans="1:15" ht="11.1" customHeight="1" x14ac:dyDescent="0.25">
      <c r="A97" s="315">
        <v>0</v>
      </c>
      <c r="B97" s="316"/>
      <c r="C97" s="325">
        <v>0</v>
      </c>
      <c r="D97" s="329">
        <v>0</v>
      </c>
      <c r="E97" s="326">
        <v>0</v>
      </c>
      <c r="F97" s="518">
        <v>0</v>
      </c>
      <c r="G97" s="326">
        <v>0</v>
      </c>
      <c r="H97" s="326">
        <v>0</v>
      </c>
      <c r="I97" s="326">
        <v>0</v>
      </c>
      <c r="J97" s="326">
        <v>0</v>
      </c>
      <c r="K97" s="326">
        <v>0</v>
      </c>
      <c r="L97" s="327">
        <v>0</v>
      </c>
      <c r="M97" s="322">
        <v>0</v>
      </c>
      <c r="N97" s="337"/>
      <c r="O97" s="337"/>
    </row>
    <row r="98" spans="1:15" ht="11.1" customHeight="1" x14ac:dyDescent="0.25">
      <c r="A98" s="315">
        <v>0</v>
      </c>
      <c r="B98" s="316"/>
      <c r="C98" s="325">
        <v>0</v>
      </c>
      <c r="D98" s="329">
        <v>0</v>
      </c>
      <c r="E98" s="326">
        <v>0</v>
      </c>
      <c r="F98" s="518">
        <v>0</v>
      </c>
      <c r="G98" s="326">
        <v>0</v>
      </c>
      <c r="H98" s="326">
        <v>0</v>
      </c>
      <c r="I98" s="326">
        <v>0</v>
      </c>
      <c r="J98" s="326">
        <v>0</v>
      </c>
      <c r="K98" s="326">
        <v>0</v>
      </c>
      <c r="L98" s="327">
        <v>0</v>
      </c>
      <c r="M98" s="322">
        <v>0</v>
      </c>
      <c r="N98" s="337"/>
      <c r="O98" s="337"/>
    </row>
    <row r="99" spans="1:15" ht="11.1" customHeight="1" x14ac:dyDescent="0.25">
      <c r="A99" s="315">
        <v>0</v>
      </c>
      <c r="B99" s="316"/>
      <c r="C99" s="325">
        <v>0</v>
      </c>
      <c r="D99" s="329">
        <v>0</v>
      </c>
      <c r="E99" s="326">
        <v>0</v>
      </c>
      <c r="F99" s="518">
        <v>0</v>
      </c>
      <c r="G99" s="326">
        <v>0</v>
      </c>
      <c r="H99" s="326">
        <v>0</v>
      </c>
      <c r="I99" s="326">
        <v>0</v>
      </c>
      <c r="J99" s="326">
        <v>0</v>
      </c>
      <c r="K99" s="326">
        <v>0</v>
      </c>
      <c r="L99" s="327">
        <v>0</v>
      </c>
      <c r="M99" s="322">
        <v>0</v>
      </c>
      <c r="N99" s="337"/>
      <c r="O99" s="337"/>
    </row>
    <row r="100" spans="1:15" ht="11.1" customHeight="1" x14ac:dyDescent="0.25">
      <c r="A100" s="315">
        <v>0</v>
      </c>
      <c r="B100" s="316"/>
      <c r="C100" s="325">
        <v>0</v>
      </c>
      <c r="D100" s="329">
        <v>0</v>
      </c>
      <c r="E100" s="326">
        <v>0</v>
      </c>
      <c r="F100" s="518">
        <v>0</v>
      </c>
      <c r="G100" s="326">
        <v>0</v>
      </c>
      <c r="H100" s="326">
        <v>0</v>
      </c>
      <c r="I100" s="326">
        <v>0</v>
      </c>
      <c r="J100" s="326">
        <v>0</v>
      </c>
      <c r="K100" s="326">
        <v>0</v>
      </c>
      <c r="L100" s="327">
        <v>0</v>
      </c>
      <c r="M100" s="322">
        <v>0</v>
      </c>
      <c r="N100" s="337"/>
      <c r="O100" s="337"/>
    </row>
    <row r="101" spans="1:15" ht="11.1" customHeight="1" x14ac:dyDescent="0.25">
      <c r="A101" s="315">
        <v>0</v>
      </c>
      <c r="B101" s="316"/>
      <c r="C101" s="325">
        <v>0</v>
      </c>
      <c r="D101" s="329">
        <v>0</v>
      </c>
      <c r="E101" s="326">
        <v>0</v>
      </c>
      <c r="F101" s="518">
        <v>0</v>
      </c>
      <c r="G101" s="326">
        <v>0</v>
      </c>
      <c r="H101" s="326">
        <v>0</v>
      </c>
      <c r="I101" s="326">
        <v>0</v>
      </c>
      <c r="J101" s="326">
        <v>0</v>
      </c>
      <c r="K101" s="326">
        <v>0</v>
      </c>
      <c r="L101" s="327">
        <v>0</v>
      </c>
      <c r="M101" s="322">
        <v>0</v>
      </c>
      <c r="N101" s="337"/>
      <c r="O101" s="337"/>
    </row>
    <row r="102" spans="1:15" ht="11.1" customHeight="1" x14ac:dyDescent="0.25">
      <c r="A102" s="315">
        <v>0</v>
      </c>
      <c r="B102" s="316"/>
      <c r="C102" s="325">
        <v>0</v>
      </c>
      <c r="D102" s="329">
        <v>0</v>
      </c>
      <c r="E102" s="326">
        <v>0</v>
      </c>
      <c r="F102" s="518">
        <v>0</v>
      </c>
      <c r="G102" s="326">
        <v>0</v>
      </c>
      <c r="H102" s="326">
        <v>0</v>
      </c>
      <c r="I102" s="326">
        <v>0</v>
      </c>
      <c r="J102" s="326">
        <v>0</v>
      </c>
      <c r="K102" s="326">
        <v>0</v>
      </c>
      <c r="L102" s="327">
        <v>0</v>
      </c>
      <c r="M102" s="322">
        <v>0</v>
      </c>
      <c r="N102" s="337"/>
      <c r="O102" s="337"/>
    </row>
    <row r="103" spans="1:15" ht="11.1" customHeight="1" x14ac:dyDescent="0.25">
      <c r="A103" s="315">
        <v>0</v>
      </c>
      <c r="B103" s="316"/>
      <c r="C103" s="325">
        <v>0</v>
      </c>
      <c r="D103" s="329">
        <v>0</v>
      </c>
      <c r="E103" s="326">
        <v>0</v>
      </c>
      <c r="F103" s="518">
        <v>0</v>
      </c>
      <c r="G103" s="326">
        <v>0</v>
      </c>
      <c r="H103" s="326">
        <v>0</v>
      </c>
      <c r="I103" s="326">
        <v>0</v>
      </c>
      <c r="J103" s="326">
        <v>0</v>
      </c>
      <c r="K103" s="326">
        <v>0</v>
      </c>
      <c r="L103" s="327">
        <v>0</v>
      </c>
      <c r="M103" s="322">
        <v>0</v>
      </c>
      <c r="N103" s="337"/>
      <c r="O103" s="337"/>
    </row>
    <row r="104" spans="1:15" ht="11.1" customHeight="1" x14ac:dyDescent="0.25">
      <c r="A104" s="315">
        <v>0</v>
      </c>
      <c r="B104" s="316"/>
      <c r="C104" s="325">
        <v>0</v>
      </c>
      <c r="D104" s="329">
        <v>0</v>
      </c>
      <c r="E104" s="326">
        <v>0</v>
      </c>
      <c r="F104" s="518">
        <v>0</v>
      </c>
      <c r="G104" s="326">
        <v>0</v>
      </c>
      <c r="H104" s="326">
        <v>0</v>
      </c>
      <c r="I104" s="326">
        <v>0</v>
      </c>
      <c r="J104" s="326">
        <v>0</v>
      </c>
      <c r="K104" s="326">
        <v>0</v>
      </c>
      <c r="L104" s="327">
        <v>0</v>
      </c>
      <c r="M104" s="322">
        <v>0</v>
      </c>
      <c r="N104" s="337"/>
      <c r="O104" s="337"/>
    </row>
    <row r="105" spans="1:15" ht="11.1" customHeight="1" x14ac:dyDescent="0.25">
      <c r="A105" s="315">
        <v>0</v>
      </c>
      <c r="B105" s="316"/>
      <c r="C105" s="325">
        <v>0</v>
      </c>
      <c r="D105" s="329">
        <v>0</v>
      </c>
      <c r="E105" s="326">
        <v>0</v>
      </c>
      <c r="F105" s="518">
        <v>0</v>
      </c>
      <c r="G105" s="326">
        <v>0</v>
      </c>
      <c r="H105" s="326">
        <v>0</v>
      </c>
      <c r="I105" s="326">
        <v>0</v>
      </c>
      <c r="J105" s="326">
        <v>0</v>
      </c>
      <c r="K105" s="326">
        <v>0</v>
      </c>
      <c r="L105" s="327">
        <v>0</v>
      </c>
      <c r="M105" s="322">
        <v>0</v>
      </c>
      <c r="N105" s="337"/>
      <c r="O105" s="337"/>
    </row>
    <row r="106" spans="1:15" ht="11.1" customHeight="1" x14ac:dyDescent="0.25">
      <c r="A106" s="315">
        <v>0</v>
      </c>
      <c r="B106" s="316"/>
      <c r="C106" s="325">
        <v>0</v>
      </c>
      <c r="D106" s="329">
        <v>0</v>
      </c>
      <c r="E106" s="326">
        <v>0</v>
      </c>
      <c r="F106" s="518">
        <v>0</v>
      </c>
      <c r="G106" s="326">
        <v>0</v>
      </c>
      <c r="H106" s="326">
        <v>0</v>
      </c>
      <c r="I106" s="326">
        <v>0</v>
      </c>
      <c r="J106" s="326">
        <v>0</v>
      </c>
      <c r="K106" s="326">
        <v>0</v>
      </c>
      <c r="L106" s="327">
        <v>0</v>
      </c>
      <c r="M106" s="322">
        <v>0</v>
      </c>
      <c r="N106" s="337"/>
      <c r="O106" s="337"/>
    </row>
    <row r="107" spans="1:15" ht="11.1" customHeight="1" x14ac:dyDescent="0.25">
      <c r="A107" s="315">
        <v>0</v>
      </c>
      <c r="B107" s="316"/>
      <c r="C107" s="325">
        <v>0</v>
      </c>
      <c r="D107" s="329">
        <v>0</v>
      </c>
      <c r="E107" s="326">
        <v>0</v>
      </c>
      <c r="F107" s="518">
        <v>0</v>
      </c>
      <c r="G107" s="326">
        <v>0</v>
      </c>
      <c r="H107" s="326">
        <v>0</v>
      </c>
      <c r="I107" s="326">
        <v>0</v>
      </c>
      <c r="J107" s="326">
        <v>0</v>
      </c>
      <c r="K107" s="326">
        <v>0</v>
      </c>
      <c r="L107" s="327">
        <v>0</v>
      </c>
      <c r="M107" s="322">
        <v>0</v>
      </c>
      <c r="N107" s="337"/>
      <c r="O107" s="337"/>
    </row>
    <row r="108" spans="1:15" ht="11.1" customHeight="1" x14ac:dyDescent="0.25">
      <c r="A108" s="315">
        <v>0</v>
      </c>
      <c r="B108" s="316"/>
      <c r="C108" s="325">
        <v>0</v>
      </c>
      <c r="D108" s="329">
        <v>0</v>
      </c>
      <c r="E108" s="326">
        <v>0</v>
      </c>
      <c r="F108" s="518">
        <v>0</v>
      </c>
      <c r="G108" s="326">
        <v>0</v>
      </c>
      <c r="H108" s="326">
        <v>0</v>
      </c>
      <c r="I108" s="326">
        <v>0</v>
      </c>
      <c r="J108" s="326">
        <v>0</v>
      </c>
      <c r="K108" s="326">
        <v>0</v>
      </c>
      <c r="L108" s="327">
        <v>0</v>
      </c>
      <c r="M108" s="322">
        <v>0</v>
      </c>
      <c r="N108" s="337"/>
      <c r="O108" s="337"/>
    </row>
    <row r="109" spans="1:15" ht="11.1" customHeight="1" x14ac:dyDescent="0.25">
      <c r="A109" s="315">
        <v>0</v>
      </c>
      <c r="B109" s="316"/>
      <c r="C109" s="325">
        <v>0</v>
      </c>
      <c r="D109" s="329">
        <v>0</v>
      </c>
      <c r="E109" s="326">
        <v>0</v>
      </c>
      <c r="F109" s="518">
        <v>0</v>
      </c>
      <c r="G109" s="326">
        <v>0</v>
      </c>
      <c r="H109" s="326">
        <v>0</v>
      </c>
      <c r="I109" s="326">
        <v>0</v>
      </c>
      <c r="J109" s="326">
        <v>0</v>
      </c>
      <c r="K109" s="326">
        <v>0</v>
      </c>
      <c r="L109" s="327">
        <v>0</v>
      </c>
      <c r="M109" s="322">
        <v>0</v>
      </c>
      <c r="N109" s="337"/>
      <c r="O109" s="337"/>
    </row>
    <row r="110" spans="1:15" ht="11.1" customHeight="1" x14ac:dyDescent="0.25">
      <c r="A110" s="315">
        <v>0</v>
      </c>
      <c r="B110" s="316"/>
      <c r="C110" s="325">
        <v>0</v>
      </c>
      <c r="D110" s="329">
        <v>0</v>
      </c>
      <c r="E110" s="326">
        <v>0</v>
      </c>
      <c r="F110" s="518">
        <v>0</v>
      </c>
      <c r="G110" s="326">
        <v>0</v>
      </c>
      <c r="H110" s="326">
        <v>0</v>
      </c>
      <c r="I110" s="326">
        <v>0</v>
      </c>
      <c r="J110" s="326">
        <v>0</v>
      </c>
      <c r="K110" s="326">
        <v>0</v>
      </c>
      <c r="L110" s="327">
        <v>0</v>
      </c>
      <c r="M110" s="322">
        <v>0</v>
      </c>
      <c r="N110" s="337"/>
      <c r="O110" s="337"/>
    </row>
    <row r="111" spans="1:15" ht="11.1" customHeight="1" x14ac:dyDescent="0.25">
      <c r="A111" s="315">
        <v>0</v>
      </c>
      <c r="B111" s="316"/>
      <c r="C111" s="325">
        <v>0</v>
      </c>
      <c r="D111" s="329">
        <v>0</v>
      </c>
      <c r="E111" s="326">
        <v>0</v>
      </c>
      <c r="F111" s="518">
        <v>0</v>
      </c>
      <c r="G111" s="326">
        <v>0</v>
      </c>
      <c r="H111" s="326">
        <v>0</v>
      </c>
      <c r="I111" s="326">
        <v>0</v>
      </c>
      <c r="J111" s="326">
        <v>0</v>
      </c>
      <c r="K111" s="326">
        <v>0</v>
      </c>
      <c r="L111" s="327">
        <v>0</v>
      </c>
      <c r="M111" s="322">
        <v>0</v>
      </c>
      <c r="N111" s="337"/>
      <c r="O111" s="337"/>
    </row>
    <row r="112" spans="1:15" ht="11.1" customHeight="1" x14ac:dyDescent="0.25">
      <c r="A112" s="315">
        <v>0</v>
      </c>
      <c r="B112" s="316"/>
      <c r="C112" s="325">
        <v>0</v>
      </c>
      <c r="D112" s="329">
        <v>0</v>
      </c>
      <c r="E112" s="326">
        <v>0</v>
      </c>
      <c r="F112" s="518">
        <v>0</v>
      </c>
      <c r="G112" s="326">
        <v>0</v>
      </c>
      <c r="H112" s="326">
        <v>0</v>
      </c>
      <c r="I112" s="326">
        <v>0</v>
      </c>
      <c r="J112" s="326">
        <v>0</v>
      </c>
      <c r="K112" s="326">
        <v>0</v>
      </c>
      <c r="L112" s="327">
        <v>0</v>
      </c>
      <c r="M112" s="322">
        <v>0</v>
      </c>
      <c r="N112" s="337"/>
      <c r="O112" s="337"/>
    </row>
    <row r="113" spans="1:15" ht="11.1" customHeight="1" x14ac:dyDescent="0.25">
      <c r="A113" s="315">
        <v>0</v>
      </c>
      <c r="B113" s="316"/>
      <c r="C113" s="325">
        <v>0</v>
      </c>
      <c r="D113" s="329">
        <v>0</v>
      </c>
      <c r="E113" s="326">
        <v>0</v>
      </c>
      <c r="F113" s="518">
        <v>0</v>
      </c>
      <c r="G113" s="326">
        <v>0</v>
      </c>
      <c r="H113" s="326">
        <v>0</v>
      </c>
      <c r="I113" s="326">
        <v>0</v>
      </c>
      <c r="J113" s="326">
        <v>0</v>
      </c>
      <c r="K113" s="326">
        <v>0</v>
      </c>
      <c r="L113" s="327">
        <v>0</v>
      </c>
      <c r="M113" s="322">
        <v>0</v>
      </c>
      <c r="N113" s="337"/>
      <c r="O113" s="337"/>
    </row>
    <row r="114" spans="1:15" ht="11.1" customHeight="1" x14ac:dyDescent="0.25">
      <c r="A114" s="315">
        <v>0</v>
      </c>
      <c r="B114" s="316"/>
      <c r="C114" s="325">
        <v>0</v>
      </c>
      <c r="D114" s="329">
        <v>0</v>
      </c>
      <c r="E114" s="326">
        <v>0</v>
      </c>
      <c r="F114" s="518">
        <v>0</v>
      </c>
      <c r="G114" s="326">
        <v>0</v>
      </c>
      <c r="H114" s="326">
        <v>0</v>
      </c>
      <c r="I114" s="326">
        <v>0</v>
      </c>
      <c r="J114" s="326">
        <v>0</v>
      </c>
      <c r="K114" s="326">
        <v>0</v>
      </c>
      <c r="L114" s="327">
        <v>0</v>
      </c>
      <c r="M114" s="322">
        <v>0</v>
      </c>
      <c r="N114" s="337"/>
      <c r="O114" s="337"/>
    </row>
    <row r="115" spans="1:15" ht="11.1" customHeight="1" x14ac:dyDescent="0.25">
      <c r="A115" s="315">
        <v>0</v>
      </c>
      <c r="B115" s="316"/>
      <c r="C115" s="325">
        <v>0</v>
      </c>
      <c r="D115" s="329">
        <v>0</v>
      </c>
      <c r="E115" s="326">
        <v>0</v>
      </c>
      <c r="F115" s="518">
        <v>0</v>
      </c>
      <c r="G115" s="326">
        <v>0</v>
      </c>
      <c r="H115" s="326">
        <v>0</v>
      </c>
      <c r="I115" s="326">
        <v>0</v>
      </c>
      <c r="J115" s="326">
        <v>0</v>
      </c>
      <c r="K115" s="326">
        <v>0</v>
      </c>
      <c r="L115" s="327">
        <v>0</v>
      </c>
      <c r="M115" s="322">
        <v>0</v>
      </c>
      <c r="N115" s="337"/>
      <c r="O115" s="337"/>
    </row>
    <row r="116" spans="1:15" ht="11.1" customHeight="1" x14ac:dyDescent="0.25">
      <c r="A116" s="315">
        <v>0</v>
      </c>
      <c r="B116" s="316"/>
      <c r="C116" s="325">
        <v>0</v>
      </c>
      <c r="D116" s="329">
        <v>0</v>
      </c>
      <c r="E116" s="326">
        <v>0</v>
      </c>
      <c r="F116" s="518">
        <v>0</v>
      </c>
      <c r="G116" s="326">
        <v>0</v>
      </c>
      <c r="H116" s="326">
        <v>0</v>
      </c>
      <c r="I116" s="326">
        <v>0</v>
      </c>
      <c r="J116" s="326">
        <v>0</v>
      </c>
      <c r="K116" s="326">
        <v>0</v>
      </c>
      <c r="L116" s="327">
        <v>0</v>
      </c>
      <c r="M116" s="322">
        <v>0</v>
      </c>
      <c r="N116" s="337"/>
      <c r="O116" s="337"/>
    </row>
    <row r="117" spans="1:15" ht="11.1" customHeight="1" x14ac:dyDescent="0.25">
      <c r="A117" s="315">
        <v>0</v>
      </c>
      <c r="B117" s="316"/>
      <c r="C117" s="325">
        <v>0</v>
      </c>
      <c r="D117" s="329">
        <v>0</v>
      </c>
      <c r="E117" s="326">
        <v>0</v>
      </c>
      <c r="F117" s="518">
        <v>0</v>
      </c>
      <c r="G117" s="326">
        <v>0</v>
      </c>
      <c r="H117" s="326">
        <v>0</v>
      </c>
      <c r="I117" s="326">
        <v>0</v>
      </c>
      <c r="J117" s="326">
        <v>0</v>
      </c>
      <c r="K117" s="326">
        <v>0</v>
      </c>
      <c r="L117" s="327">
        <v>0</v>
      </c>
      <c r="M117" s="322">
        <v>0</v>
      </c>
      <c r="N117" s="337"/>
      <c r="O117" s="337"/>
    </row>
    <row r="118" spans="1:15" ht="11.1" customHeight="1" x14ac:dyDescent="0.25">
      <c r="A118" s="315">
        <v>0</v>
      </c>
      <c r="B118" s="316"/>
      <c r="C118" s="325">
        <v>0</v>
      </c>
      <c r="D118" s="329">
        <v>0</v>
      </c>
      <c r="E118" s="326">
        <v>0</v>
      </c>
      <c r="F118" s="518">
        <v>0</v>
      </c>
      <c r="G118" s="326">
        <v>0</v>
      </c>
      <c r="H118" s="326">
        <v>0</v>
      </c>
      <c r="I118" s="326">
        <v>0</v>
      </c>
      <c r="J118" s="326">
        <v>0</v>
      </c>
      <c r="K118" s="326">
        <v>0</v>
      </c>
      <c r="L118" s="327">
        <v>0</v>
      </c>
      <c r="M118" s="322">
        <v>0</v>
      </c>
      <c r="N118" s="337"/>
      <c r="O118" s="337"/>
    </row>
    <row r="119" spans="1:15" ht="11.1" customHeight="1" x14ac:dyDescent="0.25">
      <c r="A119" s="315">
        <v>0</v>
      </c>
      <c r="B119" s="316"/>
      <c r="C119" s="325">
        <v>0</v>
      </c>
      <c r="D119" s="329">
        <v>0</v>
      </c>
      <c r="E119" s="326">
        <v>0</v>
      </c>
      <c r="F119" s="518">
        <v>0</v>
      </c>
      <c r="G119" s="326">
        <v>0</v>
      </c>
      <c r="H119" s="326">
        <v>0</v>
      </c>
      <c r="I119" s="326">
        <v>0</v>
      </c>
      <c r="J119" s="326">
        <v>0</v>
      </c>
      <c r="K119" s="326">
        <v>0</v>
      </c>
      <c r="L119" s="327">
        <v>0</v>
      </c>
      <c r="M119" s="322">
        <v>0</v>
      </c>
      <c r="N119" s="337"/>
      <c r="O119" s="337"/>
    </row>
    <row r="120" spans="1:15" ht="11.1" customHeight="1" thickBot="1" x14ac:dyDescent="0.3">
      <c r="A120" s="330">
        <v>0</v>
      </c>
      <c r="B120" s="331"/>
      <c r="C120" s="332">
        <v>0</v>
      </c>
      <c r="D120" s="376">
        <v>0</v>
      </c>
      <c r="E120" s="334">
        <v>0</v>
      </c>
      <c r="F120" s="530">
        <v>0</v>
      </c>
      <c r="G120" s="334">
        <v>0</v>
      </c>
      <c r="H120" s="334">
        <v>0</v>
      </c>
      <c r="I120" s="334">
        <v>0</v>
      </c>
      <c r="J120" s="334">
        <v>0</v>
      </c>
      <c r="K120" s="334">
        <v>0</v>
      </c>
      <c r="L120" s="335">
        <v>0</v>
      </c>
      <c r="M120" s="336">
        <v>0</v>
      </c>
      <c r="N120" s="337"/>
      <c r="O120" s="337"/>
    </row>
    <row r="121" spans="1:15" ht="20.100000000000001" customHeight="1" thickTop="1" x14ac:dyDescent="0.3">
      <c r="E121" s="623"/>
      <c r="F121" s="623"/>
      <c r="G121" s="771" t="s">
        <v>196</v>
      </c>
      <c r="H121" s="771"/>
      <c r="I121" s="771"/>
      <c r="J121" s="771"/>
      <c r="K121" s="771"/>
      <c r="L121" s="771"/>
      <c r="M121" s="771"/>
      <c r="N121" s="380"/>
      <c r="O121" s="380"/>
    </row>
    <row r="122" spans="1:15" ht="24.9" customHeight="1" x14ac:dyDescent="0.25">
      <c r="E122" s="624"/>
      <c r="F122" s="624"/>
      <c r="G122" s="772" t="s">
        <v>178</v>
      </c>
      <c r="H122" s="772"/>
      <c r="I122" s="772"/>
      <c r="J122" s="772"/>
      <c r="K122" s="772"/>
      <c r="L122" s="772"/>
      <c r="M122" s="772"/>
      <c r="N122" s="380"/>
      <c r="O122" s="380"/>
    </row>
    <row r="123" spans="1:15" ht="12.75" customHeight="1" x14ac:dyDescent="0.25">
      <c r="A123" s="3"/>
      <c r="B123" s="283" t="s">
        <v>11</v>
      </c>
      <c r="C123" s="284" t="s">
        <v>259</v>
      </c>
      <c r="D123" s="284"/>
      <c r="E123" s="285"/>
      <c r="F123" s="3"/>
      <c r="G123" s="3"/>
      <c r="H123" s="3"/>
      <c r="I123" s="286" t="s">
        <v>179</v>
      </c>
      <c r="J123" s="777">
        <v>39996</v>
      </c>
      <c r="K123" s="777"/>
      <c r="L123" s="287"/>
      <c r="N123" s="380"/>
      <c r="O123" s="380"/>
    </row>
    <row r="124" spans="1:15" ht="12.75" customHeight="1" x14ac:dyDescent="0.25">
      <c r="A124" s="3"/>
      <c r="B124" s="283" t="s">
        <v>8</v>
      </c>
      <c r="C124" s="284" t="s">
        <v>260</v>
      </c>
      <c r="D124" s="284"/>
      <c r="E124" s="3"/>
      <c r="F124" s="3"/>
      <c r="G124" s="3"/>
      <c r="H124" s="3"/>
      <c r="I124" s="288" t="s">
        <v>180</v>
      </c>
      <c r="J124" s="289">
        <v>16</v>
      </c>
      <c r="K124" s="3"/>
      <c r="M124" s="290"/>
      <c r="N124" s="380"/>
      <c r="O124" s="380"/>
    </row>
    <row r="125" spans="1:15" ht="12.75" customHeight="1" thickBot="1" x14ac:dyDescent="0.3">
      <c r="A125" s="3"/>
      <c r="B125" s="283" t="s">
        <v>181</v>
      </c>
      <c r="C125" s="291" t="s">
        <v>261</v>
      </c>
      <c r="D125" s="291"/>
      <c r="E125" s="283"/>
      <c r="F125" s="284"/>
      <c r="G125" s="3"/>
      <c r="H125" s="3"/>
      <c r="I125" s="283" t="s">
        <v>182</v>
      </c>
      <c r="J125" s="292">
        <v>3</v>
      </c>
      <c r="K125" s="3"/>
      <c r="M125" s="290"/>
      <c r="N125" s="380"/>
      <c r="O125" s="380"/>
    </row>
    <row r="126" spans="1:15" ht="12.75" customHeight="1" thickTop="1" x14ac:dyDescent="0.25">
      <c r="A126" s="293"/>
      <c r="B126" s="294"/>
      <c r="C126" s="295"/>
      <c r="D126" s="295"/>
      <c r="E126" s="784" t="s">
        <v>183</v>
      </c>
      <c r="F126" s="784"/>
      <c r="G126" s="784"/>
      <c r="H126" s="784"/>
      <c r="I126" s="784"/>
      <c r="J126" s="296"/>
      <c r="K126" s="297"/>
      <c r="L126" s="297"/>
      <c r="M126" s="298"/>
      <c r="N126" s="380"/>
      <c r="O126" s="380"/>
    </row>
    <row r="127" spans="1:15" ht="12.75" customHeight="1" x14ac:dyDescent="0.25">
      <c r="A127" s="299"/>
      <c r="B127" s="283"/>
      <c r="C127" s="291"/>
      <c r="D127" s="300" t="s">
        <v>184</v>
      </c>
      <c r="E127" s="617"/>
      <c r="F127" s="780">
        <v>10960.5</v>
      </c>
      <c r="G127" s="780"/>
      <c r="H127" s="618"/>
      <c r="I127" s="617"/>
      <c r="J127" s="300" t="s">
        <v>238</v>
      </c>
      <c r="K127" s="774">
        <v>0</v>
      </c>
      <c r="L127" s="775"/>
      <c r="M127" s="302"/>
      <c r="N127" s="380"/>
      <c r="O127" s="380"/>
    </row>
    <row r="128" spans="1:15" ht="12.75" customHeight="1" thickBot="1" x14ac:dyDescent="0.3">
      <c r="A128" s="303"/>
      <c r="B128" s="304"/>
      <c r="C128" s="304"/>
      <c r="D128" s="305" t="s">
        <v>185</v>
      </c>
      <c r="E128" s="304"/>
      <c r="F128" s="776">
        <v>160863.84</v>
      </c>
      <c r="G128" s="776"/>
      <c r="H128" s="304"/>
      <c r="I128" s="304"/>
      <c r="J128" s="304"/>
      <c r="K128" s="304"/>
      <c r="L128" s="304"/>
      <c r="M128" s="306"/>
      <c r="N128" s="380"/>
      <c r="O128" s="380"/>
    </row>
    <row r="129" spans="1:15" ht="12" customHeight="1" thickTop="1" x14ac:dyDescent="0.25">
      <c r="A129" s="307" t="s">
        <v>186</v>
      </c>
      <c r="B129" s="308"/>
      <c r="C129" s="309" t="s">
        <v>187</v>
      </c>
      <c r="D129" s="309" t="s">
        <v>161</v>
      </c>
      <c r="E129" s="309" t="s">
        <v>95</v>
      </c>
      <c r="F129" s="309" t="s">
        <v>138</v>
      </c>
      <c r="G129" s="309" t="s">
        <v>188</v>
      </c>
      <c r="H129" s="309" t="s">
        <v>138</v>
      </c>
      <c r="I129" s="309" t="s">
        <v>188</v>
      </c>
      <c r="J129" s="309" t="s">
        <v>138</v>
      </c>
      <c r="K129" s="309" t="s">
        <v>189</v>
      </c>
      <c r="L129" s="310" t="s">
        <v>100</v>
      </c>
      <c r="M129" s="516" t="s">
        <v>190</v>
      </c>
      <c r="N129" s="380"/>
      <c r="O129" s="380"/>
    </row>
    <row r="130" spans="1:15" ht="12" customHeight="1" thickBot="1" x14ac:dyDescent="0.3">
      <c r="A130" s="614"/>
      <c r="B130" s="615"/>
      <c r="C130" s="352" t="s">
        <v>49</v>
      </c>
      <c r="D130" s="352" t="s">
        <v>191</v>
      </c>
      <c r="E130" s="352" t="s">
        <v>195</v>
      </c>
      <c r="F130" s="352" t="s">
        <v>97</v>
      </c>
      <c r="G130" s="352" t="s">
        <v>97</v>
      </c>
      <c r="H130" s="352" t="s">
        <v>192</v>
      </c>
      <c r="I130" s="352" t="s">
        <v>192</v>
      </c>
      <c r="J130" s="352" t="s">
        <v>99</v>
      </c>
      <c r="K130" s="352" t="s">
        <v>99</v>
      </c>
      <c r="L130" s="353" t="s">
        <v>193</v>
      </c>
      <c r="M130" s="517" t="s">
        <v>159</v>
      </c>
      <c r="N130" s="380"/>
      <c r="O130" s="380"/>
    </row>
    <row r="131" spans="1:15" ht="11.1" customHeight="1" thickTop="1" x14ac:dyDescent="0.25">
      <c r="A131" s="354">
        <v>0</v>
      </c>
      <c r="B131" s="355"/>
      <c r="C131" s="317">
        <v>0</v>
      </c>
      <c r="D131" s="318">
        <v>0</v>
      </c>
      <c r="E131" s="319">
        <v>0</v>
      </c>
      <c r="F131" s="320">
        <v>0</v>
      </c>
      <c r="G131" s="319">
        <v>0</v>
      </c>
      <c r="H131" s="319">
        <v>0</v>
      </c>
      <c r="I131" s="319">
        <v>0</v>
      </c>
      <c r="J131" s="319">
        <v>0</v>
      </c>
      <c r="K131" s="319">
        <v>0</v>
      </c>
      <c r="L131" s="321">
        <v>0</v>
      </c>
      <c r="M131" s="356">
        <v>0</v>
      </c>
      <c r="N131" s="380"/>
      <c r="O131" s="380"/>
    </row>
    <row r="132" spans="1:15" ht="11.1" customHeight="1" x14ac:dyDescent="0.25">
      <c r="A132" s="315">
        <v>0</v>
      </c>
      <c r="B132" s="316"/>
      <c r="C132" s="325">
        <v>0</v>
      </c>
      <c r="D132" s="329">
        <v>0</v>
      </c>
      <c r="E132" s="326">
        <v>0</v>
      </c>
      <c r="F132" s="518">
        <v>0</v>
      </c>
      <c r="G132" s="326">
        <v>0</v>
      </c>
      <c r="H132" s="326">
        <v>0</v>
      </c>
      <c r="I132" s="326">
        <v>0</v>
      </c>
      <c r="J132" s="326">
        <v>0</v>
      </c>
      <c r="K132" s="326">
        <v>0</v>
      </c>
      <c r="L132" s="327">
        <v>0</v>
      </c>
      <c r="M132" s="322">
        <v>0</v>
      </c>
      <c r="N132" s="380"/>
      <c r="O132" s="380"/>
    </row>
    <row r="133" spans="1:15" ht="11.1" customHeight="1" x14ac:dyDescent="0.25">
      <c r="A133" s="315">
        <v>0</v>
      </c>
      <c r="B133" s="316"/>
      <c r="C133" s="325">
        <v>0</v>
      </c>
      <c r="D133" s="329">
        <v>0</v>
      </c>
      <c r="E133" s="326">
        <v>0</v>
      </c>
      <c r="F133" s="518">
        <v>0</v>
      </c>
      <c r="G133" s="326">
        <v>0</v>
      </c>
      <c r="H133" s="326">
        <v>0</v>
      </c>
      <c r="I133" s="326">
        <v>0</v>
      </c>
      <c r="J133" s="326">
        <v>0</v>
      </c>
      <c r="K133" s="326">
        <v>0</v>
      </c>
      <c r="L133" s="327">
        <v>0</v>
      </c>
      <c r="M133" s="322">
        <v>0</v>
      </c>
      <c r="N133" s="380"/>
      <c r="O133" s="380"/>
    </row>
    <row r="134" spans="1:15" ht="11.1" customHeight="1" x14ac:dyDescent="0.25">
      <c r="A134" s="315">
        <v>0</v>
      </c>
      <c r="B134" s="316"/>
      <c r="C134" s="325">
        <v>0</v>
      </c>
      <c r="D134" s="329">
        <v>0</v>
      </c>
      <c r="E134" s="326">
        <v>0</v>
      </c>
      <c r="F134" s="518">
        <v>0</v>
      </c>
      <c r="G134" s="326">
        <v>0</v>
      </c>
      <c r="H134" s="326">
        <v>0</v>
      </c>
      <c r="I134" s="326">
        <v>0</v>
      </c>
      <c r="J134" s="326">
        <v>0</v>
      </c>
      <c r="K134" s="326">
        <v>0</v>
      </c>
      <c r="L134" s="327">
        <v>0</v>
      </c>
      <c r="M134" s="322">
        <v>0</v>
      </c>
      <c r="N134" s="380"/>
      <c r="O134" s="380"/>
    </row>
    <row r="135" spans="1:15" ht="11.1" customHeight="1" x14ac:dyDescent="0.25">
      <c r="A135" s="315">
        <v>0</v>
      </c>
      <c r="B135" s="316"/>
      <c r="C135" s="325">
        <v>0</v>
      </c>
      <c r="D135" s="329">
        <v>0</v>
      </c>
      <c r="E135" s="326">
        <v>0</v>
      </c>
      <c r="F135" s="518">
        <v>0</v>
      </c>
      <c r="G135" s="326">
        <v>0</v>
      </c>
      <c r="H135" s="326">
        <v>0</v>
      </c>
      <c r="I135" s="326">
        <v>0</v>
      </c>
      <c r="J135" s="326">
        <v>0</v>
      </c>
      <c r="K135" s="326">
        <v>0</v>
      </c>
      <c r="L135" s="327">
        <v>0</v>
      </c>
      <c r="M135" s="322">
        <v>0</v>
      </c>
      <c r="N135" s="380"/>
      <c r="O135" s="380"/>
    </row>
    <row r="136" spans="1:15" ht="11.1" customHeight="1" x14ac:dyDescent="0.25">
      <c r="A136" s="315">
        <v>0</v>
      </c>
      <c r="B136" s="316"/>
      <c r="C136" s="325">
        <v>0</v>
      </c>
      <c r="D136" s="329">
        <v>0</v>
      </c>
      <c r="E136" s="326">
        <v>0</v>
      </c>
      <c r="F136" s="518">
        <v>0</v>
      </c>
      <c r="G136" s="326">
        <v>0</v>
      </c>
      <c r="H136" s="326">
        <v>0</v>
      </c>
      <c r="I136" s="326">
        <v>0</v>
      </c>
      <c r="J136" s="326">
        <v>0</v>
      </c>
      <c r="K136" s="326">
        <v>0</v>
      </c>
      <c r="L136" s="327">
        <v>0</v>
      </c>
      <c r="M136" s="322">
        <v>0</v>
      </c>
      <c r="N136" s="380"/>
      <c r="O136" s="380"/>
    </row>
    <row r="137" spans="1:15" ht="11.1" customHeight="1" x14ac:dyDescent="0.25">
      <c r="A137" s="315">
        <v>0</v>
      </c>
      <c r="B137" s="316"/>
      <c r="C137" s="325">
        <v>0</v>
      </c>
      <c r="D137" s="329">
        <v>0</v>
      </c>
      <c r="E137" s="326">
        <v>0</v>
      </c>
      <c r="F137" s="518">
        <v>0</v>
      </c>
      <c r="G137" s="326">
        <v>0</v>
      </c>
      <c r="H137" s="326">
        <v>0</v>
      </c>
      <c r="I137" s="326">
        <v>0</v>
      </c>
      <c r="J137" s="326">
        <v>0</v>
      </c>
      <c r="K137" s="326">
        <v>0</v>
      </c>
      <c r="L137" s="327">
        <v>0</v>
      </c>
      <c r="M137" s="322">
        <v>0</v>
      </c>
      <c r="N137" s="380"/>
      <c r="O137" s="380"/>
    </row>
    <row r="138" spans="1:15" ht="11.1" customHeight="1" x14ac:dyDescent="0.25">
      <c r="A138" s="315">
        <v>0</v>
      </c>
      <c r="B138" s="316"/>
      <c r="C138" s="325">
        <v>0</v>
      </c>
      <c r="D138" s="329">
        <v>0</v>
      </c>
      <c r="E138" s="326">
        <v>0</v>
      </c>
      <c r="F138" s="518">
        <v>0</v>
      </c>
      <c r="G138" s="326">
        <v>0</v>
      </c>
      <c r="H138" s="326">
        <v>0</v>
      </c>
      <c r="I138" s="326">
        <v>0</v>
      </c>
      <c r="J138" s="326">
        <v>0</v>
      </c>
      <c r="K138" s="326">
        <v>0</v>
      </c>
      <c r="L138" s="327">
        <v>0</v>
      </c>
      <c r="M138" s="322">
        <v>0</v>
      </c>
      <c r="N138" s="380"/>
      <c r="O138" s="380"/>
    </row>
    <row r="139" spans="1:15" ht="11.1" customHeight="1" x14ac:dyDescent="0.25">
      <c r="A139" s="315">
        <v>0</v>
      </c>
      <c r="B139" s="316"/>
      <c r="C139" s="325">
        <v>0</v>
      </c>
      <c r="D139" s="329">
        <v>0</v>
      </c>
      <c r="E139" s="326">
        <v>0</v>
      </c>
      <c r="F139" s="518">
        <v>0</v>
      </c>
      <c r="G139" s="326">
        <v>0</v>
      </c>
      <c r="H139" s="326">
        <v>0</v>
      </c>
      <c r="I139" s="326">
        <v>0</v>
      </c>
      <c r="J139" s="326">
        <v>0</v>
      </c>
      <c r="K139" s="326">
        <v>0</v>
      </c>
      <c r="L139" s="327">
        <v>0</v>
      </c>
      <c r="M139" s="322">
        <v>0</v>
      </c>
      <c r="N139" s="380"/>
      <c r="O139" s="380"/>
    </row>
    <row r="140" spans="1:15" ht="11.1" customHeight="1" x14ac:dyDescent="0.25">
      <c r="A140" s="315">
        <v>0</v>
      </c>
      <c r="B140" s="316"/>
      <c r="C140" s="325">
        <v>0</v>
      </c>
      <c r="D140" s="329">
        <v>0</v>
      </c>
      <c r="E140" s="326">
        <v>0</v>
      </c>
      <c r="F140" s="518">
        <v>0</v>
      </c>
      <c r="G140" s="326">
        <v>0</v>
      </c>
      <c r="H140" s="326">
        <v>0</v>
      </c>
      <c r="I140" s="326">
        <v>0</v>
      </c>
      <c r="J140" s="326">
        <v>0</v>
      </c>
      <c r="K140" s="326">
        <v>0</v>
      </c>
      <c r="L140" s="327">
        <v>0</v>
      </c>
      <c r="M140" s="322">
        <v>0</v>
      </c>
      <c r="N140" s="380"/>
      <c r="O140" s="380"/>
    </row>
    <row r="141" spans="1:15" ht="11.1" customHeight="1" x14ac:dyDescent="0.25">
      <c r="A141" s="315">
        <v>0</v>
      </c>
      <c r="B141" s="316"/>
      <c r="C141" s="325">
        <v>0</v>
      </c>
      <c r="D141" s="329">
        <v>0</v>
      </c>
      <c r="E141" s="326">
        <v>0</v>
      </c>
      <c r="F141" s="518">
        <v>0</v>
      </c>
      <c r="G141" s="326">
        <v>0</v>
      </c>
      <c r="H141" s="326">
        <v>0</v>
      </c>
      <c r="I141" s="326">
        <v>0</v>
      </c>
      <c r="J141" s="326">
        <v>0</v>
      </c>
      <c r="K141" s="326">
        <v>0</v>
      </c>
      <c r="L141" s="327">
        <v>0</v>
      </c>
      <c r="M141" s="322">
        <v>0</v>
      </c>
      <c r="N141" s="380"/>
      <c r="O141" s="380"/>
    </row>
    <row r="142" spans="1:15" ht="11.1" customHeight="1" x14ac:dyDescent="0.25">
      <c r="A142" s="315">
        <v>0</v>
      </c>
      <c r="B142" s="316"/>
      <c r="C142" s="325">
        <v>0</v>
      </c>
      <c r="D142" s="329">
        <v>0</v>
      </c>
      <c r="E142" s="326">
        <v>0</v>
      </c>
      <c r="F142" s="518">
        <v>0</v>
      </c>
      <c r="G142" s="326">
        <v>0</v>
      </c>
      <c r="H142" s="326">
        <v>0</v>
      </c>
      <c r="I142" s="326">
        <v>0</v>
      </c>
      <c r="J142" s="326">
        <v>0</v>
      </c>
      <c r="K142" s="326">
        <v>0</v>
      </c>
      <c r="L142" s="327">
        <v>0</v>
      </c>
      <c r="M142" s="322">
        <v>0</v>
      </c>
      <c r="N142" s="380"/>
      <c r="O142" s="380"/>
    </row>
    <row r="143" spans="1:15" ht="11.1" customHeight="1" x14ac:dyDescent="0.25">
      <c r="A143" s="315">
        <v>0</v>
      </c>
      <c r="B143" s="316"/>
      <c r="C143" s="325">
        <v>0</v>
      </c>
      <c r="D143" s="329">
        <v>0</v>
      </c>
      <c r="E143" s="326">
        <v>0</v>
      </c>
      <c r="F143" s="518">
        <v>0</v>
      </c>
      <c r="G143" s="326">
        <v>0</v>
      </c>
      <c r="H143" s="326">
        <v>0</v>
      </c>
      <c r="I143" s="326">
        <v>0</v>
      </c>
      <c r="J143" s="326">
        <v>0</v>
      </c>
      <c r="K143" s="326">
        <v>0</v>
      </c>
      <c r="L143" s="327">
        <v>0</v>
      </c>
      <c r="M143" s="322">
        <v>0</v>
      </c>
      <c r="N143" s="380"/>
      <c r="O143" s="380"/>
    </row>
    <row r="144" spans="1:15" ht="11.1" customHeight="1" x14ac:dyDescent="0.25">
      <c r="A144" s="315">
        <v>0</v>
      </c>
      <c r="B144" s="316"/>
      <c r="C144" s="325">
        <v>0</v>
      </c>
      <c r="D144" s="329">
        <v>0</v>
      </c>
      <c r="E144" s="326">
        <v>0</v>
      </c>
      <c r="F144" s="518">
        <v>0</v>
      </c>
      <c r="G144" s="326">
        <v>0</v>
      </c>
      <c r="H144" s="326">
        <v>0</v>
      </c>
      <c r="I144" s="326">
        <v>0</v>
      </c>
      <c r="J144" s="326">
        <v>0</v>
      </c>
      <c r="K144" s="326">
        <v>0</v>
      </c>
      <c r="L144" s="327">
        <v>0</v>
      </c>
      <c r="M144" s="322">
        <v>0</v>
      </c>
      <c r="N144" s="380"/>
      <c r="O144" s="380"/>
    </row>
    <row r="145" spans="1:15" ht="11.1" customHeight="1" x14ac:dyDescent="0.25">
      <c r="A145" s="315">
        <v>0</v>
      </c>
      <c r="B145" s="316"/>
      <c r="C145" s="325">
        <v>0</v>
      </c>
      <c r="D145" s="329">
        <v>0</v>
      </c>
      <c r="E145" s="326">
        <v>0</v>
      </c>
      <c r="F145" s="518">
        <v>0</v>
      </c>
      <c r="G145" s="326">
        <v>0</v>
      </c>
      <c r="H145" s="326">
        <v>0</v>
      </c>
      <c r="I145" s="326">
        <v>0</v>
      </c>
      <c r="J145" s="326">
        <v>0</v>
      </c>
      <c r="K145" s="326">
        <v>0</v>
      </c>
      <c r="L145" s="327">
        <v>0</v>
      </c>
      <c r="M145" s="322">
        <v>0</v>
      </c>
      <c r="N145" s="380"/>
      <c r="O145" s="380"/>
    </row>
    <row r="146" spans="1:15" ht="11.1" customHeight="1" x14ac:dyDescent="0.25">
      <c r="A146" s="315">
        <v>0</v>
      </c>
      <c r="B146" s="316"/>
      <c r="C146" s="325">
        <v>0</v>
      </c>
      <c r="D146" s="329">
        <v>0</v>
      </c>
      <c r="E146" s="326">
        <v>0</v>
      </c>
      <c r="F146" s="518">
        <v>0</v>
      </c>
      <c r="G146" s="326">
        <v>0</v>
      </c>
      <c r="H146" s="326">
        <v>0</v>
      </c>
      <c r="I146" s="326">
        <v>0</v>
      </c>
      <c r="J146" s="326">
        <v>0</v>
      </c>
      <c r="K146" s="326">
        <v>0</v>
      </c>
      <c r="L146" s="327">
        <v>0</v>
      </c>
      <c r="M146" s="322">
        <v>0</v>
      </c>
      <c r="N146" s="380"/>
      <c r="O146" s="380"/>
    </row>
    <row r="147" spans="1:15" ht="11.1" customHeight="1" x14ac:dyDescent="0.25">
      <c r="A147" s="315">
        <v>0</v>
      </c>
      <c r="B147" s="316"/>
      <c r="C147" s="325">
        <v>0</v>
      </c>
      <c r="D147" s="329">
        <v>0</v>
      </c>
      <c r="E147" s="326">
        <v>0</v>
      </c>
      <c r="F147" s="518">
        <v>0</v>
      </c>
      <c r="G147" s="326">
        <v>0</v>
      </c>
      <c r="H147" s="326">
        <v>0</v>
      </c>
      <c r="I147" s="326">
        <v>0</v>
      </c>
      <c r="J147" s="326">
        <v>0</v>
      </c>
      <c r="K147" s="326">
        <v>0</v>
      </c>
      <c r="L147" s="327">
        <v>0</v>
      </c>
      <c r="M147" s="322">
        <v>0</v>
      </c>
      <c r="N147" s="380"/>
      <c r="O147" s="380"/>
    </row>
    <row r="148" spans="1:15" ht="11.1" customHeight="1" x14ac:dyDescent="0.25">
      <c r="A148" s="315">
        <v>0</v>
      </c>
      <c r="B148" s="316"/>
      <c r="C148" s="325">
        <v>0</v>
      </c>
      <c r="D148" s="329">
        <v>0</v>
      </c>
      <c r="E148" s="326">
        <v>0</v>
      </c>
      <c r="F148" s="518">
        <v>0</v>
      </c>
      <c r="G148" s="326">
        <v>0</v>
      </c>
      <c r="H148" s="326">
        <v>0</v>
      </c>
      <c r="I148" s="326">
        <v>0</v>
      </c>
      <c r="J148" s="326">
        <v>0</v>
      </c>
      <c r="K148" s="326">
        <v>0</v>
      </c>
      <c r="L148" s="327">
        <v>0</v>
      </c>
      <c r="M148" s="322">
        <v>0</v>
      </c>
      <c r="N148" s="380"/>
      <c r="O148" s="380"/>
    </row>
    <row r="149" spans="1:15" ht="11.1" customHeight="1" x14ac:dyDescent="0.25">
      <c r="A149" s="315">
        <v>0</v>
      </c>
      <c r="B149" s="316"/>
      <c r="C149" s="325">
        <v>0</v>
      </c>
      <c r="D149" s="329">
        <v>0</v>
      </c>
      <c r="E149" s="326">
        <v>0</v>
      </c>
      <c r="F149" s="518">
        <v>0</v>
      </c>
      <c r="G149" s="326">
        <v>0</v>
      </c>
      <c r="H149" s="326">
        <v>0</v>
      </c>
      <c r="I149" s="326">
        <v>0</v>
      </c>
      <c r="J149" s="326">
        <v>0</v>
      </c>
      <c r="K149" s="326">
        <v>0</v>
      </c>
      <c r="L149" s="327">
        <v>0</v>
      </c>
      <c r="M149" s="322">
        <v>0</v>
      </c>
      <c r="N149" s="380"/>
      <c r="O149" s="380"/>
    </row>
    <row r="150" spans="1:15" ht="11.1" customHeight="1" x14ac:dyDescent="0.25">
      <c r="A150" s="315">
        <v>0</v>
      </c>
      <c r="B150" s="316"/>
      <c r="C150" s="325">
        <v>0</v>
      </c>
      <c r="D150" s="329">
        <v>0</v>
      </c>
      <c r="E150" s="326">
        <v>0</v>
      </c>
      <c r="F150" s="518">
        <v>0</v>
      </c>
      <c r="G150" s="326">
        <v>0</v>
      </c>
      <c r="H150" s="326">
        <v>0</v>
      </c>
      <c r="I150" s="326">
        <v>0</v>
      </c>
      <c r="J150" s="326">
        <v>0</v>
      </c>
      <c r="K150" s="326">
        <v>0</v>
      </c>
      <c r="L150" s="327">
        <v>0</v>
      </c>
      <c r="M150" s="322">
        <v>0</v>
      </c>
      <c r="N150" s="380"/>
      <c r="O150" s="380"/>
    </row>
    <row r="151" spans="1:15" ht="11.1" customHeight="1" x14ac:dyDescent="0.25">
      <c r="A151" s="315">
        <v>0</v>
      </c>
      <c r="B151" s="316"/>
      <c r="C151" s="325">
        <v>0</v>
      </c>
      <c r="D151" s="329">
        <v>0</v>
      </c>
      <c r="E151" s="326">
        <v>0</v>
      </c>
      <c r="F151" s="518">
        <v>0</v>
      </c>
      <c r="G151" s="326">
        <v>0</v>
      </c>
      <c r="H151" s="326">
        <v>0</v>
      </c>
      <c r="I151" s="326">
        <v>0</v>
      </c>
      <c r="J151" s="326">
        <v>0</v>
      </c>
      <c r="K151" s="326">
        <v>0</v>
      </c>
      <c r="L151" s="327">
        <v>0</v>
      </c>
      <c r="M151" s="322">
        <v>0</v>
      </c>
      <c r="N151" s="380"/>
      <c r="O151" s="380"/>
    </row>
    <row r="152" spans="1:15" ht="11.1" customHeight="1" x14ac:dyDescent="0.25">
      <c r="A152" s="315">
        <v>0</v>
      </c>
      <c r="B152" s="316"/>
      <c r="C152" s="325">
        <v>0</v>
      </c>
      <c r="D152" s="329">
        <v>0</v>
      </c>
      <c r="E152" s="326">
        <v>0</v>
      </c>
      <c r="F152" s="518">
        <v>0</v>
      </c>
      <c r="G152" s="326">
        <v>0</v>
      </c>
      <c r="H152" s="326">
        <v>0</v>
      </c>
      <c r="I152" s="326">
        <v>0</v>
      </c>
      <c r="J152" s="326">
        <v>0</v>
      </c>
      <c r="K152" s="326">
        <v>0</v>
      </c>
      <c r="L152" s="327">
        <v>0</v>
      </c>
      <c r="M152" s="322">
        <v>0</v>
      </c>
      <c r="N152" s="380"/>
      <c r="O152" s="380"/>
    </row>
    <row r="153" spans="1:15" ht="11.1" customHeight="1" x14ac:dyDescent="0.25">
      <c r="A153" s="315">
        <v>0</v>
      </c>
      <c r="B153" s="316"/>
      <c r="C153" s="325">
        <v>0</v>
      </c>
      <c r="D153" s="329">
        <v>0</v>
      </c>
      <c r="E153" s="326">
        <v>0</v>
      </c>
      <c r="F153" s="518">
        <v>0</v>
      </c>
      <c r="G153" s="326">
        <v>0</v>
      </c>
      <c r="H153" s="326">
        <v>0</v>
      </c>
      <c r="I153" s="326">
        <v>0</v>
      </c>
      <c r="J153" s="326">
        <v>0</v>
      </c>
      <c r="K153" s="326">
        <v>0</v>
      </c>
      <c r="L153" s="327">
        <v>0</v>
      </c>
      <c r="M153" s="322">
        <v>0</v>
      </c>
      <c r="N153" s="380"/>
      <c r="O153" s="380"/>
    </row>
    <row r="154" spans="1:15" ht="11.1" customHeight="1" x14ac:dyDescent="0.25">
      <c r="A154" s="315">
        <v>0</v>
      </c>
      <c r="B154" s="316"/>
      <c r="C154" s="325">
        <v>0</v>
      </c>
      <c r="D154" s="329">
        <v>0</v>
      </c>
      <c r="E154" s="326">
        <v>0</v>
      </c>
      <c r="F154" s="518">
        <v>0</v>
      </c>
      <c r="G154" s="326">
        <v>0</v>
      </c>
      <c r="H154" s="326">
        <v>0</v>
      </c>
      <c r="I154" s="326">
        <v>0</v>
      </c>
      <c r="J154" s="326">
        <v>0</v>
      </c>
      <c r="K154" s="326">
        <v>0</v>
      </c>
      <c r="L154" s="327">
        <v>0</v>
      </c>
      <c r="M154" s="322">
        <v>0</v>
      </c>
      <c r="N154" s="380"/>
      <c r="O154" s="380"/>
    </row>
    <row r="155" spans="1:15" ht="11.1" customHeight="1" x14ac:dyDescent="0.25">
      <c r="A155" s="315">
        <v>0</v>
      </c>
      <c r="B155" s="316"/>
      <c r="C155" s="325">
        <v>0</v>
      </c>
      <c r="D155" s="329">
        <v>0</v>
      </c>
      <c r="E155" s="326">
        <v>0</v>
      </c>
      <c r="F155" s="518">
        <v>0</v>
      </c>
      <c r="G155" s="326">
        <v>0</v>
      </c>
      <c r="H155" s="326">
        <v>0</v>
      </c>
      <c r="I155" s="326">
        <v>0</v>
      </c>
      <c r="J155" s="326">
        <v>0</v>
      </c>
      <c r="K155" s="326">
        <v>0</v>
      </c>
      <c r="L155" s="327">
        <v>0</v>
      </c>
      <c r="M155" s="322">
        <v>0</v>
      </c>
      <c r="N155" s="380"/>
      <c r="O155" s="380"/>
    </row>
    <row r="156" spans="1:15" ht="11.1" customHeight="1" x14ac:dyDescent="0.25">
      <c r="A156" s="315">
        <v>0</v>
      </c>
      <c r="B156" s="316"/>
      <c r="C156" s="325">
        <v>0</v>
      </c>
      <c r="D156" s="329">
        <v>0</v>
      </c>
      <c r="E156" s="326">
        <v>0</v>
      </c>
      <c r="F156" s="518">
        <v>0</v>
      </c>
      <c r="G156" s="326">
        <v>0</v>
      </c>
      <c r="H156" s="326">
        <v>0</v>
      </c>
      <c r="I156" s="326">
        <v>0</v>
      </c>
      <c r="J156" s="326">
        <v>0</v>
      </c>
      <c r="K156" s="326">
        <v>0</v>
      </c>
      <c r="L156" s="327">
        <v>0</v>
      </c>
      <c r="M156" s="322">
        <v>0</v>
      </c>
      <c r="N156" s="380"/>
      <c r="O156" s="380"/>
    </row>
    <row r="157" spans="1:15" ht="11.1" customHeight="1" x14ac:dyDescent="0.25">
      <c r="A157" s="315">
        <v>0</v>
      </c>
      <c r="B157" s="316"/>
      <c r="C157" s="325">
        <v>0</v>
      </c>
      <c r="D157" s="329">
        <v>0</v>
      </c>
      <c r="E157" s="326">
        <v>0</v>
      </c>
      <c r="F157" s="518">
        <v>0</v>
      </c>
      <c r="G157" s="326">
        <v>0</v>
      </c>
      <c r="H157" s="326">
        <v>0</v>
      </c>
      <c r="I157" s="326">
        <v>0</v>
      </c>
      <c r="J157" s="326">
        <v>0</v>
      </c>
      <c r="K157" s="326">
        <v>0</v>
      </c>
      <c r="L157" s="327">
        <v>0</v>
      </c>
      <c r="M157" s="322">
        <v>0</v>
      </c>
    </row>
    <row r="158" spans="1:15" ht="11.1" customHeight="1" x14ac:dyDescent="0.25">
      <c r="A158" s="315">
        <v>0</v>
      </c>
      <c r="B158" s="316"/>
      <c r="C158" s="325">
        <v>0</v>
      </c>
      <c r="D158" s="329">
        <v>0</v>
      </c>
      <c r="E158" s="326">
        <v>0</v>
      </c>
      <c r="F158" s="518">
        <v>0</v>
      </c>
      <c r="G158" s="326">
        <v>0</v>
      </c>
      <c r="H158" s="326">
        <v>0</v>
      </c>
      <c r="I158" s="326">
        <v>0</v>
      </c>
      <c r="J158" s="326">
        <v>0</v>
      </c>
      <c r="K158" s="326">
        <v>0</v>
      </c>
      <c r="L158" s="327">
        <v>0</v>
      </c>
      <c r="M158" s="322">
        <v>0</v>
      </c>
    </row>
    <row r="159" spans="1:15" ht="11.1" customHeight="1" x14ac:dyDescent="0.25">
      <c r="A159" s="315">
        <v>0</v>
      </c>
      <c r="B159" s="316"/>
      <c r="C159" s="325">
        <v>0</v>
      </c>
      <c r="D159" s="329">
        <v>0</v>
      </c>
      <c r="E159" s="326">
        <v>0</v>
      </c>
      <c r="F159" s="518">
        <v>0</v>
      </c>
      <c r="G159" s="326">
        <v>0</v>
      </c>
      <c r="H159" s="326">
        <v>0</v>
      </c>
      <c r="I159" s="326">
        <v>0</v>
      </c>
      <c r="J159" s="326">
        <v>0</v>
      </c>
      <c r="K159" s="326">
        <v>0</v>
      </c>
      <c r="L159" s="327">
        <v>0</v>
      </c>
      <c r="M159" s="322">
        <v>0</v>
      </c>
    </row>
    <row r="160" spans="1:15" ht="11.1" customHeight="1" x14ac:dyDescent="0.25">
      <c r="A160" s="315">
        <v>0</v>
      </c>
      <c r="B160" s="316"/>
      <c r="C160" s="325">
        <v>0</v>
      </c>
      <c r="D160" s="329">
        <v>0</v>
      </c>
      <c r="E160" s="326">
        <v>0</v>
      </c>
      <c r="F160" s="518">
        <v>0</v>
      </c>
      <c r="G160" s="326">
        <v>0</v>
      </c>
      <c r="H160" s="326">
        <v>0</v>
      </c>
      <c r="I160" s="326">
        <v>0</v>
      </c>
      <c r="J160" s="326">
        <v>0</v>
      </c>
      <c r="K160" s="326">
        <v>0</v>
      </c>
      <c r="L160" s="327">
        <v>0</v>
      </c>
      <c r="M160" s="322">
        <v>0</v>
      </c>
    </row>
    <row r="161" spans="1:13" ht="11.1" customHeight="1" x14ac:dyDescent="0.25">
      <c r="A161" s="315">
        <v>0</v>
      </c>
      <c r="B161" s="316"/>
      <c r="C161" s="325">
        <v>0</v>
      </c>
      <c r="D161" s="329">
        <v>0</v>
      </c>
      <c r="E161" s="326">
        <v>0</v>
      </c>
      <c r="F161" s="518">
        <v>0</v>
      </c>
      <c r="G161" s="326">
        <v>0</v>
      </c>
      <c r="H161" s="326">
        <v>0</v>
      </c>
      <c r="I161" s="326">
        <v>0</v>
      </c>
      <c r="J161" s="326">
        <v>0</v>
      </c>
      <c r="K161" s="326">
        <v>0</v>
      </c>
      <c r="L161" s="327">
        <v>0</v>
      </c>
      <c r="M161" s="322">
        <v>0</v>
      </c>
    </row>
    <row r="162" spans="1:13" ht="11.1" customHeight="1" x14ac:dyDescent="0.25">
      <c r="A162" s="315">
        <v>0</v>
      </c>
      <c r="B162" s="316"/>
      <c r="C162" s="325">
        <v>0</v>
      </c>
      <c r="D162" s="329">
        <v>0</v>
      </c>
      <c r="E162" s="326">
        <v>0</v>
      </c>
      <c r="F162" s="518">
        <v>0</v>
      </c>
      <c r="G162" s="326">
        <v>0</v>
      </c>
      <c r="H162" s="326">
        <v>0</v>
      </c>
      <c r="I162" s="326">
        <v>0</v>
      </c>
      <c r="J162" s="326">
        <v>0</v>
      </c>
      <c r="K162" s="326">
        <v>0</v>
      </c>
      <c r="L162" s="327">
        <v>0</v>
      </c>
      <c r="M162" s="322">
        <v>0</v>
      </c>
    </row>
    <row r="163" spans="1:13" ht="11.1" customHeight="1" x14ac:dyDescent="0.25">
      <c r="A163" s="315">
        <v>0</v>
      </c>
      <c r="B163" s="316"/>
      <c r="C163" s="325">
        <v>0</v>
      </c>
      <c r="D163" s="329">
        <v>0</v>
      </c>
      <c r="E163" s="326">
        <v>0</v>
      </c>
      <c r="F163" s="518">
        <v>0</v>
      </c>
      <c r="G163" s="326">
        <v>0</v>
      </c>
      <c r="H163" s="326">
        <v>0</v>
      </c>
      <c r="I163" s="326">
        <v>0</v>
      </c>
      <c r="J163" s="326">
        <v>0</v>
      </c>
      <c r="K163" s="326">
        <v>0</v>
      </c>
      <c r="L163" s="327">
        <v>0</v>
      </c>
      <c r="M163" s="322">
        <v>0</v>
      </c>
    </row>
    <row r="164" spans="1:13" ht="11.1" customHeight="1" x14ac:dyDescent="0.25">
      <c r="A164" s="315">
        <v>0</v>
      </c>
      <c r="B164" s="316"/>
      <c r="C164" s="325">
        <v>0</v>
      </c>
      <c r="D164" s="329">
        <v>0</v>
      </c>
      <c r="E164" s="326">
        <v>0</v>
      </c>
      <c r="F164" s="518">
        <v>0</v>
      </c>
      <c r="G164" s="326">
        <v>0</v>
      </c>
      <c r="H164" s="326">
        <v>0</v>
      </c>
      <c r="I164" s="326">
        <v>0</v>
      </c>
      <c r="J164" s="326">
        <v>0</v>
      </c>
      <c r="K164" s="326">
        <v>0</v>
      </c>
      <c r="L164" s="327">
        <v>0</v>
      </c>
      <c r="M164" s="322">
        <v>0</v>
      </c>
    </row>
    <row r="165" spans="1:13" ht="11.1" customHeight="1" x14ac:dyDescent="0.25">
      <c r="A165" s="315">
        <v>0</v>
      </c>
      <c r="B165" s="316"/>
      <c r="C165" s="325">
        <v>0</v>
      </c>
      <c r="D165" s="329">
        <v>0</v>
      </c>
      <c r="E165" s="326">
        <v>0</v>
      </c>
      <c r="F165" s="518">
        <v>0</v>
      </c>
      <c r="G165" s="326">
        <v>0</v>
      </c>
      <c r="H165" s="326">
        <v>0</v>
      </c>
      <c r="I165" s="326">
        <v>0</v>
      </c>
      <c r="J165" s="326">
        <v>0</v>
      </c>
      <c r="K165" s="326">
        <v>0</v>
      </c>
      <c r="L165" s="327">
        <v>0</v>
      </c>
      <c r="M165" s="322">
        <v>0</v>
      </c>
    </row>
    <row r="166" spans="1:13" ht="11.1" customHeight="1" x14ac:dyDescent="0.25">
      <c r="A166" s="315">
        <v>0</v>
      </c>
      <c r="B166" s="316"/>
      <c r="C166" s="325">
        <v>0</v>
      </c>
      <c r="D166" s="329">
        <v>0</v>
      </c>
      <c r="E166" s="326">
        <v>0</v>
      </c>
      <c r="F166" s="518">
        <v>0</v>
      </c>
      <c r="G166" s="326">
        <v>0</v>
      </c>
      <c r="H166" s="326">
        <v>0</v>
      </c>
      <c r="I166" s="326">
        <v>0</v>
      </c>
      <c r="J166" s="326">
        <v>0</v>
      </c>
      <c r="K166" s="326">
        <v>0</v>
      </c>
      <c r="L166" s="327">
        <v>0</v>
      </c>
      <c r="M166" s="322">
        <v>0</v>
      </c>
    </row>
    <row r="167" spans="1:13" ht="11.1" customHeight="1" x14ac:dyDescent="0.25">
      <c r="A167" s="315">
        <v>0</v>
      </c>
      <c r="B167" s="316"/>
      <c r="C167" s="325">
        <v>0</v>
      </c>
      <c r="D167" s="329">
        <v>0</v>
      </c>
      <c r="E167" s="326">
        <v>0</v>
      </c>
      <c r="F167" s="518">
        <v>0</v>
      </c>
      <c r="G167" s="326">
        <v>0</v>
      </c>
      <c r="H167" s="326">
        <v>0</v>
      </c>
      <c r="I167" s="326">
        <v>0</v>
      </c>
      <c r="J167" s="326">
        <v>0</v>
      </c>
      <c r="K167" s="326">
        <v>0</v>
      </c>
      <c r="L167" s="327">
        <v>0</v>
      </c>
      <c r="M167" s="322">
        <v>0</v>
      </c>
    </row>
    <row r="168" spans="1:13" ht="11.1" customHeight="1" x14ac:dyDescent="0.25">
      <c r="A168" s="315">
        <v>0</v>
      </c>
      <c r="B168" s="316"/>
      <c r="C168" s="325">
        <v>0</v>
      </c>
      <c r="D168" s="329">
        <v>0</v>
      </c>
      <c r="E168" s="326">
        <v>0</v>
      </c>
      <c r="F168" s="518">
        <v>0</v>
      </c>
      <c r="G168" s="326">
        <v>0</v>
      </c>
      <c r="H168" s="326">
        <v>0</v>
      </c>
      <c r="I168" s="326">
        <v>0</v>
      </c>
      <c r="J168" s="326">
        <v>0</v>
      </c>
      <c r="K168" s="326">
        <v>0</v>
      </c>
      <c r="L168" s="327">
        <v>0</v>
      </c>
      <c r="M168" s="322">
        <v>0</v>
      </c>
    </row>
    <row r="169" spans="1:13" ht="11.1" customHeight="1" x14ac:dyDescent="0.25">
      <c r="A169" s="315">
        <v>0</v>
      </c>
      <c r="B169" s="316"/>
      <c r="C169" s="325">
        <v>0</v>
      </c>
      <c r="D169" s="329">
        <v>0</v>
      </c>
      <c r="E169" s="326">
        <v>0</v>
      </c>
      <c r="F169" s="518">
        <v>0</v>
      </c>
      <c r="G169" s="326">
        <v>0</v>
      </c>
      <c r="H169" s="326">
        <v>0</v>
      </c>
      <c r="I169" s="326">
        <v>0</v>
      </c>
      <c r="J169" s="326">
        <v>0</v>
      </c>
      <c r="K169" s="326">
        <v>0</v>
      </c>
      <c r="L169" s="327">
        <v>0</v>
      </c>
      <c r="M169" s="322">
        <v>0</v>
      </c>
    </row>
    <row r="170" spans="1:13" ht="11.1" customHeight="1" x14ac:dyDescent="0.25">
      <c r="A170" s="315">
        <v>0</v>
      </c>
      <c r="B170" s="316"/>
      <c r="C170" s="325">
        <v>0</v>
      </c>
      <c r="D170" s="329">
        <v>0</v>
      </c>
      <c r="E170" s="326">
        <v>0</v>
      </c>
      <c r="F170" s="518">
        <v>0</v>
      </c>
      <c r="G170" s="326">
        <v>0</v>
      </c>
      <c r="H170" s="326">
        <v>0</v>
      </c>
      <c r="I170" s="326">
        <v>0</v>
      </c>
      <c r="J170" s="326">
        <v>0</v>
      </c>
      <c r="K170" s="326">
        <v>0</v>
      </c>
      <c r="L170" s="327">
        <v>0</v>
      </c>
      <c r="M170" s="322">
        <v>0</v>
      </c>
    </row>
    <row r="171" spans="1:13" ht="11.1" customHeight="1" x14ac:dyDescent="0.25">
      <c r="A171" s="315"/>
      <c r="B171" s="316"/>
      <c r="C171" s="317"/>
      <c r="D171" s="318"/>
      <c r="E171" s="319"/>
      <c r="F171" s="320"/>
      <c r="G171" s="319"/>
      <c r="H171" s="319"/>
      <c r="I171" s="319"/>
      <c r="J171" s="319"/>
      <c r="K171" s="319"/>
      <c r="L171" s="321"/>
      <c r="M171" s="322"/>
    </row>
    <row r="172" spans="1:13" ht="11.1" customHeight="1" x14ac:dyDescent="0.25">
      <c r="A172" s="315"/>
      <c r="B172" s="316"/>
      <c r="C172" s="317"/>
      <c r="D172" s="318"/>
      <c r="E172" s="319"/>
      <c r="F172" s="320"/>
      <c r="G172" s="319"/>
      <c r="H172" s="319"/>
      <c r="I172" s="319"/>
      <c r="J172" s="319"/>
      <c r="K172" s="319"/>
      <c r="L172" s="321"/>
      <c r="M172" s="322"/>
    </row>
    <row r="173" spans="1:13" ht="11.1" customHeight="1" x14ac:dyDescent="0.25">
      <c r="A173" s="315"/>
      <c r="B173" s="316"/>
      <c r="C173" s="317"/>
      <c r="D173" s="318"/>
      <c r="E173" s="319"/>
      <c r="F173" s="320"/>
      <c r="G173" s="319"/>
      <c r="H173" s="319"/>
      <c r="I173" s="319"/>
      <c r="J173" s="319"/>
      <c r="K173" s="319"/>
      <c r="L173" s="321"/>
      <c r="M173" s="322"/>
    </row>
    <row r="174" spans="1:13" ht="11.1" customHeight="1" x14ac:dyDescent="0.25">
      <c r="A174" s="315"/>
      <c r="B174" s="316"/>
      <c r="C174" s="317"/>
      <c r="D174" s="318"/>
      <c r="E174" s="319"/>
      <c r="F174" s="320"/>
      <c r="G174" s="319"/>
      <c r="H174" s="319"/>
      <c r="I174" s="319"/>
      <c r="J174" s="319"/>
      <c r="K174" s="319"/>
      <c r="L174" s="321"/>
      <c r="M174" s="322"/>
    </row>
    <row r="175" spans="1:13" ht="11.1" customHeight="1" x14ac:dyDescent="0.25">
      <c r="A175" s="315"/>
      <c r="B175" s="316"/>
      <c r="C175" s="317"/>
      <c r="D175" s="318"/>
      <c r="E175" s="319"/>
      <c r="F175" s="320"/>
      <c r="G175" s="319"/>
      <c r="H175" s="319"/>
      <c r="I175" s="319"/>
      <c r="J175" s="319"/>
      <c r="K175" s="319"/>
      <c r="L175" s="321"/>
      <c r="M175" s="322"/>
    </row>
    <row r="176" spans="1:13" ht="11.1" customHeight="1" x14ac:dyDescent="0.25">
      <c r="A176" s="315"/>
      <c r="B176" s="316"/>
      <c r="C176" s="317"/>
      <c r="D176" s="318"/>
      <c r="E176" s="319"/>
      <c r="F176" s="320"/>
      <c r="G176" s="319"/>
      <c r="H176" s="319"/>
      <c r="I176" s="319"/>
      <c r="J176" s="319"/>
      <c r="K176" s="319"/>
      <c r="L176" s="321"/>
      <c r="M176" s="322"/>
    </row>
    <row r="177" spans="1:13" ht="11.1" customHeight="1" x14ac:dyDescent="0.25">
      <c r="A177" s="315"/>
      <c r="B177" s="316"/>
      <c r="C177" s="317"/>
      <c r="D177" s="318"/>
      <c r="E177" s="319"/>
      <c r="F177" s="320"/>
      <c r="G177" s="319"/>
      <c r="H177" s="319"/>
      <c r="I177" s="319"/>
      <c r="J177" s="319"/>
      <c r="K177" s="319"/>
      <c r="L177" s="321"/>
      <c r="M177" s="322"/>
    </row>
    <row r="178" spans="1:13" ht="11.1" customHeight="1" x14ac:dyDescent="0.25">
      <c r="A178" s="315"/>
      <c r="B178" s="316"/>
      <c r="C178" s="317"/>
      <c r="D178" s="318"/>
      <c r="E178" s="319"/>
      <c r="F178" s="320"/>
      <c r="G178" s="319"/>
      <c r="H178" s="319"/>
      <c r="I178" s="319"/>
      <c r="J178" s="319"/>
      <c r="K178" s="319"/>
      <c r="L178" s="321"/>
      <c r="M178" s="322"/>
    </row>
    <row r="179" spans="1:13" ht="11.1" customHeight="1" x14ac:dyDescent="0.25">
      <c r="A179" s="315"/>
      <c r="B179" s="316"/>
      <c r="C179" s="317"/>
      <c r="D179" s="318"/>
      <c r="E179" s="319"/>
      <c r="F179" s="320"/>
      <c r="G179" s="319"/>
      <c r="H179" s="319"/>
      <c r="I179" s="319"/>
      <c r="J179" s="319"/>
      <c r="K179" s="319"/>
      <c r="L179" s="321"/>
      <c r="M179" s="322"/>
    </row>
    <row r="180" spans="1:13" ht="11.1" customHeight="1" thickBot="1" x14ac:dyDescent="0.3">
      <c r="A180" s="330"/>
      <c r="B180" s="331"/>
      <c r="C180" s="519"/>
      <c r="D180" s="333"/>
      <c r="E180" s="520"/>
      <c r="F180" s="521"/>
      <c r="G180" s="520"/>
      <c r="H180" s="520"/>
      <c r="I180" s="520"/>
      <c r="J180" s="520"/>
      <c r="K180" s="520"/>
      <c r="L180" s="522"/>
      <c r="M180" s="336"/>
    </row>
    <row r="181" spans="1:13" ht="13.8" thickTop="1" x14ac:dyDescent="0.25"/>
  </sheetData>
  <mergeCells count="21">
    <mergeCell ref="F127:G127"/>
    <mergeCell ref="K127:L127"/>
    <mergeCell ref="F128:G128"/>
    <mergeCell ref="J123:K123"/>
    <mergeCell ref="E126:I126"/>
    <mergeCell ref="G122:M122"/>
    <mergeCell ref="J3:K3"/>
    <mergeCell ref="E6:I6"/>
    <mergeCell ref="F7:G7"/>
    <mergeCell ref="F8:G8"/>
    <mergeCell ref="K7:L7"/>
    <mergeCell ref="G61:M61"/>
    <mergeCell ref="G62:M62"/>
    <mergeCell ref="G121:M121"/>
    <mergeCell ref="G1:M1"/>
    <mergeCell ref="F67:G67"/>
    <mergeCell ref="F68:G68"/>
    <mergeCell ref="J63:K63"/>
    <mergeCell ref="E66:I66"/>
    <mergeCell ref="K67:L67"/>
    <mergeCell ref="G2:M2"/>
  </mergeCells>
  <phoneticPr fontId="0" type="noConversion"/>
  <printOptions horizontalCentered="1" verticalCentered="1"/>
  <pageMargins left="0.75" right="0.75" top="1" bottom="0.5" header="0.511811023622047" footer="0.511811023622047"/>
  <pageSetup scale="91" orientation="portrait" r:id="rId1"/>
  <headerFooter alignWithMargins="0"/>
  <rowBreaks count="2" manualBreakCount="2">
    <brk id="60" max="12" man="1"/>
    <brk id="120" max="12"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3"/>
  <dimension ref="A1:AC181"/>
  <sheetViews>
    <sheetView showGridLines="0" showZeros="0" zoomScaleNormal="100" workbookViewId="0"/>
  </sheetViews>
  <sheetFormatPr baseColWidth="10" defaultColWidth="8.88671875" defaultRowHeight="13.2" x14ac:dyDescent="0.25"/>
  <cols>
    <col min="1" max="1" width="13.44140625" customWidth="1"/>
    <col min="2" max="2" width="7.5546875" customWidth="1"/>
    <col min="3" max="3" width="8.6640625" customWidth="1"/>
    <col min="4" max="4" width="7.5546875" customWidth="1"/>
    <col min="5" max="5" width="7.109375" customWidth="1"/>
    <col min="6" max="6" width="5.33203125" customWidth="1"/>
    <col min="7" max="7" width="6.6640625" customWidth="1"/>
    <col min="8" max="8" width="5.33203125" customWidth="1"/>
    <col min="9" max="10" width="6.6640625" customWidth="1"/>
    <col min="11" max="11" width="8.6640625" customWidth="1"/>
    <col min="12" max="12" width="6.6640625" customWidth="1"/>
    <col min="14" max="14" width="6.5546875" hidden="1" customWidth="1"/>
    <col min="15" max="15" width="0.109375" hidden="1" customWidth="1"/>
  </cols>
  <sheetData>
    <row r="1" spans="1:19" ht="20.100000000000001" customHeight="1" x14ac:dyDescent="0.3">
      <c r="E1" s="623"/>
      <c r="F1" s="623"/>
      <c r="G1" s="771" t="s">
        <v>196</v>
      </c>
      <c r="H1" s="771"/>
      <c r="I1" s="771"/>
      <c r="J1" s="771"/>
      <c r="K1" s="771"/>
      <c r="L1" s="771"/>
      <c r="M1" s="771"/>
    </row>
    <row r="2" spans="1:19" ht="24.9" customHeight="1" x14ac:dyDescent="0.25">
      <c r="E2" s="624"/>
      <c r="F2" s="624"/>
      <c r="G2" s="772" t="s">
        <v>178</v>
      </c>
      <c r="H2" s="772"/>
      <c r="I2" s="772"/>
      <c r="J2" s="772"/>
      <c r="K2" s="772"/>
      <c r="L2" s="772"/>
      <c r="M2" s="772"/>
    </row>
    <row r="3" spans="1:19" ht="12.75" customHeight="1" x14ac:dyDescent="0.25">
      <c r="A3" s="3"/>
      <c r="B3" s="283" t="s">
        <v>11</v>
      </c>
      <c r="C3" s="284" t="str">
        <f>[1]IFE!$B$6</f>
        <v>Cardon IV</v>
      </c>
      <c r="D3" s="284"/>
      <c r="E3" s="285"/>
      <c r="F3" s="3"/>
      <c r="G3" s="3"/>
      <c r="H3" s="3"/>
      <c r="I3" s="286" t="s">
        <v>179</v>
      </c>
      <c r="J3" s="777">
        <f>[1]IFE!$B$119</f>
        <v>39989</v>
      </c>
      <c r="K3" s="777"/>
      <c r="L3" s="287"/>
    </row>
    <row r="4" spans="1:19" ht="12.75" customHeight="1" x14ac:dyDescent="0.25">
      <c r="A4" s="3"/>
      <c r="B4" s="283" t="s">
        <v>8</v>
      </c>
      <c r="C4" s="284" t="str">
        <f>[1]IFE!$B$8</f>
        <v>Perla-1X</v>
      </c>
      <c r="D4" s="284"/>
      <c r="E4" s="3"/>
      <c r="F4" s="3"/>
      <c r="G4" s="3"/>
      <c r="H4" s="3"/>
      <c r="I4" s="288" t="s">
        <v>180</v>
      </c>
      <c r="J4" s="289">
        <f>[1]IFE!$B$166</f>
        <v>9</v>
      </c>
      <c r="K4" s="3"/>
      <c r="M4" s="290"/>
    </row>
    <row r="5" spans="1:19" ht="12.75" customHeight="1" thickBot="1" x14ac:dyDescent="0.3">
      <c r="A5" s="3"/>
      <c r="B5" s="283" t="s">
        <v>181</v>
      </c>
      <c r="C5" s="291" t="str">
        <f>[1]IFE!$B$11</f>
        <v>Offshore</v>
      </c>
      <c r="D5" s="291"/>
      <c r="E5" s="283"/>
      <c r="F5" s="284"/>
      <c r="G5" s="3"/>
      <c r="H5" s="3"/>
      <c r="I5" s="283" t="s">
        <v>182</v>
      </c>
      <c r="J5" s="292">
        <v>1</v>
      </c>
      <c r="K5" s="3"/>
      <c r="M5" s="290"/>
    </row>
    <row r="6" spans="1:19" ht="12.75" customHeight="1" thickTop="1" x14ac:dyDescent="0.25">
      <c r="A6" s="293"/>
      <c r="B6" s="294"/>
      <c r="C6" s="295"/>
      <c r="D6" s="295"/>
      <c r="E6" s="784" t="s">
        <v>183</v>
      </c>
      <c r="F6" s="784"/>
      <c r="G6" s="784"/>
      <c r="H6" s="784"/>
      <c r="I6" s="784"/>
      <c r="J6" s="296"/>
      <c r="K6" s="297"/>
      <c r="L6" s="297"/>
      <c r="M6" s="298"/>
    </row>
    <row r="7" spans="1:19" ht="12.75" customHeight="1" x14ac:dyDescent="0.25">
      <c r="A7" s="299"/>
      <c r="B7" s="283"/>
      <c r="C7" s="291"/>
      <c r="D7" s="300" t="s">
        <v>184</v>
      </c>
      <c r="E7" s="283"/>
      <c r="F7" s="780">
        <f>[1]IFE!$K$7+[1]IFE!$K$8+[1]IFE!$O$7+[1]IFE!$O$8+[1]IFE!$L$7+[1]IFE!$P$7</f>
        <v>5749.32</v>
      </c>
      <c r="G7" s="780"/>
      <c r="H7" s="301"/>
      <c r="I7" s="283"/>
      <c r="J7" s="300" t="s">
        <v>238</v>
      </c>
      <c r="K7" s="774">
        <f>F7-R15</f>
        <v>0</v>
      </c>
      <c r="L7" s="775"/>
      <c r="M7" s="302"/>
    </row>
    <row r="8" spans="1:19" ht="12.75" customHeight="1" thickBot="1" x14ac:dyDescent="0.3">
      <c r="A8" s="303"/>
      <c r="B8" s="304"/>
      <c r="C8" s="304"/>
      <c r="D8" s="305" t="s">
        <v>185</v>
      </c>
      <c r="E8" s="304"/>
      <c r="F8" s="776">
        <f>[1]IFE!$K$20+[1]IFE!$K$21+[1]IFE!$O$20+[1]IFE!$O$21+[1]IFE!$L$20+[1]IFE!$P$20</f>
        <v>89939.53</v>
      </c>
      <c r="G8" s="776"/>
      <c r="H8" s="304"/>
      <c r="I8" s="304"/>
      <c r="J8" s="304"/>
      <c r="K8" s="304"/>
      <c r="L8" s="304"/>
      <c r="M8" s="306"/>
    </row>
    <row r="9" spans="1:19" ht="12" customHeight="1" thickTop="1" x14ac:dyDescent="0.25">
      <c r="A9" s="307" t="s">
        <v>186</v>
      </c>
      <c r="B9" s="308"/>
      <c r="C9" s="309" t="s">
        <v>187</v>
      </c>
      <c r="D9" s="309" t="s">
        <v>161</v>
      </c>
      <c r="E9" s="309" t="s">
        <v>95</v>
      </c>
      <c r="F9" s="309" t="s">
        <v>138</v>
      </c>
      <c r="G9" s="309" t="s">
        <v>188</v>
      </c>
      <c r="H9" s="309" t="s">
        <v>138</v>
      </c>
      <c r="I9" s="309" t="s">
        <v>188</v>
      </c>
      <c r="J9" s="309" t="s">
        <v>138</v>
      </c>
      <c r="K9" s="309" t="s">
        <v>189</v>
      </c>
      <c r="L9" s="310" t="s">
        <v>100</v>
      </c>
      <c r="M9" s="516" t="s">
        <v>190</v>
      </c>
      <c r="N9" s="311" t="s">
        <v>138</v>
      </c>
      <c r="O9" s="312" t="s">
        <v>189</v>
      </c>
    </row>
    <row r="10" spans="1:19" ht="12" customHeight="1" thickBot="1" x14ac:dyDescent="0.3">
      <c r="A10" s="614"/>
      <c r="B10" s="615"/>
      <c r="C10" s="352" t="s">
        <v>49</v>
      </c>
      <c r="D10" s="352" t="s">
        <v>191</v>
      </c>
      <c r="E10" s="352" t="s">
        <v>195</v>
      </c>
      <c r="F10" s="352" t="s">
        <v>97</v>
      </c>
      <c r="G10" s="352" t="s">
        <v>97</v>
      </c>
      <c r="H10" s="352" t="s">
        <v>192</v>
      </c>
      <c r="I10" s="352" t="s">
        <v>192</v>
      </c>
      <c r="J10" s="352" t="s">
        <v>99</v>
      </c>
      <c r="K10" s="352" t="s">
        <v>99</v>
      </c>
      <c r="L10" s="353" t="s">
        <v>193</v>
      </c>
      <c r="M10" s="517" t="s">
        <v>159</v>
      </c>
      <c r="N10" s="313" t="s">
        <v>159</v>
      </c>
      <c r="O10" s="314" t="s">
        <v>159</v>
      </c>
    </row>
    <row r="11" spans="1:19" ht="11.1" customHeight="1" thickTop="1" x14ac:dyDescent="0.25">
      <c r="A11" s="523" t="str">
        <f>[1]IFE!$A4701</f>
        <v>BENTONITE WYOMING</v>
      </c>
      <c r="B11" s="524"/>
      <c r="C11" s="525" t="str">
        <f>[1]IFE!$B4701</f>
        <v>100. LB BG</v>
      </c>
      <c r="D11" s="526">
        <f>[1]IFE!$J4701</f>
        <v>28.72</v>
      </c>
      <c r="E11" s="515">
        <f>[1]IFE!$D4701</f>
        <v>58</v>
      </c>
      <c r="F11" s="527">
        <f>[1]IFE!$C4701+[1]IFE!$P4701</f>
        <v>1</v>
      </c>
      <c r="G11" s="515">
        <f>[1]IFE!$H4701+[1]IFE!$R4701</f>
        <v>443</v>
      </c>
      <c r="H11" s="515">
        <f>[1]IFE!$E4701</f>
        <v>0</v>
      </c>
      <c r="I11" s="515">
        <f>[1]IFE!$K4701</f>
        <v>500</v>
      </c>
      <c r="J11" s="515">
        <f>[1]IFE!$F4701</f>
        <v>0</v>
      </c>
      <c r="K11" s="515">
        <f>[1]IFE!$L4701</f>
        <v>0</v>
      </c>
      <c r="L11" s="528">
        <f>[1]IFE!$G4701</f>
        <v>57</v>
      </c>
      <c r="M11" s="529">
        <f>F11*[1]IFE!$J4701</f>
        <v>28.72</v>
      </c>
      <c r="N11" s="323">
        <f>[1]IFE!$AO$48*F11</f>
        <v>18.45</v>
      </c>
      <c r="O11" s="324">
        <f>[1]IFE!$AO$48*G11</f>
        <v>8173.3499999999995</v>
      </c>
    </row>
    <row r="12" spans="1:19" ht="11.1" customHeight="1" x14ac:dyDescent="0.25">
      <c r="A12" s="354" t="str">
        <f>[1]IFE!$A4702</f>
        <v>CALCIUM CARBONATE #6</v>
      </c>
      <c r="B12" s="355"/>
      <c r="C12" s="317" t="str">
        <f>[1]IFE!$B4702</f>
        <v>50. LB BG</v>
      </c>
      <c r="D12" s="318">
        <f>[1]IFE!$J4702</f>
        <v>18.45</v>
      </c>
      <c r="E12" s="319">
        <f>[1]IFE!$D4702</f>
        <v>112</v>
      </c>
      <c r="F12" s="320">
        <f>[1]IFE!$C4702+[1]IFE!$P4702</f>
        <v>0</v>
      </c>
      <c r="G12" s="319">
        <f>[1]IFE!$H4702+[1]IFE!$R4702</f>
        <v>0</v>
      </c>
      <c r="H12" s="319">
        <f>[1]IFE!$E4702</f>
        <v>0</v>
      </c>
      <c r="I12" s="319">
        <f>[1]IFE!$K4702</f>
        <v>112</v>
      </c>
      <c r="J12" s="319">
        <f>[1]IFE!$F4702</f>
        <v>0</v>
      </c>
      <c r="K12" s="319">
        <f>[1]IFE!$L4702</f>
        <v>0</v>
      </c>
      <c r="L12" s="321">
        <f>[1]IFE!$G4702</f>
        <v>112</v>
      </c>
      <c r="M12" s="322">
        <f>F12*[1]IFE!$J4702</f>
        <v>0</v>
      </c>
      <c r="N12" s="323"/>
      <c r="O12" s="324"/>
    </row>
    <row r="13" spans="1:19" ht="11.1" customHeight="1" x14ac:dyDescent="0.25">
      <c r="A13" s="354" t="str">
        <f>[1]IFE!$A4703</f>
        <v>CAUSTIC POTASH (POTASSIUM HYDROXIDE - KOH)</v>
      </c>
      <c r="B13" s="355"/>
      <c r="C13" s="317" t="str">
        <f>[1]IFE!$B4703</f>
        <v>25. KG BG</v>
      </c>
      <c r="D13" s="318">
        <f>[1]IFE!$J4703</f>
        <v>113.32</v>
      </c>
      <c r="E13" s="319">
        <f>[1]IFE!$D4703</f>
        <v>14</v>
      </c>
      <c r="F13" s="320">
        <f>[1]IFE!$C4703+[1]IFE!$P4703</f>
        <v>0</v>
      </c>
      <c r="G13" s="319">
        <f>[1]IFE!$H4703+[1]IFE!$R4703</f>
        <v>0</v>
      </c>
      <c r="H13" s="319">
        <f>[1]IFE!$E4703</f>
        <v>0</v>
      </c>
      <c r="I13" s="319">
        <f>[1]IFE!$K4703</f>
        <v>14</v>
      </c>
      <c r="J13" s="319">
        <f>[1]IFE!$F4703</f>
        <v>0</v>
      </c>
      <c r="K13" s="319">
        <f>[1]IFE!$L4703</f>
        <v>0</v>
      </c>
      <c r="L13" s="321">
        <f>[1]IFE!$G4703</f>
        <v>14</v>
      </c>
      <c r="M13" s="322">
        <f>F13*[1]IFE!$J4703</f>
        <v>0</v>
      </c>
      <c r="N13" s="323"/>
      <c r="O13" s="324"/>
    </row>
    <row r="14" spans="1:19" ht="11.1" customHeight="1" x14ac:dyDescent="0.25">
      <c r="A14" s="354" t="str">
        <f>[1]IFE!$A4704</f>
        <v>CAUSTIC SODA</v>
      </c>
      <c r="B14" s="355"/>
      <c r="C14" s="317" t="str">
        <f>[1]IFE!$B4704</f>
        <v>25. KG BG</v>
      </c>
      <c r="D14" s="318">
        <f>[1]IFE!$J4704</f>
        <v>64.72</v>
      </c>
      <c r="E14" s="319">
        <f>[1]IFE!$D4704</f>
        <v>21</v>
      </c>
      <c r="F14" s="320">
        <f>[1]IFE!$C4704+[1]IFE!$P4704</f>
        <v>0</v>
      </c>
      <c r="G14" s="319">
        <f>[1]IFE!$H4704+[1]IFE!$R4704</f>
        <v>9</v>
      </c>
      <c r="H14" s="319">
        <f>[1]IFE!$E4704</f>
        <v>0</v>
      </c>
      <c r="I14" s="319">
        <f>[1]IFE!$K4704</f>
        <v>30</v>
      </c>
      <c r="J14" s="319">
        <f>[1]IFE!$F4704</f>
        <v>0</v>
      </c>
      <c r="K14" s="319">
        <f>[1]IFE!$L4704</f>
        <v>0</v>
      </c>
      <c r="L14" s="321">
        <f>[1]IFE!$G4704</f>
        <v>21</v>
      </c>
      <c r="M14" s="322">
        <f>F14*[1]IFE!$J4704</f>
        <v>0</v>
      </c>
      <c r="N14" s="323"/>
      <c r="O14" s="324"/>
      <c r="Q14" s="781" t="s">
        <v>241</v>
      </c>
      <c r="R14" s="782"/>
      <c r="S14" s="783"/>
    </row>
    <row r="15" spans="1:19" ht="11.1" customHeight="1" x14ac:dyDescent="0.25">
      <c r="A15" s="354" t="str">
        <f>[1]IFE!$A4705</f>
        <v>CELL-U-SEAL FINE</v>
      </c>
      <c r="B15" s="355"/>
      <c r="C15" s="317" t="str">
        <f>[1]IFE!$B4705</f>
        <v>30. LB BG</v>
      </c>
      <c r="D15" s="318">
        <f>[1]IFE!$J4705</f>
        <v>69.67</v>
      </c>
      <c r="E15" s="319">
        <f>[1]IFE!$D4705</f>
        <v>114</v>
      </c>
      <c r="F15" s="320">
        <f>[1]IFE!$C4705+[1]IFE!$P4705</f>
        <v>0</v>
      </c>
      <c r="G15" s="319">
        <f>[1]IFE!$H4705+[1]IFE!$R4705</f>
        <v>0</v>
      </c>
      <c r="H15" s="319">
        <f>[1]IFE!$E4705</f>
        <v>0</v>
      </c>
      <c r="I15" s="319">
        <f>[1]IFE!$K4705</f>
        <v>114</v>
      </c>
      <c r="J15" s="319">
        <f>[1]IFE!$F4705</f>
        <v>0</v>
      </c>
      <c r="K15" s="319">
        <f>[1]IFE!$L4705</f>
        <v>0</v>
      </c>
      <c r="L15" s="321">
        <f>[1]IFE!$G4705</f>
        <v>114</v>
      </c>
      <c r="M15" s="322">
        <f>F15*[1]IFE!$J4705</f>
        <v>0</v>
      </c>
      <c r="N15" s="323"/>
      <c r="O15" s="324"/>
      <c r="R15" s="531">
        <f>SUMPRODUCT([1]IFE!$C$4701:$C$4840,[1]IFE!$N$4701:$N$4840)+SUMPRODUCT([1]IFE!$P$4701:$P$4840,[1]IFE!$N$4701:$N$4840)</f>
        <v>5749.32</v>
      </c>
    </row>
    <row r="16" spans="1:19" ht="11.1" customHeight="1" x14ac:dyDescent="0.25">
      <c r="A16" s="354" t="str">
        <f>[1]IFE!$A4706</f>
        <v>DRIL-KLEEN</v>
      </c>
      <c r="B16" s="355"/>
      <c r="C16" s="317" t="str">
        <f>[1]IFE!$B4706</f>
        <v>5. GA CN</v>
      </c>
      <c r="D16" s="318">
        <f>[1]IFE!$J4706</f>
        <v>322.20999999999998</v>
      </c>
      <c r="E16" s="319">
        <f>[1]IFE!$D4706</f>
        <v>45</v>
      </c>
      <c r="F16" s="320">
        <f>[1]IFE!$C4706+[1]IFE!$P4706</f>
        <v>0</v>
      </c>
      <c r="G16" s="319">
        <f>[1]IFE!$H4706+[1]IFE!$R4706</f>
        <v>0</v>
      </c>
      <c r="H16" s="319">
        <f>[1]IFE!$E4706</f>
        <v>0</v>
      </c>
      <c r="I16" s="319">
        <f>[1]IFE!$K4706</f>
        <v>45</v>
      </c>
      <c r="J16" s="319">
        <f>[1]IFE!$F4706</f>
        <v>0</v>
      </c>
      <c r="K16" s="319">
        <f>[1]IFE!$L4706</f>
        <v>0</v>
      </c>
      <c r="L16" s="321">
        <f>[1]IFE!$G4706</f>
        <v>45</v>
      </c>
      <c r="M16" s="322">
        <f>F16*[1]IFE!$J4706</f>
        <v>0</v>
      </c>
      <c r="N16" s="323">
        <f>[1]IFE!$AO$58*F16</f>
        <v>0</v>
      </c>
      <c r="O16" s="328">
        <f>[1]IFE!$AO$58*G16</f>
        <v>0</v>
      </c>
    </row>
    <row r="17" spans="1:15" ht="11.1" customHeight="1" x14ac:dyDescent="0.25">
      <c r="A17" s="354" t="str">
        <f>[1]IFE!$A4707</f>
        <v>DUO-VIS</v>
      </c>
      <c r="B17" s="355"/>
      <c r="C17" s="317" t="str">
        <f>[1]IFE!$B4707</f>
        <v>50. LB BG</v>
      </c>
      <c r="D17" s="318">
        <f>[1]IFE!$J4707</f>
        <v>550.12</v>
      </c>
      <c r="E17" s="319">
        <f>[1]IFE!$D4707</f>
        <v>0</v>
      </c>
      <c r="F17" s="320">
        <f>[1]IFE!$C4707+[1]IFE!$P4707</f>
        <v>0</v>
      </c>
      <c r="G17" s="319">
        <f>[1]IFE!$H4707+[1]IFE!$R4707</f>
        <v>0</v>
      </c>
      <c r="H17" s="319">
        <f>[1]IFE!$E4707</f>
        <v>0</v>
      </c>
      <c r="I17" s="319">
        <f>[1]IFE!$K4707</f>
        <v>0</v>
      </c>
      <c r="J17" s="319">
        <f>[1]IFE!$F4707</f>
        <v>0</v>
      </c>
      <c r="K17" s="319">
        <f>[1]IFE!$L4707</f>
        <v>0</v>
      </c>
      <c r="L17" s="321">
        <f>[1]IFE!$G4707</f>
        <v>0</v>
      </c>
      <c r="M17" s="322">
        <f>F17*[1]IFE!$J4707</f>
        <v>0</v>
      </c>
      <c r="N17" s="323">
        <f>[1]IFE!$AO$68*F17</f>
        <v>0</v>
      </c>
      <c r="O17" s="328">
        <f>[1]IFE!$AO$68*G17</f>
        <v>0</v>
      </c>
    </row>
    <row r="18" spans="1:15" ht="11.1" customHeight="1" x14ac:dyDescent="0.25">
      <c r="A18" s="354" t="str">
        <f>[1]IFE!$A4708</f>
        <v>DUO-VIS</v>
      </c>
      <c r="B18" s="355"/>
      <c r="C18" s="317" t="str">
        <f>[1]IFE!$B4708</f>
        <v>25. KG BG</v>
      </c>
      <c r="D18" s="318">
        <f>[1]IFE!$J4708</f>
        <v>550.12</v>
      </c>
      <c r="E18" s="319">
        <f>[1]IFE!$D4708</f>
        <v>56</v>
      </c>
      <c r="F18" s="320">
        <f>[1]IFE!$C4708+[1]IFE!$P4708</f>
        <v>5</v>
      </c>
      <c r="G18" s="319">
        <f>[1]IFE!$H4708+[1]IFE!$R4708</f>
        <v>7</v>
      </c>
      <c r="H18" s="319">
        <f>[1]IFE!$E4708</f>
        <v>0</v>
      </c>
      <c r="I18" s="319">
        <f>[1]IFE!$K4708</f>
        <v>58</v>
      </c>
      <c r="J18" s="319">
        <f>[1]IFE!$F4708</f>
        <v>0</v>
      </c>
      <c r="K18" s="319">
        <f>[1]IFE!$L4708</f>
        <v>0</v>
      </c>
      <c r="L18" s="321">
        <f>[1]IFE!$G4708</f>
        <v>51</v>
      </c>
      <c r="M18" s="322">
        <f>F18*[1]IFE!$J4708</f>
        <v>2750.6</v>
      </c>
      <c r="N18" s="323">
        <f>[1]IFE!$AO$78*F18</f>
        <v>7425</v>
      </c>
      <c r="O18" s="328">
        <f>[1]IFE!$AO$78*G18</f>
        <v>10395</v>
      </c>
    </row>
    <row r="19" spans="1:15" ht="11.1" customHeight="1" x14ac:dyDescent="0.25">
      <c r="A19" s="354" t="str">
        <f>[1]IFE!$A4709</f>
        <v>ENGINEERING SERVICE</v>
      </c>
      <c r="B19" s="355"/>
      <c r="C19" s="317" t="str">
        <f>[1]IFE!$B4709</f>
        <v>1.  EA</v>
      </c>
      <c r="D19" s="318">
        <f>[1]IFE!$J4709</f>
        <v>1485</v>
      </c>
      <c r="E19" s="319">
        <f>[1]IFE!$D4709</f>
        <v>0</v>
      </c>
      <c r="F19" s="320">
        <f>[1]IFE!$C4709+[1]IFE!$P4709</f>
        <v>2</v>
      </c>
      <c r="G19" s="319">
        <f>[1]IFE!$H4709+[1]IFE!$R4709</f>
        <v>13</v>
      </c>
      <c r="H19" s="319">
        <f>[1]IFE!$E4709</f>
        <v>0</v>
      </c>
      <c r="I19" s="319">
        <f>[1]IFE!$K4709</f>
        <v>0</v>
      </c>
      <c r="J19" s="319">
        <f>[1]IFE!$F4709</f>
        <v>0</v>
      </c>
      <c r="K19" s="319">
        <f>[1]IFE!$L4709</f>
        <v>0</v>
      </c>
      <c r="L19" s="321">
        <f>[1]IFE!$G4709</f>
        <v>2</v>
      </c>
      <c r="M19" s="322">
        <f>F19*[1]IFE!$J4709</f>
        <v>2970</v>
      </c>
      <c r="N19" s="323">
        <f>[1]IFE!$AO$88*F19</f>
        <v>57.44</v>
      </c>
      <c r="O19" s="328">
        <f>[1]IFE!$AO$88*G19</f>
        <v>373.36</v>
      </c>
    </row>
    <row r="20" spans="1:15" ht="11.1" customHeight="1" x14ac:dyDescent="0.25">
      <c r="A20" s="354" t="str">
        <f>[1]IFE!$A4710</f>
        <v>G-SEAL PLUS</v>
      </c>
      <c r="B20" s="355"/>
      <c r="C20" s="317" t="str">
        <f>[1]IFE!$B4710</f>
        <v>25. KG BG</v>
      </c>
      <c r="D20" s="318">
        <f>[1]IFE!$J4710</f>
        <v>178.41</v>
      </c>
      <c r="E20" s="319">
        <f>[1]IFE!$D4710</f>
        <v>35</v>
      </c>
      <c r="F20" s="320">
        <f>[1]IFE!$C4710+[1]IFE!$P4710</f>
        <v>0</v>
      </c>
      <c r="G20" s="319">
        <f>[1]IFE!$H4710+[1]IFE!$R4710</f>
        <v>0</v>
      </c>
      <c r="H20" s="319">
        <f>[1]IFE!$E4710</f>
        <v>0</v>
      </c>
      <c r="I20" s="319">
        <f>[1]IFE!$K4710</f>
        <v>35</v>
      </c>
      <c r="J20" s="319">
        <f>[1]IFE!$F4710</f>
        <v>0</v>
      </c>
      <c r="K20" s="319">
        <f>[1]IFE!$L4710</f>
        <v>0</v>
      </c>
      <c r="L20" s="321">
        <f>[1]IFE!$G4710</f>
        <v>35</v>
      </c>
      <c r="M20" s="322">
        <f>F20*[1]IFE!$J4710</f>
        <v>0</v>
      </c>
      <c r="N20" s="323">
        <f>[1]IFE!$AO$98*F20</f>
        <v>0</v>
      </c>
      <c r="O20" s="328">
        <f>[1]IFE!$AO$98*G20</f>
        <v>0</v>
      </c>
    </row>
    <row r="21" spans="1:15" ht="11.1" customHeight="1" x14ac:dyDescent="0.25">
      <c r="A21" s="354" t="str">
        <f>[1]IFE!$A4711</f>
        <v>LIME</v>
      </c>
      <c r="B21" s="355"/>
      <c r="C21" s="317" t="str">
        <f>[1]IFE!$B4711</f>
        <v>20. KG BG</v>
      </c>
      <c r="D21" s="318">
        <f>[1]IFE!$J4711</f>
        <v>37.43</v>
      </c>
      <c r="E21" s="319">
        <f>[1]IFE!$D4711</f>
        <v>39</v>
      </c>
      <c r="F21" s="320">
        <f>[1]IFE!$C4711+[1]IFE!$P4711</f>
        <v>0</v>
      </c>
      <c r="G21" s="319">
        <f>[1]IFE!$H4711+[1]IFE!$R4711</f>
        <v>0</v>
      </c>
      <c r="H21" s="319">
        <f>[1]IFE!$E4711</f>
        <v>0</v>
      </c>
      <c r="I21" s="319">
        <f>[1]IFE!$K4711</f>
        <v>39</v>
      </c>
      <c r="J21" s="319">
        <f>[1]IFE!$F4711</f>
        <v>0</v>
      </c>
      <c r="K21" s="319">
        <f>[1]IFE!$L4711</f>
        <v>0</v>
      </c>
      <c r="L21" s="321">
        <f>[1]IFE!$G4711</f>
        <v>39</v>
      </c>
      <c r="M21" s="322">
        <f>F21*[1]IFE!$J4711</f>
        <v>0</v>
      </c>
      <c r="N21" s="323">
        <f>[1]IFE!$AO$108*F21</f>
        <v>0</v>
      </c>
      <c r="O21" s="328">
        <f>[1]IFE!$AO$108*G21</f>
        <v>0</v>
      </c>
    </row>
    <row r="22" spans="1:15" ht="11.1" customHeight="1" x14ac:dyDescent="0.25">
      <c r="A22" s="354" t="str">
        <f>[1]IFE!$A4712</f>
        <v>LOWA TECH 70/75</v>
      </c>
      <c r="B22" s="355"/>
      <c r="C22" s="317" t="str">
        <f>[1]IFE!$B4712</f>
        <v>50. LB BG</v>
      </c>
      <c r="D22" s="318">
        <f>[1]IFE!$J4712</f>
        <v>18.45</v>
      </c>
      <c r="E22" s="319">
        <f>[1]IFE!$D4712</f>
        <v>112</v>
      </c>
      <c r="F22" s="320">
        <f>[1]IFE!$C4712+[1]IFE!$P4712</f>
        <v>0</v>
      </c>
      <c r="G22" s="319">
        <f>[1]IFE!$H4712+[1]IFE!$R4712</f>
        <v>0</v>
      </c>
      <c r="H22" s="319">
        <f>[1]IFE!$E4712</f>
        <v>0</v>
      </c>
      <c r="I22" s="319">
        <f>[1]IFE!$K4712</f>
        <v>224</v>
      </c>
      <c r="J22" s="319">
        <f>[1]IFE!$F4712</f>
        <v>0</v>
      </c>
      <c r="K22" s="319">
        <f>[1]IFE!$L4712</f>
        <v>112</v>
      </c>
      <c r="L22" s="321">
        <f>[1]IFE!$G4712</f>
        <v>112</v>
      </c>
      <c r="M22" s="322">
        <f>F22*[1]IFE!$J4712</f>
        <v>0</v>
      </c>
      <c r="N22" s="323">
        <f>[1]IFE!$AO$118*F22</f>
        <v>0</v>
      </c>
      <c r="O22" s="328">
        <f>[1]IFE!$AO$118*G22</f>
        <v>0</v>
      </c>
    </row>
    <row r="23" spans="1:15" ht="11.1" customHeight="1" x14ac:dyDescent="0.25">
      <c r="A23" s="354" t="str">
        <f>[1]IFE!$A4713</f>
        <v>M-I BAR BULK</v>
      </c>
      <c r="B23" s="355"/>
      <c r="C23" s="317" t="str">
        <f>[1]IFE!$B4713</f>
        <v>100. LB BG</v>
      </c>
      <c r="D23" s="318">
        <f>[1]IFE!$J4713</f>
        <v>20.25</v>
      </c>
      <c r="E23" s="319">
        <f>[1]IFE!$D4713</f>
        <v>1153</v>
      </c>
      <c r="F23" s="320">
        <f>[1]IFE!$C4713+[1]IFE!$P4713</f>
        <v>0</v>
      </c>
      <c r="G23" s="319">
        <f>[1]IFE!$H4713+[1]IFE!$R4713</f>
        <v>2206</v>
      </c>
      <c r="H23" s="319">
        <f>[1]IFE!$E4713</f>
        <v>0</v>
      </c>
      <c r="I23" s="319">
        <f>[1]IFE!$K4713</f>
        <v>3359</v>
      </c>
      <c r="J23" s="319">
        <f>[1]IFE!$F4713</f>
        <v>0</v>
      </c>
      <c r="K23" s="319">
        <f>[1]IFE!$L4713</f>
        <v>0</v>
      </c>
      <c r="L23" s="321">
        <f>[1]IFE!$G4713</f>
        <v>1153</v>
      </c>
      <c r="M23" s="322">
        <f>F23*[1]IFE!$J4713</f>
        <v>0</v>
      </c>
      <c r="N23" s="323">
        <f>[1]IFE!$AO$128*F23</f>
        <v>0</v>
      </c>
      <c r="O23" s="328">
        <f>[1]IFE!$AO$128*G23</f>
        <v>264344.98</v>
      </c>
    </row>
    <row r="24" spans="1:15" ht="11.1" customHeight="1" x14ac:dyDescent="0.25">
      <c r="A24" s="354" t="str">
        <f>[1]IFE!$A4714</f>
        <v>PECAN NUT PLUG CSE</v>
      </c>
      <c r="B24" s="355"/>
      <c r="C24" s="317" t="str">
        <f>[1]IFE!$B4714</f>
        <v>50. LB BG</v>
      </c>
      <c r="D24" s="318">
        <f>[1]IFE!$J4714</f>
        <v>65.290000000000006</v>
      </c>
      <c r="E24" s="319">
        <f>[1]IFE!$D4714</f>
        <v>25</v>
      </c>
      <c r="F24" s="320">
        <f>[1]IFE!$C4714+[1]IFE!$P4714</f>
        <v>0</v>
      </c>
      <c r="G24" s="319">
        <f>[1]IFE!$H4714+[1]IFE!$R4714</f>
        <v>0</v>
      </c>
      <c r="H24" s="319">
        <f>[1]IFE!$E4714</f>
        <v>0</v>
      </c>
      <c r="I24" s="319">
        <f>[1]IFE!$K4714</f>
        <v>25</v>
      </c>
      <c r="J24" s="319">
        <f>[1]IFE!$F4714</f>
        <v>0</v>
      </c>
      <c r="K24" s="319">
        <f>[1]IFE!$L4714</f>
        <v>0</v>
      </c>
      <c r="L24" s="321">
        <f>[1]IFE!$G4714</f>
        <v>25</v>
      </c>
      <c r="M24" s="322">
        <f>F24*[1]IFE!$J4714</f>
        <v>0</v>
      </c>
      <c r="N24" s="323">
        <f>[1]IFE!$AO$138*F24</f>
        <v>0</v>
      </c>
      <c r="O24" s="328">
        <f>[1]IFE!$AO$138*G24</f>
        <v>0</v>
      </c>
    </row>
    <row r="25" spans="1:15" ht="11.1" customHeight="1" x14ac:dyDescent="0.25">
      <c r="A25" s="354" t="str">
        <f>[1]IFE!$A4715</f>
        <v>PIPE-LAX</v>
      </c>
      <c r="B25" s="355"/>
      <c r="C25" s="317" t="str">
        <f>[1]IFE!$B4715</f>
        <v>55. GA DM</v>
      </c>
      <c r="D25" s="318">
        <f>[1]IFE!$J4715</f>
        <v>2385.02</v>
      </c>
      <c r="E25" s="319">
        <f>[1]IFE!$D4715</f>
        <v>20</v>
      </c>
      <c r="F25" s="320">
        <f>[1]IFE!$C4715+[1]IFE!$P4715</f>
        <v>0</v>
      </c>
      <c r="G25" s="319">
        <f>[1]IFE!$H4715+[1]IFE!$R4715</f>
        <v>0</v>
      </c>
      <c r="H25" s="319">
        <f>[1]IFE!$E4715</f>
        <v>0</v>
      </c>
      <c r="I25" s="319">
        <f>[1]IFE!$K4715</f>
        <v>20</v>
      </c>
      <c r="J25" s="319">
        <f>[1]IFE!$F4715</f>
        <v>0</v>
      </c>
      <c r="K25" s="319">
        <f>[1]IFE!$L4715</f>
        <v>0</v>
      </c>
      <c r="L25" s="321">
        <f>[1]IFE!$G4715</f>
        <v>20</v>
      </c>
      <c r="M25" s="322">
        <f>F25*[1]IFE!$J4715</f>
        <v>0</v>
      </c>
      <c r="N25" s="323">
        <f>[1]IFE!$AO$148*F25</f>
        <v>0</v>
      </c>
      <c r="O25" s="328">
        <f>[1]IFE!$AO$148*G24</f>
        <v>0</v>
      </c>
    </row>
    <row r="26" spans="1:15" ht="11.1" customHeight="1" x14ac:dyDescent="0.25">
      <c r="A26" s="354" t="str">
        <f>[1]IFE!$A4716</f>
        <v>POLYPAC R</v>
      </c>
      <c r="B26" s="355"/>
      <c r="C26" s="317" t="str">
        <f>[1]IFE!$B4716</f>
        <v>50. LB BG</v>
      </c>
      <c r="D26" s="318">
        <f>[1]IFE!$J4716</f>
        <v>184.5</v>
      </c>
      <c r="E26" s="319">
        <f>[1]IFE!$D4716</f>
        <v>52</v>
      </c>
      <c r="F26" s="320">
        <f>[1]IFE!$C4716+[1]IFE!$P4716</f>
        <v>0</v>
      </c>
      <c r="G26" s="319">
        <f>[1]IFE!$H4716+[1]IFE!$R4716</f>
        <v>18</v>
      </c>
      <c r="H26" s="319">
        <f>[1]IFE!$E4716</f>
        <v>0</v>
      </c>
      <c r="I26" s="319">
        <f>[1]IFE!$K4716</f>
        <v>70</v>
      </c>
      <c r="J26" s="319">
        <f>[1]IFE!$F4716</f>
        <v>0</v>
      </c>
      <c r="K26" s="319">
        <f>[1]IFE!$L4716</f>
        <v>0</v>
      </c>
      <c r="L26" s="321">
        <f>[1]IFE!$G4716</f>
        <v>52</v>
      </c>
      <c r="M26" s="322">
        <f>F26*[1]IFE!$J4716</f>
        <v>0</v>
      </c>
      <c r="N26" s="323">
        <f>[1]IFE!$AO$158*F26</f>
        <v>0</v>
      </c>
      <c r="O26" s="328">
        <f>[1]IFE!$AO$158*G25</f>
        <v>0</v>
      </c>
    </row>
    <row r="27" spans="1:15" ht="11.1" customHeight="1" x14ac:dyDescent="0.25">
      <c r="A27" s="354" t="str">
        <f>[1]IFE!$A4717</f>
        <v>SODA ASH</v>
      </c>
      <c r="B27" s="355"/>
      <c r="C27" s="317" t="str">
        <f>[1]IFE!$B4717</f>
        <v>50. KG BG</v>
      </c>
      <c r="D27" s="318">
        <f>[1]IFE!$J4717</f>
        <v>55.51</v>
      </c>
      <c r="E27" s="319">
        <f>[1]IFE!$D4717</f>
        <v>10</v>
      </c>
      <c r="F27" s="320">
        <f>[1]IFE!$C4717+[1]IFE!$P4717</f>
        <v>0</v>
      </c>
      <c r="G27" s="319">
        <f>[1]IFE!$H4717+[1]IFE!$R4717</f>
        <v>6</v>
      </c>
      <c r="H27" s="319">
        <f>[1]IFE!$E4717</f>
        <v>0</v>
      </c>
      <c r="I27" s="319">
        <f>[1]IFE!$K4717</f>
        <v>16</v>
      </c>
      <c r="J27" s="319">
        <f>[1]IFE!$F4717</f>
        <v>0</v>
      </c>
      <c r="K27" s="319">
        <f>[1]IFE!$L4717</f>
        <v>0</v>
      </c>
      <c r="L27" s="321">
        <f>[1]IFE!$G4717</f>
        <v>10</v>
      </c>
      <c r="M27" s="322">
        <f>F27*[1]IFE!$J4717</f>
        <v>0</v>
      </c>
      <c r="N27" s="323">
        <f>[1]IFE!$AO$168*F27</f>
        <v>0</v>
      </c>
      <c r="O27" s="328">
        <f>[1]IFE!$AO$168*G26</f>
        <v>3211.38</v>
      </c>
    </row>
    <row r="28" spans="1:15" ht="11.1" customHeight="1" x14ac:dyDescent="0.25">
      <c r="A28" s="354" t="str">
        <f>[1]IFE!$A4718</f>
        <v>SODIUM BICARBONATE</v>
      </c>
      <c r="B28" s="355"/>
      <c r="C28" s="317" t="str">
        <f>[1]IFE!$B4718</f>
        <v>50. LB BG</v>
      </c>
      <c r="D28" s="318">
        <f>[1]IFE!$J4718</f>
        <v>52.87</v>
      </c>
      <c r="E28" s="319">
        <f>[1]IFE!$D4718</f>
        <v>27</v>
      </c>
      <c r="F28" s="320">
        <f>[1]IFE!$C4718+[1]IFE!$P4718</f>
        <v>0</v>
      </c>
      <c r="G28" s="319">
        <f>[1]IFE!$H4718+[1]IFE!$R4718</f>
        <v>0</v>
      </c>
      <c r="H28" s="319">
        <f>[1]IFE!$E4718</f>
        <v>0</v>
      </c>
      <c r="I28" s="319">
        <f>[1]IFE!$K4718</f>
        <v>27</v>
      </c>
      <c r="J28" s="319">
        <f>[1]IFE!$F4718</f>
        <v>0</v>
      </c>
      <c r="K28" s="319">
        <f>[1]IFE!$L4718</f>
        <v>0</v>
      </c>
      <c r="L28" s="321">
        <f>[1]IFE!$G4718</f>
        <v>27</v>
      </c>
      <c r="M28" s="322">
        <f>F28*[1]IFE!$J4718</f>
        <v>0</v>
      </c>
      <c r="N28" s="323">
        <f>[1]IFE!$AO$178*F28</f>
        <v>0</v>
      </c>
      <c r="O28" s="328">
        <f>[1]IFE!$AO$178*G27</f>
        <v>110.69999999999999</v>
      </c>
    </row>
    <row r="29" spans="1:15" ht="11.1" customHeight="1" x14ac:dyDescent="0.25">
      <c r="A29" s="354" t="str">
        <f>[1]IFE!$A4719</f>
        <v>THINSMART</v>
      </c>
      <c r="B29" s="355"/>
      <c r="C29" s="317" t="str">
        <f>[1]IFE!$B4719</f>
        <v>25. LB BG</v>
      </c>
      <c r="D29" s="318">
        <f>[1]IFE!$J4719</f>
        <v>119.83</v>
      </c>
      <c r="E29" s="319">
        <f>[1]IFE!$D4719</f>
        <v>117</v>
      </c>
      <c r="F29" s="320">
        <f>[1]IFE!$C4719+[1]IFE!$P4719</f>
        <v>0</v>
      </c>
      <c r="G29" s="319">
        <f>[1]IFE!$H4719+[1]IFE!$R4719</f>
        <v>43</v>
      </c>
      <c r="H29" s="319">
        <f>[1]IFE!$E4719</f>
        <v>0</v>
      </c>
      <c r="I29" s="319">
        <f>[1]IFE!$K4719</f>
        <v>160</v>
      </c>
      <c r="J29" s="319">
        <f>[1]IFE!$F4719</f>
        <v>0</v>
      </c>
      <c r="K29" s="319">
        <f>[1]IFE!$L4719</f>
        <v>0</v>
      </c>
      <c r="L29" s="321">
        <f>[1]IFE!$G4719</f>
        <v>117</v>
      </c>
      <c r="M29" s="322">
        <f>F29*[1]IFE!$J4719</f>
        <v>0</v>
      </c>
      <c r="N29" s="323">
        <f>[1]IFE!$AO$198*F29</f>
        <v>0</v>
      </c>
      <c r="O29" s="328">
        <f>[1]IFE!$AO$188*G28</f>
        <v>0</v>
      </c>
    </row>
    <row r="30" spans="1:15" ht="11.1" customHeight="1" x14ac:dyDescent="0.25">
      <c r="A30" s="354">
        <f>[1]IFE!$A4720</f>
        <v>0</v>
      </c>
      <c r="B30" s="355"/>
      <c r="C30" s="317">
        <f>[1]IFE!$B4720</f>
        <v>0</v>
      </c>
      <c r="D30" s="318">
        <f>[1]IFE!$J4720</f>
        <v>0</v>
      </c>
      <c r="E30" s="319">
        <f>[1]IFE!$D4720</f>
        <v>0</v>
      </c>
      <c r="F30" s="320">
        <f>[1]IFE!$C4720+[1]IFE!$P4720</f>
        <v>0</v>
      </c>
      <c r="G30" s="319">
        <f>[1]IFE!$H4720+[1]IFE!$R4720</f>
        <v>0</v>
      </c>
      <c r="H30" s="319">
        <f>[1]IFE!$E4720</f>
        <v>0</v>
      </c>
      <c r="I30" s="319">
        <f>[1]IFE!$K4720</f>
        <v>0</v>
      </c>
      <c r="J30" s="319">
        <f>[1]IFE!$F4720</f>
        <v>0</v>
      </c>
      <c r="K30" s="319">
        <f>[1]IFE!$L4720</f>
        <v>0</v>
      </c>
      <c r="L30" s="321">
        <f>[1]IFE!$G4720</f>
        <v>0</v>
      </c>
      <c r="M30" s="322">
        <f>F30*[1]IFE!$J4720</f>
        <v>0</v>
      </c>
      <c r="N30" s="323">
        <f>[1]IFE!$AO$208*F30</f>
        <v>0</v>
      </c>
      <c r="O30" s="328">
        <f>[1]IFE!$AO$198*G29</f>
        <v>0</v>
      </c>
    </row>
    <row r="31" spans="1:15" ht="11.1" customHeight="1" x14ac:dyDescent="0.25">
      <c r="A31" s="354">
        <f>[1]IFE!$A4721</f>
        <v>0</v>
      </c>
      <c r="B31" s="355"/>
      <c r="C31" s="317">
        <f>[1]IFE!$B4721</f>
        <v>0</v>
      </c>
      <c r="D31" s="318">
        <f>[1]IFE!$J4721</f>
        <v>0</v>
      </c>
      <c r="E31" s="319">
        <f>[1]IFE!$D4721</f>
        <v>0</v>
      </c>
      <c r="F31" s="320">
        <f>[1]IFE!$C4721+[1]IFE!$P4721</f>
        <v>0</v>
      </c>
      <c r="G31" s="319">
        <f>[1]IFE!$H4721+[1]IFE!$R4721</f>
        <v>0</v>
      </c>
      <c r="H31" s="319">
        <f>[1]IFE!$E4721</f>
        <v>0</v>
      </c>
      <c r="I31" s="319">
        <f>[1]IFE!$K4721</f>
        <v>0</v>
      </c>
      <c r="J31" s="319">
        <f>[1]IFE!$F4721</f>
        <v>0</v>
      </c>
      <c r="K31" s="319">
        <f>[1]IFE!$L4721</f>
        <v>0</v>
      </c>
      <c r="L31" s="321">
        <f>[1]IFE!$G4721</f>
        <v>0</v>
      </c>
      <c r="M31" s="322">
        <f>F31*[1]IFE!$J4721</f>
        <v>0</v>
      </c>
      <c r="N31" s="323">
        <f>[1]IFE!$AO$218*F31</f>
        <v>0</v>
      </c>
      <c r="O31" s="328">
        <f>[1]IFE!$AO$208*G30</f>
        <v>0</v>
      </c>
    </row>
    <row r="32" spans="1:15" ht="11.1" customHeight="1" x14ac:dyDescent="0.25">
      <c r="A32" s="354">
        <f>[1]IFE!$A4722</f>
        <v>0</v>
      </c>
      <c r="B32" s="355"/>
      <c r="C32" s="317">
        <f>[1]IFE!$B4722</f>
        <v>0</v>
      </c>
      <c r="D32" s="318">
        <f>[1]IFE!$J4722</f>
        <v>0</v>
      </c>
      <c r="E32" s="319">
        <f>[1]IFE!$D4722</f>
        <v>0</v>
      </c>
      <c r="F32" s="320">
        <f>[1]IFE!$C4722+[1]IFE!$P4722</f>
        <v>0</v>
      </c>
      <c r="G32" s="319">
        <f>[1]IFE!$H4722+[1]IFE!$R4722</f>
        <v>0</v>
      </c>
      <c r="H32" s="319">
        <f>[1]IFE!$E4722</f>
        <v>0</v>
      </c>
      <c r="I32" s="319">
        <f>[1]IFE!$K4722</f>
        <v>0</v>
      </c>
      <c r="J32" s="319">
        <f>[1]IFE!$F4722</f>
        <v>0</v>
      </c>
      <c r="K32" s="319">
        <f>[1]IFE!$L4722</f>
        <v>0</v>
      </c>
      <c r="L32" s="321">
        <f>[1]IFE!$G4722</f>
        <v>0</v>
      </c>
      <c r="M32" s="322">
        <f>F32*[1]IFE!$J4722</f>
        <v>0</v>
      </c>
      <c r="N32" s="323">
        <f>[1]IFE!$AO$228*F32</f>
        <v>0</v>
      </c>
      <c r="O32" s="328">
        <f>[1]IFE!$AO$218*G31</f>
        <v>0</v>
      </c>
    </row>
    <row r="33" spans="1:15" ht="11.1" customHeight="1" x14ac:dyDescent="0.25">
      <c r="A33" s="354">
        <f>[1]IFE!$A4723</f>
        <v>0</v>
      </c>
      <c r="B33" s="355"/>
      <c r="C33" s="317">
        <f>[1]IFE!$B4723</f>
        <v>0</v>
      </c>
      <c r="D33" s="318">
        <f>[1]IFE!$J4723</f>
        <v>0</v>
      </c>
      <c r="E33" s="319">
        <f>[1]IFE!$D4723</f>
        <v>0</v>
      </c>
      <c r="F33" s="320">
        <f>[1]IFE!$C4723+[1]IFE!$P4723</f>
        <v>0</v>
      </c>
      <c r="G33" s="319">
        <f>[1]IFE!$H4723+[1]IFE!$R4723</f>
        <v>0</v>
      </c>
      <c r="H33" s="319">
        <f>[1]IFE!$E4723</f>
        <v>0</v>
      </c>
      <c r="I33" s="319">
        <f>[1]IFE!$K4723</f>
        <v>0</v>
      </c>
      <c r="J33" s="319">
        <f>[1]IFE!$F4723</f>
        <v>0</v>
      </c>
      <c r="K33" s="319">
        <f>[1]IFE!$L4723</f>
        <v>0</v>
      </c>
      <c r="L33" s="321">
        <f>[1]IFE!$G4723</f>
        <v>0</v>
      </c>
      <c r="M33" s="322">
        <f>F33*[1]IFE!$J4723</f>
        <v>0</v>
      </c>
      <c r="N33" s="323">
        <f>[1]IFE!$AO$238*F33</f>
        <v>0</v>
      </c>
      <c r="O33" s="328">
        <f>[1]IFE!$AO$228*G32</f>
        <v>0</v>
      </c>
    </row>
    <row r="34" spans="1:15" ht="11.1" customHeight="1" x14ac:dyDescent="0.25">
      <c r="A34" s="354">
        <f>[1]IFE!$A4724</f>
        <v>0</v>
      </c>
      <c r="B34" s="355"/>
      <c r="C34" s="317">
        <f>[1]IFE!$B4724</f>
        <v>0</v>
      </c>
      <c r="D34" s="318">
        <f>[1]IFE!$J4724</f>
        <v>0</v>
      </c>
      <c r="E34" s="319">
        <f>[1]IFE!$D4724</f>
        <v>0</v>
      </c>
      <c r="F34" s="320">
        <f>[1]IFE!$C4724+[1]IFE!$P4724</f>
        <v>0</v>
      </c>
      <c r="G34" s="319">
        <f>[1]IFE!$H4724+[1]IFE!$R4724</f>
        <v>0</v>
      </c>
      <c r="H34" s="319">
        <f>[1]IFE!$E4724</f>
        <v>0</v>
      </c>
      <c r="I34" s="319">
        <f>[1]IFE!$K4724</f>
        <v>0</v>
      </c>
      <c r="J34" s="319">
        <f>[1]IFE!$F4724</f>
        <v>0</v>
      </c>
      <c r="K34" s="319">
        <f>[1]IFE!$L4724</f>
        <v>0</v>
      </c>
      <c r="L34" s="321">
        <f>[1]IFE!$G4724</f>
        <v>0</v>
      </c>
      <c r="M34" s="322">
        <f>F34*[1]IFE!$J4724</f>
        <v>0</v>
      </c>
      <c r="N34" s="323">
        <f>[1]IFE!$AO$248*F34</f>
        <v>0</v>
      </c>
      <c r="O34" s="328">
        <f>[1]IFE!$AO$238*G33</f>
        <v>0</v>
      </c>
    </row>
    <row r="35" spans="1:15" ht="11.1" customHeight="1" x14ac:dyDescent="0.25">
      <c r="A35" s="354">
        <f>[1]IFE!$A4725</f>
        <v>0</v>
      </c>
      <c r="B35" s="355"/>
      <c r="C35" s="317">
        <f>[1]IFE!$B4725</f>
        <v>0</v>
      </c>
      <c r="D35" s="318">
        <f>[1]IFE!$J4725</f>
        <v>0</v>
      </c>
      <c r="E35" s="319">
        <f>[1]IFE!$D4725</f>
        <v>0</v>
      </c>
      <c r="F35" s="320">
        <f>[1]IFE!$C4725+[1]IFE!$P4725</f>
        <v>0</v>
      </c>
      <c r="G35" s="319">
        <f>[1]IFE!$H4725+[1]IFE!$R4725</f>
        <v>0</v>
      </c>
      <c r="H35" s="319">
        <f>[1]IFE!$E4725</f>
        <v>0</v>
      </c>
      <c r="I35" s="319">
        <f>[1]IFE!$K4725</f>
        <v>0</v>
      </c>
      <c r="J35" s="319">
        <f>[1]IFE!$F4725</f>
        <v>0</v>
      </c>
      <c r="K35" s="319">
        <f>[1]IFE!$L4725</f>
        <v>0</v>
      </c>
      <c r="L35" s="321">
        <f>[1]IFE!$G4725</f>
        <v>0</v>
      </c>
      <c r="M35" s="322">
        <f>F35*[1]IFE!$J4725</f>
        <v>0</v>
      </c>
      <c r="N35" s="323">
        <f>[1]IFE!$AO$258*F35</f>
        <v>0</v>
      </c>
      <c r="O35" s="328">
        <f>[1]IFE!$AO$248*G34</f>
        <v>0</v>
      </c>
    </row>
    <row r="36" spans="1:15" ht="11.1" customHeight="1" x14ac:dyDescent="0.25">
      <c r="A36" s="354">
        <f>[1]IFE!$A4726</f>
        <v>0</v>
      </c>
      <c r="B36" s="355"/>
      <c r="C36" s="317">
        <f>[1]IFE!$B4726</f>
        <v>0</v>
      </c>
      <c r="D36" s="318">
        <f>[1]IFE!$J4726</f>
        <v>0</v>
      </c>
      <c r="E36" s="319">
        <f>[1]IFE!$D4726</f>
        <v>0</v>
      </c>
      <c r="F36" s="320">
        <f>[1]IFE!$C4726+[1]IFE!$P4726</f>
        <v>0</v>
      </c>
      <c r="G36" s="319">
        <f>[1]IFE!$H4726+[1]IFE!$R4726</f>
        <v>0</v>
      </c>
      <c r="H36" s="319">
        <f>[1]IFE!$E4726</f>
        <v>0</v>
      </c>
      <c r="I36" s="319">
        <f>[1]IFE!$K4726</f>
        <v>0</v>
      </c>
      <c r="J36" s="319">
        <f>[1]IFE!$F4726</f>
        <v>0</v>
      </c>
      <c r="K36" s="319">
        <f>[1]IFE!$L4726</f>
        <v>0</v>
      </c>
      <c r="L36" s="321">
        <f>[1]IFE!$G4726</f>
        <v>0</v>
      </c>
      <c r="M36" s="322">
        <f>F36*[1]IFE!$J4726</f>
        <v>0</v>
      </c>
      <c r="N36" s="323">
        <f>[1]IFE!$AO$268*F36</f>
        <v>0</v>
      </c>
      <c r="O36" s="328">
        <f>[1]IFE!$AO$258*G35</f>
        <v>0</v>
      </c>
    </row>
    <row r="37" spans="1:15" ht="11.1" customHeight="1" x14ac:dyDescent="0.25">
      <c r="A37" s="354">
        <f>[1]IFE!$A4727</f>
        <v>0</v>
      </c>
      <c r="B37" s="355"/>
      <c r="C37" s="317">
        <f>[1]IFE!$B4727</f>
        <v>0</v>
      </c>
      <c r="D37" s="318">
        <f>[1]IFE!$J4727</f>
        <v>0</v>
      </c>
      <c r="E37" s="319">
        <f>[1]IFE!$D4727</f>
        <v>0</v>
      </c>
      <c r="F37" s="320">
        <f>[1]IFE!$C4727+[1]IFE!$P4727</f>
        <v>0</v>
      </c>
      <c r="G37" s="319">
        <f>[1]IFE!$H4727+[1]IFE!$R4727</f>
        <v>0</v>
      </c>
      <c r="H37" s="319">
        <f>[1]IFE!$E4727</f>
        <v>0</v>
      </c>
      <c r="I37" s="319">
        <f>[1]IFE!$K4727</f>
        <v>0</v>
      </c>
      <c r="J37" s="319">
        <f>[1]IFE!$F4727</f>
        <v>0</v>
      </c>
      <c r="K37" s="319">
        <f>[1]IFE!$L4727</f>
        <v>0</v>
      </c>
      <c r="L37" s="321">
        <f>[1]IFE!$G4727</f>
        <v>0</v>
      </c>
      <c r="M37" s="322">
        <f>F37*[1]IFE!$J4727</f>
        <v>0</v>
      </c>
      <c r="N37" s="323">
        <f>[1]IFE!$AO$278*F37</f>
        <v>0</v>
      </c>
      <c r="O37" s="328">
        <f>[1]IFE!$AO$268*G36</f>
        <v>0</v>
      </c>
    </row>
    <row r="38" spans="1:15" ht="11.1" customHeight="1" x14ac:dyDescent="0.25">
      <c r="A38" s="354">
        <f>[1]IFE!$A4728</f>
        <v>0</v>
      </c>
      <c r="B38" s="355"/>
      <c r="C38" s="317">
        <f>[1]IFE!$B4728</f>
        <v>0</v>
      </c>
      <c r="D38" s="318">
        <f>[1]IFE!$J4728</f>
        <v>0</v>
      </c>
      <c r="E38" s="319">
        <f>[1]IFE!$D4728</f>
        <v>0</v>
      </c>
      <c r="F38" s="320">
        <f>[1]IFE!$C4728+[1]IFE!$P4728</f>
        <v>0</v>
      </c>
      <c r="G38" s="319">
        <f>[1]IFE!$H4728+[1]IFE!$R4728</f>
        <v>0</v>
      </c>
      <c r="H38" s="319">
        <f>[1]IFE!$E4728</f>
        <v>0</v>
      </c>
      <c r="I38" s="319">
        <f>[1]IFE!$K4728</f>
        <v>0</v>
      </c>
      <c r="J38" s="319">
        <f>[1]IFE!$F4728</f>
        <v>0</v>
      </c>
      <c r="K38" s="319">
        <f>[1]IFE!$L4728</f>
        <v>0</v>
      </c>
      <c r="L38" s="321">
        <f>[1]IFE!$G4728</f>
        <v>0</v>
      </c>
      <c r="M38" s="322">
        <f>F38*[1]IFE!$J4728</f>
        <v>0</v>
      </c>
      <c r="N38" s="323">
        <f>[1]IFE!$AO$288*F38</f>
        <v>0</v>
      </c>
      <c r="O38" s="328">
        <f>[1]IFE!$AO$278*G37</f>
        <v>0</v>
      </c>
    </row>
    <row r="39" spans="1:15" ht="11.1" customHeight="1" x14ac:dyDescent="0.25">
      <c r="A39" s="354">
        <f>[1]IFE!$A4729</f>
        <v>0</v>
      </c>
      <c r="B39" s="355"/>
      <c r="C39" s="317">
        <f>[1]IFE!$B4729</f>
        <v>0</v>
      </c>
      <c r="D39" s="318">
        <f>[1]IFE!$J4729</f>
        <v>0</v>
      </c>
      <c r="E39" s="319">
        <f>[1]IFE!$D4729</f>
        <v>0</v>
      </c>
      <c r="F39" s="320">
        <f>[1]IFE!$C4729+[1]IFE!$P4729</f>
        <v>0</v>
      </c>
      <c r="G39" s="319">
        <f>[1]IFE!$H4729+[1]IFE!$R4729</f>
        <v>0</v>
      </c>
      <c r="H39" s="319">
        <f>[1]IFE!$E4729</f>
        <v>0</v>
      </c>
      <c r="I39" s="319">
        <f>[1]IFE!$K4729</f>
        <v>0</v>
      </c>
      <c r="J39" s="319">
        <f>[1]IFE!$F4729</f>
        <v>0</v>
      </c>
      <c r="K39" s="319">
        <f>[1]IFE!$L4729</f>
        <v>0</v>
      </c>
      <c r="L39" s="321">
        <f>[1]IFE!$G4729</f>
        <v>0</v>
      </c>
      <c r="M39" s="322">
        <f>F39*[1]IFE!$J4729</f>
        <v>0</v>
      </c>
      <c r="N39" s="323">
        <f>[1]IFE!$AO$298*F39</f>
        <v>0</v>
      </c>
      <c r="O39" s="328">
        <f>[1]IFE!$AO$288*G38</f>
        <v>0</v>
      </c>
    </row>
    <row r="40" spans="1:15" ht="11.1" customHeight="1" x14ac:dyDescent="0.25">
      <c r="A40" s="354">
        <f>[1]IFE!$A4730</f>
        <v>0</v>
      </c>
      <c r="B40" s="355"/>
      <c r="C40" s="317">
        <f>[1]IFE!$B4730</f>
        <v>0</v>
      </c>
      <c r="D40" s="318">
        <f>[1]IFE!$J4730</f>
        <v>0</v>
      </c>
      <c r="E40" s="319">
        <f>[1]IFE!$D4730</f>
        <v>0</v>
      </c>
      <c r="F40" s="320">
        <f>[1]IFE!$C4730+[1]IFE!$P4730</f>
        <v>0</v>
      </c>
      <c r="G40" s="319">
        <f>[1]IFE!$H4730+[1]IFE!$R4730</f>
        <v>0</v>
      </c>
      <c r="H40" s="319">
        <f>[1]IFE!$E4730</f>
        <v>0</v>
      </c>
      <c r="I40" s="319">
        <f>[1]IFE!$K4730</f>
        <v>0</v>
      </c>
      <c r="J40" s="319">
        <f>[1]IFE!$F4730</f>
        <v>0</v>
      </c>
      <c r="K40" s="319">
        <f>[1]IFE!$L4730</f>
        <v>0</v>
      </c>
      <c r="L40" s="321">
        <f>[1]IFE!$G4730</f>
        <v>0</v>
      </c>
      <c r="M40" s="322">
        <f>F40*[1]IFE!$J4730</f>
        <v>0</v>
      </c>
      <c r="N40" s="323">
        <f>[1]IFE!$AO$308*F40</f>
        <v>0</v>
      </c>
      <c r="O40" s="328">
        <f>[1]IFE!$AO$298*G39</f>
        <v>0</v>
      </c>
    </row>
    <row r="41" spans="1:15" ht="11.1" customHeight="1" x14ac:dyDescent="0.25">
      <c r="A41" s="354">
        <f>[1]IFE!$A4731</f>
        <v>0</v>
      </c>
      <c r="B41" s="355"/>
      <c r="C41" s="317">
        <f>[1]IFE!$B4731</f>
        <v>0</v>
      </c>
      <c r="D41" s="318">
        <f>[1]IFE!$J4731</f>
        <v>0</v>
      </c>
      <c r="E41" s="319">
        <f>[1]IFE!$D4731</f>
        <v>0</v>
      </c>
      <c r="F41" s="320">
        <f>[1]IFE!$C4731+[1]IFE!$P4731</f>
        <v>0</v>
      </c>
      <c r="G41" s="319">
        <f>[1]IFE!$H4731+[1]IFE!$R4731</f>
        <v>0</v>
      </c>
      <c r="H41" s="319">
        <f>[1]IFE!$E4731</f>
        <v>0</v>
      </c>
      <c r="I41" s="319">
        <f>[1]IFE!$K4731</f>
        <v>0</v>
      </c>
      <c r="J41" s="319">
        <f>[1]IFE!$F4731</f>
        <v>0</v>
      </c>
      <c r="K41" s="319">
        <f>[1]IFE!$L4731</f>
        <v>0</v>
      </c>
      <c r="L41" s="321">
        <f>[1]IFE!$G4731</f>
        <v>0</v>
      </c>
      <c r="M41" s="322">
        <f>F41*[1]IFE!$J4731</f>
        <v>0</v>
      </c>
      <c r="N41" s="323">
        <f>[1]IFE!$AO$318*F41</f>
        <v>0</v>
      </c>
      <c r="O41" s="328">
        <f>[1]IFE!$AO$308*G40</f>
        <v>0</v>
      </c>
    </row>
    <row r="42" spans="1:15" ht="11.1" customHeight="1" x14ac:dyDescent="0.25">
      <c r="A42" s="354">
        <f>[1]IFE!$A4732</f>
        <v>0</v>
      </c>
      <c r="B42" s="355"/>
      <c r="C42" s="317">
        <f>[1]IFE!$B4732</f>
        <v>0</v>
      </c>
      <c r="D42" s="318">
        <f>[1]IFE!$J4732</f>
        <v>0</v>
      </c>
      <c r="E42" s="319">
        <f>[1]IFE!$D4732</f>
        <v>0</v>
      </c>
      <c r="F42" s="320">
        <f>[1]IFE!$C4732+[1]IFE!$P4732</f>
        <v>0</v>
      </c>
      <c r="G42" s="319">
        <f>[1]IFE!$H4732+[1]IFE!$R4732</f>
        <v>0</v>
      </c>
      <c r="H42" s="319">
        <f>[1]IFE!$E4732</f>
        <v>0</v>
      </c>
      <c r="I42" s="319">
        <f>[1]IFE!$K4732</f>
        <v>0</v>
      </c>
      <c r="J42" s="319">
        <f>[1]IFE!$F4732</f>
        <v>0</v>
      </c>
      <c r="K42" s="319">
        <f>[1]IFE!$L4732</f>
        <v>0</v>
      </c>
      <c r="L42" s="321">
        <f>[1]IFE!$G4732</f>
        <v>0</v>
      </c>
      <c r="M42" s="322">
        <f>F42*[1]IFE!$J4732</f>
        <v>0</v>
      </c>
      <c r="N42" s="323">
        <f>[1]IFE!$AO$328*F42</f>
        <v>0</v>
      </c>
      <c r="O42" s="328">
        <f>[1]IFE!$AO$318*G41</f>
        <v>0</v>
      </c>
    </row>
    <row r="43" spans="1:15" ht="11.1" customHeight="1" x14ac:dyDescent="0.25">
      <c r="A43" s="354">
        <f>[1]IFE!$A4733</f>
        <v>0</v>
      </c>
      <c r="B43" s="355"/>
      <c r="C43" s="317">
        <f>[1]IFE!$B4733</f>
        <v>0</v>
      </c>
      <c r="D43" s="318">
        <f>[1]IFE!$J4733</f>
        <v>0</v>
      </c>
      <c r="E43" s="319">
        <f>[1]IFE!$D4733</f>
        <v>0</v>
      </c>
      <c r="F43" s="320">
        <f>[1]IFE!$C4733+[1]IFE!$P4733</f>
        <v>0</v>
      </c>
      <c r="G43" s="319">
        <f>[1]IFE!$H4733+[1]IFE!$R4733</f>
        <v>0</v>
      </c>
      <c r="H43" s="319">
        <f>[1]IFE!$E4733</f>
        <v>0</v>
      </c>
      <c r="I43" s="319">
        <f>[1]IFE!$K4733</f>
        <v>0</v>
      </c>
      <c r="J43" s="319">
        <f>[1]IFE!$F4733</f>
        <v>0</v>
      </c>
      <c r="K43" s="319">
        <f>[1]IFE!$L4733</f>
        <v>0</v>
      </c>
      <c r="L43" s="321">
        <f>[1]IFE!$G4733</f>
        <v>0</v>
      </c>
      <c r="M43" s="322">
        <f>F43*[1]IFE!$J4733</f>
        <v>0</v>
      </c>
      <c r="N43" s="323">
        <f>[1]IFE!$AO$338*F43</f>
        <v>0</v>
      </c>
      <c r="O43" s="328">
        <f>[1]IFE!$AO$328*G42</f>
        <v>0</v>
      </c>
    </row>
    <row r="44" spans="1:15" ht="11.1" customHeight="1" x14ac:dyDescent="0.25">
      <c r="A44" s="354">
        <f>[1]IFE!$A4734</f>
        <v>0</v>
      </c>
      <c r="B44" s="355"/>
      <c r="C44" s="317">
        <f>[1]IFE!$B4734</f>
        <v>0</v>
      </c>
      <c r="D44" s="318">
        <f>[1]IFE!$J4734</f>
        <v>0</v>
      </c>
      <c r="E44" s="319">
        <f>[1]IFE!$D4734</f>
        <v>0</v>
      </c>
      <c r="F44" s="320">
        <f>[1]IFE!$C4734+[1]IFE!$P4734</f>
        <v>0</v>
      </c>
      <c r="G44" s="319">
        <f>[1]IFE!$H4734+[1]IFE!$R4734</f>
        <v>0</v>
      </c>
      <c r="H44" s="319">
        <f>[1]IFE!$E4734</f>
        <v>0</v>
      </c>
      <c r="I44" s="319">
        <f>[1]IFE!$K4734</f>
        <v>0</v>
      </c>
      <c r="J44" s="319">
        <f>[1]IFE!$F4734</f>
        <v>0</v>
      </c>
      <c r="K44" s="319">
        <f>[1]IFE!$L4734</f>
        <v>0</v>
      </c>
      <c r="L44" s="321">
        <f>[1]IFE!$G4734</f>
        <v>0</v>
      </c>
      <c r="M44" s="322">
        <f>F44*[1]IFE!$J4734</f>
        <v>0</v>
      </c>
      <c r="N44" s="323">
        <f>[1]IFE!$AO$348*F44</f>
        <v>0</v>
      </c>
      <c r="O44" s="328">
        <f>[1]IFE!$AO$338*G43</f>
        <v>0</v>
      </c>
    </row>
    <row r="45" spans="1:15" ht="11.1" customHeight="1" x14ac:dyDescent="0.25">
      <c r="A45" s="354">
        <f>[1]IFE!$A4735</f>
        <v>0</v>
      </c>
      <c r="B45" s="355"/>
      <c r="C45" s="317">
        <f>[1]IFE!$B4735</f>
        <v>0</v>
      </c>
      <c r="D45" s="318">
        <f>[1]IFE!$J4735</f>
        <v>0</v>
      </c>
      <c r="E45" s="319">
        <f>[1]IFE!$D4735</f>
        <v>0</v>
      </c>
      <c r="F45" s="320">
        <f>[1]IFE!$C4735+[1]IFE!$P4735</f>
        <v>0</v>
      </c>
      <c r="G45" s="319">
        <f>[1]IFE!$H4735+[1]IFE!$R4735</f>
        <v>0</v>
      </c>
      <c r="H45" s="319">
        <f>[1]IFE!$E4735</f>
        <v>0</v>
      </c>
      <c r="I45" s="319">
        <f>[1]IFE!$K4735</f>
        <v>0</v>
      </c>
      <c r="J45" s="319">
        <f>[1]IFE!$F4735</f>
        <v>0</v>
      </c>
      <c r="K45" s="319">
        <f>[1]IFE!$L4735</f>
        <v>0</v>
      </c>
      <c r="L45" s="321">
        <f>[1]IFE!$G4735</f>
        <v>0</v>
      </c>
      <c r="M45" s="322">
        <f>F45*[1]IFE!$J4735</f>
        <v>0</v>
      </c>
      <c r="N45" s="323">
        <f>[1]IFE!$AO$358*F45</f>
        <v>0</v>
      </c>
      <c r="O45" s="328">
        <f>[1]IFE!$AO$348*G44</f>
        <v>0</v>
      </c>
    </row>
    <row r="46" spans="1:15" ht="11.1" customHeight="1" x14ac:dyDescent="0.25">
      <c r="A46" s="354">
        <f>[1]IFE!$A4736</f>
        <v>0</v>
      </c>
      <c r="B46" s="355"/>
      <c r="C46" s="317">
        <f>[1]IFE!$B4736</f>
        <v>0</v>
      </c>
      <c r="D46" s="318">
        <f>[1]IFE!$J4736</f>
        <v>0</v>
      </c>
      <c r="E46" s="319">
        <f>[1]IFE!$D4736</f>
        <v>0</v>
      </c>
      <c r="F46" s="320">
        <f>[1]IFE!$C4736+[1]IFE!$P4736</f>
        <v>0</v>
      </c>
      <c r="G46" s="319">
        <f>[1]IFE!$H4736+[1]IFE!$R4736</f>
        <v>0</v>
      </c>
      <c r="H46" s="319">
        <f>[1]IFE!$E4736</f>
        <v>0</v>
      </c>
      <c r="I46" s="319">
        <f>[1]IFE!$K4736</f>
        <v>0</v>
      </c>
      <c r="J46" s="319">
        <f>[1]IFE!$F4736</f>
        <v>0</v>
      </c>
      <c r="K46" s="319">
        <f>[1]IFE!$L4736</f>
        <v>0</v>
      </c>
      <c r="L46" s="321">
        <f>[1]IFE!$G4736</f>
        <v>0</v>
      </c>
      <c r="M46" s="322">
        <f>F46*[1]IFE!$J4736</f>
        <v>0</v>
      </c>
      <c r="N46" s="323">
        <f>[1]IFE!$AO$368*F46</f>
        <v>0</v>
      </c>
      <c r="O46" s="328">
        <f>[1]IFE!$AO$358*G45</f>
        <v>0</v>
      </c>
    </row>
    <row r="47" spans="1:15" ht="11.1" customHeight="1" x14ac:dyDescent="0.25">
      <c r="A47" s="354">
        <f>[1]IFE!$A4737</f>
        <v>0</v>
      </c>
      <c r="B47" s="355"/>
      <c r="C47" s="317">
        <f>[1]IFE!$B4737</f>
        <v>0</v>
      </c>
      <c r="D47" s="318">
        <f>[1]IFE!$J4737</f>
        <v>0</v>
      </c>
      <c r="E47" s="319">
        <f>[1]IFE!$D4737</f>
        <v>0</v>
      </c>
      <c r="F47" s="320">
        <f>[1]IFE!$C4737+[1]IFE!$P4737</f>
        <v>0</v>
      </c>
      <c r="G47" s="319">
        <f>[1]IFE!$H4737+[1]IFE!$R4737</f>
        <v>0</v>
      </c>
      <c r="H47" s="319">
        <f>[1]IFE!$E4737</f>
        <v>0</v>
      </c>
      <c r="I47" s="319">
        <f>[1]IFE!$K4737</f>
        <v>0</v>
      </c>
      <c r="J47" s="319">
        <f>[1]IFE!$F4737</f>
        <v>0</v>
      </c>
      <c r="K47" s="319">
        <f>[1]IFE!$L4737</f>
        <v>0</v>
      </c>
      <c r="L47" s="321">
        <f>[1]IFE!$G4737</f>
        <v>0</v>
      </c>
      <c r="M47" s="322">
        <f>F47*[1]IFE!$J4737</f>
        <v>0</v>
      </c>
      <c r="N47" s="323">
        <f>[1]IFE!$AO$378*F47</f>
        <v>0</v>
      </c>
      <c r="O47" s="328">
        <f>[1]IFE!$AO$368*G46</f>
        <v>0</v>
      </c>
    </row>
    <row r="48" spans="1:15" ht="11.1" customHeight="1" x14ac:dyDescent="0.25">
      <c r="A48" s="354">
        <f>[1]IFE!$A4738</f>
        <v>0</v>
      </c>
      <c r="B48" s="355"/>
      <c r="C48" s="317">
        <f>[1]IFE!$B4738</f>
        <v>0</v>
      </c>
      <c r="D48" s="318">
        <f>[1]IFE!$J4738</f>
        <v>0</v>
      </c>
      <c r="E48" s="319">
        <f>[1]IFE!$D4738</f>
        <v>0</v>
      </c>
      <c r="F48" s="320">
        <f>[1]IFE!$C4738+[1]IFE!$P4738</f>
        <v>0</v>
      </c>
      <c r="G48" s="319">
        <f>[1]IFE!$H4738+[1]IFE!$R4738</f>
        <v>0</v>
      </c>
      <c r="H48" s="319">
        <f>[1]IFE!$E4738</f>
        <v>0</v>
      </c>
      <c r="I48" s="319">
        <f>[1]IFE!$K4738</f>
        <v>0</v>
      </c>
      <c r="J48" s="319">
        <f>[1]IFE!$F4738</f>
        <v>0</v>
      </c>
      <c r="K48" s="319">
        <f>[1]IFE!$L4738</f>
        <v>0</v>
      </c>
      <c r="L48" s="321">
        <f>[1]IFE!$G4738</f>
        <v>0</v>
      </c>
      <c r="M48" s="322">
        <f>F48*[1]IFE!$J4738</f>
        <v>0</v>
      </c>
      <c r="N48" s="323">
        <f>[1]IFE!$AO$388*F48</f>
        <v>0</v>
      </c>
      <c r="O48" s="328">
        <f>[1]IFE!$AO$378*G47</f>
        <v>0</v>
      </c>
    </row>
    <row r="49" spans="1:29" ht="11.1" customHeight="1" x14ac:dyDescent="0.25">
      <c r="A49" s="354">
        <f>[1]IFE!$A4739</f>
        <v>0</v>
      </c>
      <c r="B49" s="355"/>
      <c r="C49" s="317">
        <f>[1]IFE!$B4739</f>
        <v>0</v>
      </c>
      <c r="D49" s="318">
        <f>[1]IFE!$J4739</f>
        <v>0</v>
      </c>
      <c r="E49" s="319">
        <f>[1]IFE!$D4739</f>
        <v>0</v>
      </c>
      <c r="F49" s="320">
        <f>[1]IFE!$C4739+[1]IFE!$P4739</f>
        <v>0</v>
      </c>
      <c r="G49" s="319">
        <f>[1]IFE!$H4739+[1]IFE!$R4739</f>
        <v>0</v>
      </c>
      <c r="H49" s="319">
        <f>[1]IFE!$E4739</f>
        <v>0</v>
      </c>
      <c r="I49" s="319">
        <f>[1]IFE!$K4739</f>
        <v>0</v>
      </c>
      <c r="J49" s="319">
        <f>[1]IFE!$F4739</f>
        <v>0</v>
      </c>
      <c r="K49" s="319">
        <f>[1]IFE!$L4739</f>
        <v>0</v>
      </c>
      <c r="L49" s="321">
        <f>[1]IFE!$G4739</f>
        <v>0</v>
      </c>
      <c r="M49" s="322">
        <f>F49*[1]IFE!$J4739</f>
        <v>0</v>
      </c>
      <c r="N49" s="323">
        <f>[1]IFE!$AO$398*F49</f>
        <v>0</v>
      </c>
      <c r="O49" s="328">
        <f>[1]IFE!$AO$388*G48</f>
        <v>0</v>
      </c>
    </row>
    <row r="50" spans="1:29" ht="11.1" customHeight="1" x14ac:dyDescent="0.25">
      <c r="A50" s="354">
        <f>[1]IFE!$A4740</f>
        <v>0</v>
      </c>
      <c r="B50" s="355"/>
      <c r="C50" s="317">
        <f>[1]IFE!$B4740</f>
        <v>0</v>
      </c>
      <c r="D50" s="318">
        <f>[1]IFE!$J4740</f>
        <v>0</v>
      </c>
      <c r="E50" s="319">
        <f>[1]IFE!$D4740</f>
        <v>0</v>
      </c>
      <c r="F50" s="320">
        <f>[1]IFE!$C4740+[1]IFE!$P4740</f>
        <v>0</v>
      </c>
      <c r="G50" s="319">
        <f>[1]IFE!$H4740+[1]IFE!$R4740</f>
        <v>0</v>
      </c>
      <c r="H50" s="319">
        <f>[1]IFE!$E4740</f>
        <v>0</v>
      </c>
      <c r="I50" s="319">
        <f>[1]IFE!$K4740</f>
        <v>0</v>
      </c>
      <c r="J50" s="319">
        <f>[1]IFE!$F4740</f>
        <v>0</v>
      </c>
      <c r="K50" s="319">
        <f>[1]IFE!$L4740</f>
        <v>0</v>
      </c>
      <c r="L50" s="321">
        <f>[1]IFE!$G4740</f>
        <v>0</v>
      </c>
      <c r="M50" s="322">
        <f>F50*[1]IFE!$J4740</f>
        <v>0</v>
      </c>
      <c r="N50" s="323">
        <f>[1]IFE!$AO$408*F50</f>
        <v>0</v>
      </c>
      <c r="O50" s="328">
        <f>[1]IFE!$AO$398*G49</f>
        <v>0</v>
      </c>
    </row>
    <row r="51" spans="1:29" ht="11.1" customHeight="1" x14ac:dyDescent="0.25">
      <c r="A51" s="354">
        <f>[1]IFE!$A4741</f>
        <v>0</v>
      </c>
      <c r="B51" s="355"/>
      <c r="C51" s="317">
        <f>[1]IFE!$B4741</f>
        <v>0</v>
      </c>
      <c r="D51" s="318">
        <f>[1]IFE!$J4741</f>
        <v>0</v>
      </c>
      <c r="E51" s="319">
        <f>[1]IFE!$D4741</f>
        <v>0</v>
      </c>
      <c r="F51" s="320">
        <f>[1]IFE!$C4741+[1]IFE!$P4741</f>
        <v>0</v>
      </c>
      <c r="G51" s="319">
        <f>[1]IFE!$H4741+[1]IFE!$R4741</f>
        <v>0</v>
      </c>
      <c r="H51" s="319">
        <f>[1]IFE!$E4741</f>
        <v>0</v>
      </c>
      <c r="I51" s="319">
        <f>[1]IFE!$K4741</f>
        <v>0</v>
      </c>
      <c r="J51" s="319">
        <f>[1]IFE!$F4741</f>
        <v>0</v>
      </c>
      <c r="K51" s="319">
        <f>[1]IFE!$L4741</f>
        <v>0</v>
      </c>
      <c r="L51" s="321">
        <f>[1]IFE!$G4741</f>
        <v>0</v>
      </c>
      <c r="M51" s="322">
        <f>F51*[1]IFE!$J4741</f>
        <v>0</v>
      </c>
      <c r="N51" s="323">
        <f>[1]IFE!$AO$418*F51</f>
        <v>0</v>
      </c>
      <c r="O51" s="328">
        <f>[1]IFE!$AO$408*G50</f>
        <v>0</v>
      </c>
    </row>
    <row r="52" spans="1:29" ht="11.1" customHeight="1" x14ac:dyDescent="0.25">
      <c r="A52" s="354">
        <f>[1]IFE!$A4742</f>
        <v>0</v>
      </c>
      <c r="B52" s="355"/>
      <c r="C52" s="317">
        <f>[1]IFE!$B4742</f>
        <v>0</v>
      </c>
      <c r="D52" s="318">
        <f>[1]IFE!$J4742</f>
        <v>0</v>
      </c>
      <c r="E52" s="319">
        <f>[1]IFE!$D4742</f>
        <v>0</v>
      </c>
      <c r="F52" s="320">
        <f>[1]IFE!$C4742+[1]IFE!$P4742</f>
        <v>0</v>
      </c>
      <c r="G52" s="319">
        <f>[1]IFE!$H4742+[1]IFE!$R4742</f>
        <v>0</v>
      </c>
      <c r="H52" s="319">
        <f>[1]IFE!$E4742</f>
        <v>0</v>
      </c>
      <c r="I52" s="319">
        <f>[1]IFE!$K4742</f>
        <v>0</v>
      </c>
      <c r="J52" s="319">
        <f>[1]IFE!$F4742</f>
        <v>0</v>
      </c>
      <c r="K52" s="319">
        <f>[1]IFE!$L4742</f>
        <v>0</v>
      </c>
      <c r="L52" s="321">
        <f>[1]IFE!$G4742</f>
        <v>0</v>
      </c>
      <c r="M52" s="322">
        <f>F52*[1]IFE!$J4742</f>
        <v>0</v>
      </c>
      <c r="N52" s="323">
        <f>[1]IFE!$AO$428*F52</f>
        <v>0</v>
      </c>
      <c r="O52" s="328">
        <f>[1]IFE!$AO$418*G51</f>
        <v>0</v>
      </c>
    </row>
    <row r="53" spans="1:29" ht="11.1" customHeight="1" x14ac:dyDescent="0.25">
      <c r="A53" s="354">
        <f>[1]IFE!$A4743</f>
        <v>0</v>
      </c>
      <c r="B53" s="355"/>
      <c r="C53" s="317">
        <f>[1]IFE!$B4743</f>
        <v>0</v>
      </c>
      <c r="D53" s="318">
        <f>[1]IFE!$J4743</f>
        <v>0</v>
      </c>
      <c r="E53" s="319">
        <f>[1]IFE!$D4743</f>
        <v>0</v>
      </c>
      <c r="F53" s="320">
        <f>[1]IFE!$C4743+[1]IFE!$P4743</f>
        <v>0</v>
      </c>
      <c r="G53" s="319">
        <f>[1]IFE!$H4743+[1]IFE!$R4743</f>
        <v>0</v>
      </c>
      <c r="H53" s="319">
        <f>[1]IFE!$E4743</f>
        <v>0</v>
      </c>
      <c r="I53" s="319">
        <f>[1]IFE!$K4743</f>
        <v>0</v>
      </c>
      <c r="J53" s="319">
        <f>[1]IFE!$F4743</f>
        <v>0</v>
      </c>
      <c r="K53" s="319">
        <f>[1]IFE!$L4743</f>
        <v>0</v>
      </c>
      <c r="L53" s="321">
        <f>[1]IFE!$G4743</f>
        <v>0</v>
      </c>
      <c r="M53" s="322">
        <f>F53*[1]IFE!$J4743</f>
        <v>0</v>
      </c>
      <c r="N53" s="323">
        <f>[1]IFE!$AO$438*F53</f>
        <v>0</v>
      </c>
      <c r="O53" s="328">
        <f>[1]IFE!$AO$428*G52</f>
        <v>0</v>
      </c>
    </row>
    <row r="54" spans="1:29" ht="11.1" customHeight="1" x14ac:dyDescent="0.25">
      <c r="A54" s="354">
        <f>[1]IFE!$A4744</f>
        <v>0</v>
      </c>
      <c r="B54" s="355"/>
      <c r="C54" s="317">
        <f>[1]IFE!$B4744</f>
        <v>0</v>
      </c>
      <c r="D54" s="318">
        <f>[1]IFE!$J4744</f>
        <v>0</v>
      </c>
      <c r="E54" s="319">
        <f>[1]IFE!$D4744</f>
        <v>0</v>
      </c>
      <c r="F54" s="320">
        <f>[1]IFE!$C4744+[1]IFE!$P4744</f>
        <v>0</v>
      </c>
      <c r="G54" s="319">
        <f>[1]IFE!$H4744+[1]IFE!$R4744</f>
        <v>0</v>
      </c>
      <c r="H54" s="319">
        <f>[1]IFE!$E4744</f>
        <v>0</v>
      </c>
      <c r="I54" s="319">
        <f>[1]IFE!$K4744</f>
        <v>0</v>
      </c>
      <c r="J54" s="319">
        <f>[1]IFE!$F4744</f>
        <v>0</v>
      </c>
      <c r="K54" s="319">
        <f>[1]IFE!$L4744</f>
        <v>0</v>
      </c>
      <c r="L54" s="321">
        <f>[1]IFE!$G4744</f>
        <v>0</v>
      </c>
      <c r="M54" s="322">
        <f>F54*[1]IFE!$J4744</f>
        <v>0</v>
      </c>
      <c r="N54" s="323">
        <f>[1]IFE!$AO$448*F54</f>
        <v>0</v>
      </c>
      <c r="O54" s="328">
        <f>[1]IFE!$AO$438*G53</f>
        <v>0</v>
      </c>
    </row>
    <row r="55" spans="1:29" ht="11.1" customHeight="1" x14ac:dyDescent="0.25">
      <c r="A55" s="354">
        <f>[1]IFE!$A4745</f>
        <v>0</v>
      </c>
      <c r="B55" s="355"/>
      <c r="C55" s="317">
        <f>[1]IFE!$B4745</f>
        <v>0</v>
      </c>
      <c r="D55" s="318">
        <f>[1]IFE!$J4745</f>
        <v>0</v>
      </c>
      <c r="E55" s="319">
        <f>[1]IFE!$D4745</f>
        <v>0</v>
      </c>
      <c r="F55" s="320">
        <f>[1]IFE!$C4745+[1]IFE!$P4745</f>
        <v>0</v>
      </c>
      <c r="G55" s="319">
        <f>[1]IFE!$H4745+[1]IFE!$R4745</f>
        <v>0</v>
      </c>
      <c r="H55" s="319">
        <f>[1]IFE!$E4745</f>
        <v>0</v>
      </c>
      <c r="I55" s="319">
        <f>[1]IFE!$K4745</f>
        <v>0</v>
      </c>
      <c r="J55" s="319">
        <f>[1]IFE!$F4745</f>
        <v>0</v>
      </c>
      <c r="K55" s="319">
        <f>[1]IFE!$L4745</f>
        <v>0</v>
      </c>
      <c r="L55" s="321">
        <f>[1]IFE!$G4745</f>
        <v>0</v>
      </c>
      <c r="M55" s="322">
        <f>F55*[1]IFE!$J4745</f>
        <v>0</v>
      </c>
      <c r="N55" s="323">
        <f>[1]IFE!$AO$458*F55</f>
        <v>0</v>
      </c>
      <c r="O55" s="328">
        <f>[1]IFE!$AO$448*G54</f>
        <v>0</v>
      </c>
    </row>
    <row r="56" spans="1:29" ht="11.1" customHeight="1" x14ac:dyDescent="0.25">
      <c r="A56" s="354">
        <f>[1]IFE!$A4746</f>
        <v>0</v>
      </c>
      <c r="B56" s="355"/>
      <c r="C56" s="317">
        <f>[1]IFE!$B4746</f>
        <v>0</v>
      </c>
      <c r="D56" s="318">
        <f>[1]IFE!$J4746</f>
        <v>0</v>
      </c>
      <c r="E56" s="319">
        <f>[1]IFE!$D4746</f>
        <v>0</v>
      </c>
      <c r="F56" s="320">
        <f>[1]IFE!$C4746+[1]IFE!$P4746</f>
        <v>0</v>
      </c>
      <c r="G56" s="319">
        <f>[1]IFE!$H4746+[1]IFE!$R4746</f>
        <v>0</v>
      </c>
      <c r="H56" s="319">
        <f>[1]IFE!$E4746</f>
        <v>0</v>
      </c>
      <c r="I56" s="319">
        <f>[1]IFE!$K4746</f>
        <v>0</v>
      </c>
      <c r="J56" s="319">
        <f>[1]IFE!$F4746</f>
        <v>0</v>
      </c>
      <c r="K56" s="319">
        <f>[1]IFE!$L4746</f>
        <v>0</v>
      </c>
      <c r="L56" s="321">
        <f>[1]IFE!$G4746</f>
        <v>0</v>
      </c>
      <c r="M56" s="322">
        <f>F56*[1]IFE!$J4746</f>
        <v>0</v>
      </c>
      <c r="N56" s="323">
        <f>[1]IFE!$AO$468*F56</f>
        <v>0</v>
      </c>
      <c r="O56" s="328">
        <f>[1]IFE!$AO$458*G55</f>
        <v>0</v>
      </c>
    </row>
    <row r="57" spans="1:29" ht="11.1" customHeight="1" x14ac:dyDescent="0.25">
      <c r="A57" s="354">
        <f>[1]IFE!$A4747</f>
        <v>0</v>
      </c>
      <c r="B57" s="355"/>
      <c r="C57" s="317">
        <f>[1]IFE!$B4747</f>
        <v>0</v>
      </c>
      <c r="D57" s="318">
        <f>[1]IFE!$J4747</f>
        <v>0</v>
      </c>
      <c r="E57" s="319">
        <f>[1]IFE!$D4747</f>
        <v>0</v>
      </c>
      <c r="F57" s="320">
        <f>[1]IFE!$C4747+[1]IFE!$P4747</f>
        <v>0</v>
      </c>
      <c r="G57" s="319">
        <f>[1]IFE!$H4747+[1]IFE!$R4747</f>
        <v>0</v>
      </c>
      <c r="H57" s="319">
        <f>[1]IFE!$E4747</f>
        <v>0</v>
      </c>
      <c r="I57" s="319">
        <f>[1]IFE!$K4747</f>
        <v>0</v>
      </c>
      <c r="J57" s="319">
        <f>[1]IFE!$F4747</f>
        <v>0</v>
      </c>
      <c r="K57" s="319">
        <f>[1]IFE!$L4747</f>
        <v>0</v>
      </c>
      <c r="L57" s="321">
        <f>[1]IFE!$G4747</f>
        <v>0</v>
      </c>
      <c r="M57" s="322">
        <f>F57*[1]IFE!$J4747</f>
        <v>0</v>
      </c>
      <c r="N57" s="323">
        <f>[1]IFE!$AO$478*F57</f>
        <v>0</v>
      </c>
      <c r="O57" s="328">
        <f>[1]IFE!$AO$468*G56</f>
        <v>0</v>
      </c>
    </row>
    <row r="58" spans="1:29" ht="11.1" customHeight="1" x14ac:dyDescent="0.25">
      <c r="A58" s="354">
        <f>[1]IFE!$A4748</f>
        <v>0</v>
      </c>
      <c r="B58" s="355"/>
      <c r="C58" s="317">
        <f>[1]IFE!$B4748</f>
        <v>0</v>
      </c>
      <c r="D58" s="318">
        <f>[1]IFE!$J4748</f>
        <v>0</v>
      </c>
      <c r="E58" s="319">
        <f>[1]IFE!$D4748</f>
        <v>0</v>
      </c>
      <c r="F58" s="320">
        <f>[1]IFE!$C4748+[1]IFE!$P4748</f>
        <v>0</v>
      </c>
      <c r="G58" s="319">
        <f>[1]IFE!$H4748+[1]IFE!$R4748</f>
        <v>0</v>
      </c>
      <c r="H58" s="319">
        <f>[1]IFE!$E4748</f>
        <v>0</v>
      </c>
      <c r="I58" s="319">
        <f>[1]IFE!$K4748</f>
        <v>0</v>
      </c>
      <c r="J58" s="319">
        <f>[1]IFE!$F4748</f>
        <v>0</v>
      </c>
      <c r="K58" s="319">
        <f>[1]IFE!$L4748</f>
        <v>0</v>
      </c>
      <c r="L58" s="321">
        <f>[1]IFE!$G4748</f>
        <v>0</v>
      </c>
      <c r="M58" s="322">
        <f>F58*[1]IFE!$J4748</f>
        <v>0</v>
      </c>
      <c r="N58" s="323">
        <f>[1]IFE!$AO$488*F58</f>
        <v>0</v>
      </c>
      <c r="O58" s="328">
        <f>[1]IFE!$AO$478*G57</f>
        <v>0</v>
      </c>
    </row>
    <row r="59" spans="1:29" ht="11.1" customHeight="1" x14ac:dyDescent="0.25">
      <c r="A59" s="354">
        <f>[1]IFE!$A4749</f>
        <v>0</v>
      </c>
      <c r="B59" s="355"/>
      <c r="C59" s="317">
        <f>[1]IFE!$B4749</f>
        <v>0</v>
      </c>
      <c r="D59" s="318">
        <f>[1]IFE!$J4749</f>
        <v>0</v>
      </c>
      <c r="E59" s="319">
        <f>[1]IFE!$D4749</f>
        <v>0</v>
      </c>
      <c r="F59" s="320">
        <f>[1]IFE!$C4749+[1]IFE!$P4749</f>
        <v>0</v>
      </c>
      <c r="G59" s="319">
        <f>[1]IFE!$H4749+[1]IFE!$R4749</f>
        <v>0</v>
      </c>
      <c r="H59" s="319">
        <f>[1]IFE!$E4749</f>
        <v>0</v>
      </c>
      <c r="I59" s="319">
        <f>[1]IFE!$K4749</f>
        <v>0</v>
      </c>
      <c r="J59" s="319">
        <f>[1]IFE!$F4749</f>
        <v>0</v>
      </c>
      <c r="K59" s="319">
        <f>[1]IFE!$L4749</f>
        <v>0</v>
      </c>
      <c r="L59" s="321">
        <f>[1]IFE!$G4749</f>
        <v>0</v>
      </c>
      <c r="M59" s="322">
        <f>F59*[1]IFE!$J4749</f>
        <v>0</v>
      </c>
      <c r="N59" s="323">
        <f>[1]IFE!$AO$498*F59</f>
        <v>0</v>
      </c>
      <c r="O59" s="328">
        <f>[1]IFE!$AO$488*G58</f>
        <v>0</v>
      </c>
    </row>
    <row r="60" spans="1:29" ht="11.1" customHeight="1" thickBot="1" x14ac:dyDescent="0.3">
      <c r="A60" s="626">
        <f>[1]IFE!$A4750</f>
        <v>0</v>
      </c>
      <c r="B60" s="627"/>
      <c r="C60" s="519">
        <f>[1]IFE!$B4750</f>
        <v>0</v>
      </c>
      <c r="D60" s="333">
        <f>[1]IFE!$J4750</f>
        <v>0</v>
      </c>
      <c r="E60" s="520">
        <f>[1]IFE!$D4750</f>
        <v>0</v>
      </c>
      <c r="F60" s="521">
        <f>[1]IFE!$C4750+[1]IFE!$P4750</f>
        <v>0</v>
      </c>
      <c r="G60" s="520">
        <f>[1]IFE!$H4750+[1]IFE!$R4750</f>
        <v>0</v>
      </c>
      <c r="H60" s="520">
        <f>[1]IFE!$E4750</f>
        <v>0</v>
      </c>
      <c r="I60" s="520">
        <f>[1]IFE!$K4750</f>
        <v>0</v>
      </c>
      <c r="J60" s="520">
        <f>[1]IFE!$F4750</f>
        <v>0</v>
      </c>
      <c r="K60" s="520">
        <f>[1]IFE!$L4750</f>
        <v>0</v>
      </c>
      <c r="L60" s="522">
        <f>[1]IFE!$G4750</f>
        <v>0</v>
      </c>
      <c r="M60" s="336">
        <f>F60*[1]IFE!$J4750</f>
        <v>0</v>
      </c>
      <c r="N60" s="323">
        <f>[1]IFE!$AO$508*F60</f>
        <v>0</v>
      </c>
      <c r="O60" s="328">
        <f>[1]IFE!$AO$498*G59</f>
        <v>0</v>
      </c>
    </row>
    <row r="61" spans="1:29" ht="20.100000000000001" customHeight="1" thickTop="1" x14ac:dyDescent="0.3">
      <c r="A61" s="337"/>
      <c r="B61" s="337"/>
      <c r="C61" s="337"/>
      <c r="D61" s="337"/>
      <c r="E61" s="625"/>
      <c r="F61" s="625"/>
      <c r="G61" s="771" t="s">
        <v>196</v>
      </c>
      <c r="H61" s="771"/>
      <c r="I61" s="771"/>
      <c r="J61" s="771"/>
      <c r="K61" s="771"/>
      <c r="L61" s="771"/>
      <c r="M61" s="771"/>
      <c r="N61" s="323">
        <f>[1]IFE!$AO$538*F73</f>
        <v>0</v>
      </c>
      <c r="O61" s="328">
        <f>[1]IFE!$AO$528*G72</f>
        <v>0</v>
      </c>
      <c r="T61" s="338"/>
      <c r="U61" s="338"/>
      <c r="V61" s="338"/>
      <c r="W61" s="338"/>
      <c r="X61" s="338"/>
      <c r="Y61" s="338"/>
      <c r="Z61" s="338"/>
      <c r="AA61" s="338"/>
      <c r="AB61" s="338"/>
      <c r="AC61" s="338"/>
    </row>
    <row r="62" spans="1:29" ht="24.9" customHeight="1" x14ac:dyDescent="0.25">
      <c r="A62" s="337"/>
      <c r="B62" s="337"/>
      <c r="C62" s="337"/>
      <c r="D62" s="337"/>
      <c r="E62" s="622"/>
      <c r="F62" s="622"/>
      <c r="G62" s="772" t="s">
        <v>178</v>
      </c>
      <c r="H62" s="772"/>
      <c r="I62" s="772"/>
      <c r="J62" s="772"/>
      <c r="K62" s="772"/>
      <c r="L62" s="772"/>
      <c r="M62" s="772"/>
      <c r="N62" s="323">
        <f>[1]IFE!$AO$548*F74</f>
        <v>0</v>
      </c>
      <c r="O62" s="328">
        <f>[1]IFE!$AO$538*G73</f>
        <v>0</v>
      </c>
      <c r="T62" s="338"/>
      <c r="U62" s="338"/>
      <c r="V62" s="338"/>
      <c r="W62" s="338"/>
      <c r="X62" s="338"/>
      <c r="Y62" s="338"/>
      <c r="Z62" s="338"/>
      <c r="AA62" s="338"/>
      <c r="AB62" s="338"/>
      <c r="AC62" s="338"/>
    </row>
    <row r="63" spans="1:29" ht="12.75" customHeight="1" x14ac:dyDescent="0.25">
      <c r="A63" s="3"/>
      <c r="B63" s="283" t="s">
        <v>11</v>
      </c>
      <c r="C63" s="284" t="str">
        <f>[1]IFE!$B$6</f>
        <v>Cardon IV</v>
      </c>
      <c r="D63" s="284"/>
      <c r="E63" s="285"/>
      <c r="F63" s="3"/>
      <c r="G63" s="3"/>
      <c r="H63" s="3"/>
      <c r="I63" s="286" t="s">
        <v>179</v>
      </c>
      <c r="J63" s="777">
        <f>[1]IFE!$B$119</f>
        <v>39989</v>
      </c>
      <c r="K63" s="777"/>
      <c r="L63" s="287"/>
      <c r="N63" s="323">
        <f>[1]IFE!$AO$568*F76</f>
        <v>0</v>
      </c>
      <c r="O63" s="328">
        <f>[1]IFE!$AO$558*G75</f>
        <v>0</v>
      </c>
    </row>
    <row r="64" spans="1:29" ht="12.75" customHeight="1" x14ac:dyDescent="0.25">
      <c r="A64" s="3"/>
      <c r="B64" s="283" t="s">
        <v>8</v>
      </c>
      <c r="C64" s="284" t="str">
        <f>[1]IFE!$B$8</f>
        <v>Perla-1X</v>
      </c>
      <c r="D64" s="284"/>
      <c r="E64" s="3"/>
      <c r="F64" s="3"/>
      <c r="G64" s="3"/>
      <c r="H64" s="3"/>
      <c r="I64" s="288" t="s">
        <v>180</v>
      </c>
      <c r="J64" s="289">
        <f>[1]IFE!$B$166</f>
        <v>9</v>
      </c>
      <c r="K64" s="3"/>
      <c r="M64" s="290"/>
      <c r="N64" s="323">
        <f>[1]IFE!$AO$578*F77</f>
        <v>0</v>
      </c>
      <c r="O64" s="328">
        <f>[1]IFE!$AO$568*G76</f>
        <v>0</v>
      </c>
    </row>
    <row r="65" spans="1:15" ht="12.75" customHeight="1" thickBot="1" x14ac:dyDescent="0.3">
      <c r="A65" s="3"/>
      <c r="B65" s="283" t="s">
        <v>181</v>
      </c>
      <c r="C65" s="291" t="str">
        <f>[1]IFE!$B$11</f>
        <v>Offshore</v>
      </c>
      <c r="D65" s="291"/>
      <c r="E65" s="283"/>
      <c r="F65" s="284"/>
      <c r="G65" s="3"/>
      <c r="H65" s="3"/>
      <c r="I65" s="283" t="s">
        <v>182</v>
      </c>
      <c r="J65" s="292">
        <v>2</v>
      </c>
      <c r="K65" s="3"/>
      <c r="M65" s="290"/>
      <c r="N65" s="323">
        <f>[1]IFE!$AO$588*F78</f>
        <v>0</v>
      </c>
      <c r="O65" s="328">
        <f>[1]IFE!$AO$578*G77</f>
        <v>0</v>
      </c>
    </row>
    <row r="66" spans="1:15" ht="12.75" customHeight="1" thickTop="1" x14ac:dyDescent="0.25">
      <c r="A66" s="339"/>
      <c r="B66" s="295"/>
      <c r="C66" s="297"/>
      <c r="D66" s="297"/>
      <c r="E66" s="778" t="s">
        <v>183</v>
      </c>
      <c r="F66" s="778"/>
      <c r="G66" s="778"/>
      <c r="H66" s="778"/>
      <c r="I66" s="778"/>
      <c r="J66" s="297"/>
      <c r="K66" s="340"/>
      <c r="L66" s="341"/>
      <c r="M66" s="342"/>
      <c r="N66" s="323">
        <f>[1]IFE!$AO$628*F82</f>
        <v>0</v>
      </c>
      <c r="O66" s="328">
        <f>[1]IFE!$AO$618*G81</f>
        <v>0</v>
      </c>
    </row>
    <row r="67" spans="1:15" ht="12.75" customHeight="1" x14ac:dyDescent="0.25">
      <c r="A67" s="343"/>
      <c r="B67" s="291"/>
      <c r="D67" s="300" t="s">
        <v>184</v>
      </c>
      <c r="F67" s="780">
        <f>$F7</f>
        <v>5749.32</v>
      </c>
      <c r="G67" s="780"/>
      <c r="I67" s="616"/>
      <c r="J67" s="300" t="s">
        <v>238</v>
      </c>
      <c r="K67" s="774">
        <f>$K$7</f>
        <v>0</v>
      </c>
      <c r="L67" s="775"/>
      <c r="M67" s="344"/>
      <c r="N67" s="345"/>
      <c r="O67" s="346"/>
    </row>
    <row r="68" spans="1:15" ht="12.75" customHeight="1" thickBot="1" x14ac:dyDescent="0.3">
      <c r="A68" s="303"/>
      <c r="B68" s="304"/>
      <c r="D68" s="305" t="s">
        <v>185</v>
      </c>
      <c r="E68" s="304"/>
      <c r="F68" s="776">
        <f>$F$8</f>
        <v>89939.53</v>
      </c>
      <c r="G68" s="776"/>
      <c r="H68" s="304"/>
      <c r="I68" s="304"/>
      <c r="J68" s="304"/>
      <c r="K68" s="304"/>
      <c r="L68" s="347"/>
      <c r="M68" s="348"/>
      <c r="N68" s="345"/>
      <c r="O68" s="346"/>
    </row>
    <row r="69" spans="1:15" ht="12" customHeight="1" thickTop="1" x14ac:dyDescent="0.25">
      <c r="A69" s="307" t="s">
        <v>186</v>
      </c>
      <c r="B69" s="349"/>
      <c r="C69" s="309" t="s">
        <v>187</v>
      </c>
      <c r="D69" s="309" t="s">
        <v>161</v>
      </c>
      <c r="E69" s="309" t="s">
        <v>95</v>
      </c>
      <c r="F69" s="309" t="s">
        <v>138</v>
      </c>
      <c r="G69" s="309" t="s">
        <v>188</v>
      </c>
      <c r="H69" s="309" t="s">
        <v>138</v>
      </c>
      <c r="I69" s="309" t="s">
        <v>188</v>
      </c>
      <c r="J69" s="309" t="s">
        <v>138</v>
      </c>
      <c r="K69" s="309" t="s">
        <v>189</v>
      </c>
      <c r="L69" s="310" t="s">
        <v>100</v>
      </c>
      <c r="M69" s="516" t="s">
        <v>138</v>
      </c>
      <c r="N69" s="345"/>
      <c r="O69" s="346"/>
    </row>
    <row r="70" spans="1:15" ht="12" customHeight="1" thickBot="1" x14ac:dyDescent="0.3">
      <c r="A70" s="350"/>
      <c r="B70" s="351"/>
      <c r="C70" s="352" t="s">
        <v>49</v>
      </c>
      <c r="D70" s="352" t="s">
        <v>191</v>
      </c>
      <c r="E70" s="352" t="s">
        <v>195</v>
      </c>
      <c r="F70" s="352" t="s">
        <v>97</v>
      </c>
      <c r="G70" s="352" t="s">
        <v>97</v>
      </c>
      <c r="H70" s="352" t="s">
        <v>192</v>
      </c>
      <c r="I70" s="352" t="s">
        <v>192</v>
      </c>
      <c r="J70" s="352" t="s">
        <v>99</v>
      </c>
      <c r="K70" s="352" t="s">
        <v>99</v>
      </c>
      <c r="L70" s="353" t="s">
        <v>193</v>
      </c>
      <c r="M70" s="517" t="s">
        <v>159</v>
      </c>
      <c r="N70" s="345"/>
      <c r="O70" s="346"/>
    </row>
    <row r="71" spans="1:15" ht="11.1" customHeight="1" thickTop="1" x14ac:dyDescent="0.25">
      <c r="A71" s="523">
        <f>[1]IFE!$A4751</f>
        <v>0</v>
      </c>
      <c r="B71" s="524"/>
      <c r="C71" s="525">
        <f>[1]IFE!$B4751</f>
        <v>0</v>
      </c>
      <c r="D71" s="526">
        <f>[1]IFE!$J4751</f>
        <v>0</v>
      </c>
      <c r="E71" s="515">
        <f>[1]IFE!$D4751</f>
        <v>0</v>
      </c>
      <c r="F71" s="527">
        <f>[1]IFE!$C4751+[1]IFE!$P4751</f>
        <v>0</v>
      </c>
      <c r="G71" s="515">
        <f>[1]IFE!$H4751+[1]IFE!$R4751</f>
        <v>0</v>
      </c>
      <c r="H71" s="515">
        <f>[1]IFE!$E4751</f>
        <v>0</v>
      </c>
      <c r="I71" s="515">
        <f>[1]IFE!$K4751</f>
        <v>0</v>
      </c>
      <c r="J71" s="515">
        <f>[1]IFE!$F4751</f>
        <v>0</v>
      </c>
      <c r="K71" s="515">
        <f>[1]IFE!$L4751</f>
        <v>0</v>
      </c>
      <c r="L71" s="528">
        <f>[1]IFE!$G4751</f>
        <v>0</v>
      </c>
      <c r="M71" s="529">
        <f>F71*[1]IFE!$J4751</f>
        <v>0</v>
      </c>
      <c r="N71" s="345"/>
      <c r="O71" s="346"/>
    </row>
    <row r="72" spans="1:15" ht="11.1" customHeight="1" x14ac:dyDescent="0.25">
      <c r="A72" s="315">
        <f>[1]IFE!$A4752</f>
        <v>0</v>
      </c>
      <c r="B72" s="316"/>
      <c r="C72" s="325">
        <f>[1]IFE!$B4752</f>
        <v>0</v>
      </c>
      <c r="D72" s="329">
        <f>[1]IFE!$J4752</f>
        <v>0</v>
      </c>
      <c r="E72" s="326">
        <f>[1]IFE!$D4752</f>
        <v>0</v>
      </c>
      <c r="F72" s="518">
        <f>[1]IFE!$C4752+[1]IFE!$P4752</f>
        <v>0</v>
      </c>
      <c r="G72" s="326">
        <f>[1]IFE!$H4752+[1]IFE!$R4752</f>
        <v>0</v>
      </c>
      <c r="H72" s="326">
        <f>[1]IFE!$E4752</f>
        <v>0</v>
      </c>
      <c r="I72" s="326">
        <f>[1]IFE!$K4752</f>
        <v>0</v>
      </c>
      <c r="J72" s="326">
        <f>[1]IFE!$F4752</f>
        <v>0</v>
      </c>
      <c r="K72" s="326">
        <f>[1]IFE!$L4752</f>
        <v>0</v>
      </c>
      <c r="L72" s="327">
        <f>[1]IFE!$G4752</f>
        <v>0</v>
      </c>
      <c r="M72" s="322">
        <f>F72*[1]IFE!$J4752</f>
        <v>0</v>
      </c>
      <c r="N72" s="345"/>
      <c r="O72" s="346"/>
    </row>
    <row r="73" spans="1:15" ht="11.1" customHeight="1" x14ac:dyDescent="0.25">
      <c r="A73" s="315">
        <f>[1]IFE!$A4753</f>
        <v>0</v>
      </c>
      <c r="B73" s="316"/>
      <c r="C73" s="325">
        <f>[1]IFE!$B4753</f>
        <v>0</v>
      </c>
      <c r="D73" s="329">
        <f>[1]IFE!$J4753</f>
        <v>0</v>
      </c>
      <c r="E73" s="326">
        <f>[1]IFE!$D4753</f>
        <v>0</v>
      </c>
      <c r="F73" s="518">
        <f>[1]IFE!$C4753+[1]IFE!$P4753</f>
        <v>0</v>
      </c>
      <c r="G73" s="326">
        <f>[1]IFE!$H4753+[1]IFE!$R4753</f>
        <v>0</v>
      </c>
      <c r="H73" s="326">
        <f>[1]IFE!$E4753</f>
        <v>0</v>
      </c>
      <c r="I73" s="326">
        <f>[1]IFE!$K4753</f>
        <v>0</v>
      </c>
      <c r="J73" s="326">
        <f>[1]IFE!$F4753</f>
        <v>0</v>
      </c>
      <c r="K73" s="326">
        <f>[1]IFE!$L4753</f>
        <v>0</v>
      </c>
      <c r="L73" s="327">
        <f>[1]IFE!$G4753</f>
        <v>0</v>
      </c>
      <c r="M73" s="322">
        <f>F73*[1]IFE!$J4753</f>
        <v>0</v>
      </c>
      <c r="N73" s="345"/>
      <c r="O73" s="346"/>
    </row>
    <row r="74" spans="1:15" ht="11.1" customHeight="1" x14ac:dyDescent="0.25">
      <c r="A74" s="315">
        <f>[1]IFE!$A4754</f>
        <v>0</v>
      </c>
      <c r="B74" s="316"/>
      <c r="C74" s="325">
        <f>[1]IFE!$B4754</f>
        <v>0</v>
      </c>
      <c r="D74" s="329">
        <f>[1]IFE!$J4754</f>
        <v>0</v>
      </c>
      <c r="E74" s="326">
        <f>[1]IFE!$D4754</f>
        <v>0</v>
      </c>
      <c r="F74" s="518">
        <f>[1]IFE!$C4754+[1]IFE!$P4754</f>
        <v>0</v>
      </c>
      <c r="G74" s="326">
        <f>[1]IFE!$H4754+[1]IFE!$R4754</f>
        <v>0</v>
      </c>
      <c r="H74" s="326">
        <f>[1]IFE!$E4754</f>
        <v>0</v>
      </c>
      <c r="I74" s="326">
        <f>[1]IFE!$K4754</f>
        <v>0</v>
      </c>
      <c r="J74" s="326">
        <f>[1]IFE!$F4754</f>
        <v>0</v>
      </c>
      <c r="K74" s="326">
        <f>[1]IFE!$L4754</f>
        <v>0</v>
      </c>
      <c r="L74" s="327">
        <f>[1]IFE!$G4754</f>
        <v>0</v>
      </c>
      <c r="M74" s="322">
        <f>F74*[1]IFE!$J4754</f>
        <v>0</v>
      </c>
      <c r="N74" s="345"/>
      <c r="O74" s="346"/>
    </row>
    <row r="75" spans="1:15" ht="11.1" customHeight="1" x14ac:dyDescent="0.25">
      <c r="A75" s="315">
        <f>[1]IFE!$A4755</f>
        <v>0</v>
      </c>
      <c r="B75" s="316"/>
      <c r="C75" s="325">
        <f>[1]IFE!$B4755</f>
        <v>0</v>
      </c>
      <c r="D75" s="329">
        <f>[1]IFE!$J4755</f>
        <v>0</v>
      </c>
      <c r="E75" s="326">
        <f>[1]IFE!$D4755</f>
        <v>0</v>
      </c>
      <c r="F75" s="518">
        <f>[1]IFE!$C4755+[1]IFE!$P4755</f>
        <v>0</v>
      </c>
      <c r="G75" s="326">
        <f>[1]IFE!$H4755+[1]IFE!$R4755</f>
        <v>0</v>
      </c>
      <c r="H75" s="326">
        <f>[1]IFE!$E4755</f>
        <v>0</v>
      </c>
      <c r="I75" s="326">
        <f>[1]IFE!$K4755</f>
        <v>0</v>
      </c>
      <c r="J75" s="326">
        <f>[1]IFE!$F4755</f>
        <v>0</v>
      </c>
      <c r="K75" s="326">
        <f>[1]IFE!$L4755</f>
        <v>0</v>
      </c>
      <c r="L75" s="327">
        <f>[1]IFE!$G4755</f>
        <v>0</v>
      </c>
      <c r="M75" s="322">
        <f>F75*[1]IFE!$J4755</f>
        <v>0</v>
      </c>
      <c r="N75" s="345"/>
      <c r="O75" s="346"/>
    </row>
    <row r="76" spans="1:15" ht="11.1" customHeight="1" x14ac:dyDescent="0.25">
      <c r="A76" s="315">
        <f>[1]IFE!$A4756</f>
        <v>0</v>
      </c>
      <c r="B76" s="316"/>
      <c r="C76" s="325">
        <f>[1]IFE!$B4756</f>
        <v>0</v>
      </c>
      <c r="D76" s="329">
        <f>[1]IFE!$J4756</f>
        <v>0</v>
      </c>
      <c r="E76" s="326">
        <f>[1]IFE!$D4756</f>
        <v>0</v>
      </c>
      <c r="F76" s="518">
        <f>[1]IFE!$C4756+[1]IFE!$P4756</f>
        <v>0</v>
      </c>
      <c r="G76" s="326">
        <f>[1]IFE!$H4756+[1]IFE!$R4756</f>
        <v>0</v>
      </c>
      <c r="H76" s="326">
        <f>[1]IFE!$E4756</f>
        <v>0</v>
      </c>
      <c r="I76" s="326">
        <f>[1]IFE!$K4756</f>
        <v>0</v>
      </c>
      <c r="J76" s="326">
        <f>[1]IFE!$F4756</f>
        <v>0</v>
      </c>
      <c r="K76" s="326">
        <f>[1]IFE!$L4756</f>
        <v>0</v>
      </c>
      <c r="L76" s="327">
        <f>[1]IFE!$G4756</f>
        <v>0</v>
      </c>
      <c r="M76" s="322">
        <f>F76*[1]IFE!$J4756</f>
        <v>0</v>
      </c>
      <c r="N76" s="345"/>
      <c r="O76" s="346"/>
    </row>
    <row r="77" spans="1:15" ht="11.1" customHeight="1" x14ac:dyDescent="0.25">
      <c r="A77" s="315">
        <f>[1]IFE!$A4757</f>
        <v>0</v>
      </c>
      <c r="B77" s="316"/>
      <c r="C77" s="325">
        <f>[1]IFE!$B4757</f>
        <v>0</v>
      </c>
      <c r="D77" s="329">
        <f>[1]IFE!$J4757</f>
        <v>0</v>
      </c>
      <c r="E77" s="326">
        <f>[1]IFE!$D4757</f>
        <v>0</v>
      </c>
      <c r="F77" s="518">
        <f>[1]IFE!$C4757+[1]IFE!$P4757</f>
        <v>0</v>
      </c>
      <c r="G77" s="326">
        <f>[1]IFE!$H4757+[1]IFE!$R4757</f>
        <v>0</v>
      </c>
      <c r="H77" s="326">
        <f>[1]IFE!$E4757</f>
        <v>0</v>
      </c>
      <c r="I77" s="326">
        <f>[1]IFE!$K4757</f>
        <v>0</v>
      </c>
      <c r="J77" s="326">
        <f>[1]IFE!$F4757</f>
        <v>0</v>
      </c>
      <c r="K77" s="326">
        <f>[1]IFE!$L4757</f>
        <v>0</v>
      </c>
      <c r="L77" s="327">
        <f>[1]IFE!$G4757</f>
        <v>0</v>
      </c>
      <c r="M77" s="322">
        <f>F77*[1]IFE!$J4757</f>
        <v>0</v>
      </c>
      <c r="N77" s="345"/>
      <c r="O77" s="346"/>
    </row>
    <row r="78" spans="1:15" ht="11.1" customHeight="1" x14ac:dyDescent="0.25">
      <c r="A78" s="315">
        <f>[1]IFE!$A4758</f>
        <v>0</v>
      </c>
      <c r="B78" s="316"/>
      <c r="C78" s="325">
        <f>[1]IFE!$B4758</f>
        <v>0</v>
      </c>
      <c r="D78" s="329">
        <f>[1]IFE!$J4758</f>
        <v>0</v>
      </c>
      <c r="E78" s="326">
        <f>[1]IFE!$D4758</f>
        <v>0</v>
      </c>
      <c r="F78" s="518">
        <f>[1]IFE!$C4758+[1]IFE!$P4758</f>
        <v>0</v>
      </c>
      <c r="G78" s="326">
        <f>[1]IFE!$H4758+[1]IFE!$R4758</f>
        <v>0</v>
      </c>
      <c r="H78" s="326">
        <f>[1]IFE!$E4758</f>
        <v>0</v>
      </c>
      <c r="I78" s="326">
        <f>[1]IFE!$K4758</f>
        <v>0</v>
      </c>
      <c r="J78" s="326">
        <f>[1]IFE!$F4758</f>
        <v>0</v>
      </c>
      <c r="K78" s="326">
        <f>[1]IFE!$L4758</f>
        <v>0</v>
      </c>
      <c r="L78" s="327">
        <f>[1]IFE!$G4758</f>
        <v>0</v>
      </c>
      <c r="M78" s="322">
        <f>F78*[1]IFE!$J4758</f>
        <v>0</v>
      </c>
      <c r="N78" s="345"/>
      <c r="O78" s="346"/>
    </row>
    <row r="79" spans="1:15" ht="11.1" customHeight="1" x14ac:dyDescent="0.25">
      <c r="A79" s="315">
        <f>[1]IFE!$A4759</f>
        <v>0</v>
      </c>
      <c r="B79" s="316"/>
      <c r="C79" s="325">
        <f>[1]IFE!$B4759</f>
        <v>0</v>
      </c>
      <c r="D79" s="329">
        <f>[1]IFE!$J4759</f>
        <v>0</v>
      </c>
      <c r="E79" s="326">
        <f>[1]IFE!$D4759</f>
        <v>0</v>
      </c>
      <c r="F79" s="518">
        <f>[1]IFE!$C4759+[1]IFE!$P4759</f>
        <v>0</v>
      </c>
      <c r="G79" s="326">
        <f>[1]IFE!$H4759+[1]IFE!$R4759</f>
        <v>0</v>
      </c>
      <c r="H79" s="326">
        <f>[1]IFE!$E4759</f>
        <v>0</v>
      </c>
      <c r="I79" s="326">
        <f>[1]IFE!$K4759</f>
        <v>0</v>
      </c>
      <c r="J79" s="326">
        <f>[1]IFE!$F4759</f>
        <v>0</v>
      </c>
      <c r="K79" s="326">
        <f>[1]IFE!$L4759</f>
        <v>0</v>
      </c>
      <c r="L79" s="327">
        <f>[1]IFE!$G4759</f>
        <v>0</v>
      </c>
      <c r="M79" s="322">
        <f>F79*[1]IFE!$J4759</f>
        <v>0</v>
      </c>
      <c r="N79" s="345"/>
      <c r="O79" s="346"/>
    </row>
    <row r="80" spans="1:15" ht="11.1" customHeight="1" x14ac:dyDescent="0.25">
      <c r="A80" s="315">
        <f>[1]IFE!$A4760</f>
        <v>0</v>
      </c>
      <c r="B80" s="316"/>
      <c r="C80" s="325">
        <f>[1]IFE!$B4760</f>
        <v>0</v>
      </c>
      <c r="D80" s="329">
        <f>[1]IFE!$J4760</f>
        <v>0</v>
      </c>
      <c r="E80" s="326">
        <f>[1]IFE!$D4760</f>
        <v>0</v>
      </c>
      <c r="F80" s="518">
        <f>[1]IFE!$C4760+[1]IFE!$P4760</f>
        <v>0</v>
      </c>
      <c r="G80" s="326">
        <f>[1]IFE!$H4760+[1]IFE!$R4760</f>
        <v>0</v>
      </c>
      <c r="H80" s="326">
        <f>[1]IFE!$E4760</f>
        <v>0</v>
      </c>
      <c r="I80" s="326">
        <f>[1]IFE!$K4760</f>
        <v>0</v>
      </c>
      <c r="J80" s="326">
        <f>[1]IFE!$F4760</f>
        <v>0</v>
      </c>
      <c r="K80" s="326">
        <f>[1]IFE!$L4760</f>
        <v>0</v>
      </c>
      <c r="L80" s="327">
        <f>[1]IFE!$G4760</f>
        <v>0</v>
      </c>
      <c r="M80" s="322">
        <f>F80*[1]IFE!$J4760</f>
        <v>0</v>
      </c>
      <c r="N80" s="337"/>
      <c r="O80" s="337"/>
    </row>
    <row r="81" spans="1:15" ht="11.1" customHeight="1" x14ac:dyDescent="0.25">
      <c r="A81" s="315">
        <f>[1]IFE!$A4761</f>
        <v>0</v>
      </c>
      <c r="B81" s="316"/>
      <c r="C81" s="325">
        <f>[1]IFE!$B4761</f>
        <v>0</v>
      </c>
      <c r="D81" s="329">
        <f>[1]IFE!$J4761</f>
        <v>0</v>
      </c>
      <c r="E81" s="326">
        <f>[1]IFE!$D4761</f>
        <v>0</v>
      </c>
      <c r="F81" s="518">
        <f>[1]IFE!$C4761+[1]IFE!$P4761</f>
        <v>0</v>
      </c>
      <c r="G81" s="326">
        <f>[1]IFE!$H4761+[1]IFE!$R4761</f>
        <v>0</v>
      </c>
      <c r="H81" s="326">
        <f>[1]IFE!$E4761</f>
        <v>0</v>
      </c>
      <c r="I81" s="326">
        <f>[1]IFE!$K4761</f>
        <v>0</v>
      </c>
      <c r="J81" s="326">
        <f>[1]IFE!$F4761</f>
        <v>0</v>
      </c>
      <c r="K81" s="326">
        <f>[1]IFE!$L4761</f>
        <v>0</v>
      </c>
      <c r="L81" s="327">
        <f>[1]IFE!$G4761</f>
        <v>0</v>
      </c>
      <c r="M81" s="322">
        <f>F81*[1]IFE!$J4761</f>
        <v>0</v>
      </c>
      <c r="N81" s="337"/>
      <c r="O81" s="337"/>
    </row>
    <row r="82" spans="1:15" ht="11.1" customHeight="1" x14ac:dyDescent="0.25">
      <c r="A82" s="315">
        <f>[1]IFE!$A4762</f>
        <v>0</v>
      </c>
      <c r="B82" s="316"/>
      <c r="C82" s="325">
        <f>[1]IFE!$B4762</f>
        <v>0</v>
      </c>
      <c r="D82" s="329">
        <f>[1]IFE!$J4762</f>
        <v>0</v>
      </c>
      <c r="E82" s="326">
        <f>[1]IFE!$D4762</f>
        <v>0</v>
      </c>
      <c r="F82" s="518">
        <f>[1]IFE!$C4762+[1]IFE!$P4762</f>
        <v>0</v>
      </c>
      <c r="G82" s="326">
        <f>[1]IFE!$H4762+[1]IFE!$R4762</f>
        <v>0</v>
      </c>
      <c r="H82" s="326">
        <f>[1]IFE!$E4762</f>
        <v>0</v>
      </c>
      <c r="I82" s="326">
        <f>[1]IFE!$K4762</f>
        <v>0</v>
      </c>
      <c r="J82" s="326">
        <f>[1]IFE!$F4762</f>
        <v>0</v>
      </c>
      <c r="K82" s="326">
        <f>[1]IFE!$L4762</f>
        <v>0</v>
      </c>
      <c r="L82" s="327">
        <f>[1]IFE!$G4762</f>
        <v>0</v>
      </c>
      <c r="M82" s="322">
        <f>F82*[1]IFE!$J4762</f>
        <v>0</v>
      </c>
      <c r="N82" s="337"/>
      <c r="O82" s="337"/>
    </row>
    <row r="83" spans="1:15" ht="11.1" customHeight="1" x14ac:dyDescent="0.25">
      <c r="A83" s="315">
        <f>[1]IFE!$A4763</f>
        <v>0</v>
      </c>
      <c r="B83" s="316"/>
      <c r="C83" s="325">
        <f>[1]IFE!$B4763</f>
        <v>0</v>
      </c>
      <c r="D83" s="329">
        <f>[1]IFE!$J4763</f>
        <v>0</v>
      </c>
      <c r="E83" s="326">
        <f>[1]IFE!$D4763</f>
        <v>0</v>
      </c>
      <c r="F83" s="518">
        <f>[1]IFE!$C4763+[1]IFE!$P4763</f>
        <v>0</v>
      </c>
      <c r="G83" s="326">
        <f>[1]IFE!$H4763+[1]IFE!$R4763</f>
        <v>0</v>
      </c>
      <c r="H83" s="326">
        <f>[1]IFE!$E4763</f>
        <v>0</v>
      </c>
      <c r="I83" s="326">
        <f>[1]IFE!$K4763</f>
        <v>0</v>
      </c>
      <c r="J83" s="326">
        <f>[1]IFE!$F4763</f>
        <v>0</v>
      </c>
      <c r="K83" s="326">
        <f>[1]IFE!$L4763</f>
        <v>0</v>
      </c>
      <c r="L83" s="327">
        <f>[1]IFE!$G4763</f>
        <v>0</v>
      </c>
      <c r="M83" s="322">
        <f>F83*[1]IFE!$J4763</f>
        <v>0</v>
      </c>
      <c r="N83" s="337"/>
      <c r="O83" s="337"/>
    </row>
    <row r="84" spans="1:15" ht="11.1" customHeight="1" x14ac:dyDescent="0.25">
      <c r="A84" s="315">
        <f>[1]IFE!$A4764</f>
        <v>0</v>
      </c>
      <c r="B84" s="316"/>
      <c r="C84" s="325">
        <f>[1]IFE!$B4764</f>
        <v>0</v>
      </c>
      <c r="D84" s="329">
        <f>[1]IFE!$J4764</f>
        <v>0</v>
      </c>
      <c r="E84" s="326">
        <f>[1]IFE!$D4764</f>
        <v>0</v>
      </c>
      <c r="F84" s="518">
        <f>[1]IFE!$C4764+[1]IFE!$P4764</f>
        <v>0</v>
      </c>
      <c r="G84" s="326">
        <f>[1]IFE!$H4764+[1]IFE!$R4764</f>
        <v>0</v>
      </c>
      <c r="H84" s="326">
        <f>[1]IFE!$E4764</f>
        <v>0</v>
      </c>
      <c r="I84" s="326">
        <f>[1]IFE!$K4764</f>
        <v>0</v>
      </c>
      <c r="J84" s="326">
        <f>[1]IFE!$F4764</f>
        <v>0</v>
      </c>
      <c r="K84" s="326">
        <f>[1]IFE!$L4764</f>
        <v>0</v>
      </c>
      <c r="L84" s="327">
        <f>[1]IFE!$G4764</f>
        <v>0</v>
      </c>
      <c r="M84" s="322">
        <f>F84*[1]IFE!$J4764</f>
        <v>0</v>
      </c>
      <c r="N84" s="337"/>
      <c r="O84" s="337"/>
    </row>
    <row r="85" spans="1:15" ht="11.1" customHeight="1" x14ac:dyDescent="0.25">
      <c r="A85" s="315">
        <f>[1]IFE!$A4765</f>
        <v>0</v>
      </c>
      <c r="B85" s="316"/>
      <c r="C85" s="325">
        <f>[1]IFE!$B4765</f>
        <v>0</v>
      </c>
      <c r="D85" s="329">
        <f>[1]IFE!$J4765</f>
        <v>0</v>
      </c>
      <c r="E85" s="326">
        <f>[1]IFE!$D4765</f>
        <v>0</v>
      </c>
      <c r="F85" s="518">
        <f>[1]IFE!$C4765+[1]IFE!$P4765</f>
        <v>0</v>
      </c>
      <c r="G85" s="326">
        <f>[1]IFE!$H4765+[1]IFE!$R4765</f>
        <v>0</v>
      </c>
      <c r="H85" s="326">
        <f>[1]IFE!$E4765</f>
        <v>0</v>
      </c>
      <c r="I85" s="326">
        <f>[1]IFE!$K4765</f>
        <v>0</v>
      </c>
      <c r="J85" s="326">
        <f>[1]IFE!$F4765</f>
        <v>0</v>
      </c>
      <c r="K85" s="326">
        <f>[1]IFE!$L4765</f>
        <v>0</v>
      </c>
      <c r="L85" s="327">
        <f>[1]IFE!$G4765</f>
        <v>0</v>
      </c>
      <c r="M85" s="322">
        <f>F85*[1]IFE!$J4765</f>
        <v>0</v>
      </c>
      <c r="N85" s="337"/>
      <c r="O85" s="337"/>
    </row>
    <row r="86" spans="1:15" ht="11.1" customHeight="1" x14ac:dyDescent="0.25">
      <c r="A86" s="315">
        <f>[1]IFE!$A4766</f>
        <v>0</v>
      </c>
      <c r="B86" s="316"/>
      <c r="C86" s="325">
        <f>[1]IFE!$B4766</f>
        <v>0</v>
      </c>
      <c r="D86" s="329">
        <f>[1]IFE!$J4766</f>
        <v>0</v>
      </c>
      <c r="E86" s="326">
        <f>[1]IFE!$D4766</f>
        <v>0</v>
      </c>
      <c r="F86" s="518">
        <f>[1]IFE!$C4766+[1]IFE!$P4766</f>
        <v>0</v>
      </c>
      <c r="G86" s="326">
        <f>[1]IFE!$H4766+[1]IFE!$R4766</f>
        <v>0</v>
      </c>
      <c r="H86" s="326">
        <f>[1]IFE!$E4766</f>
        <v>0</v>
      </c>
      <c r="I86" s="326">
        <f>[1]IFE!$K4766</f>
        <v>0</v>
      </c>
      <c r="J86" s="326">
        <f>[1]IFE!$F4766</f>
        <v>0</v>
      </c>
      <c r="K86" s="326">
        <f>[1]IFE!$L4766</f>
        <v>0</v>
      </c>
      <c r="L86" s="327">
        <f>[1]IFE!$G4766</f>
        <v>0</v>
      </c>
      <c r="M86" s="322">
        <f>F86*[1]IFE!$J4766</f>
        <v>0</v>
      </c>
      <c r="N86" s="337"/>
      <c r="O86" s="337"/>
    </row>
    <row r="87" spans="1:15" ht="11.1" customHeight="1" x14ac:dyDescent="0.25">
      <c r="A87" s="315">
        <f>[1]IFE!$A4767</f>
        <v>0</v>
      </c>
      <c r="B87" s="316"/>
      <c r="C87" s="325">
        <f>[1]IFE!$B4767</f>
        <v>0</v>
      </c>
      <c r="D87" s="329">
        <f>[1]IFE!$J4767</f>
        <v>0</v>
      </c>
      <c r="E87" s="326">
        <f>[1]IFE!$D4767</f>
        <v>0</v>
      </c>
      <c r="F87" s="518">
        <f>[1]IFE!$C4767+[1]IFE!$P4767</f>
        <v>0</v>
      </c>
      <c r="G87" s="326">
        <f>[1]IFE!$H4767+[1]IFE!$R4767</f>
        <v>0</v>
      </c>
      <c r="H87" s="326">
        <f>[1]IFE!$E4767</f>
        <v>0</v>
      </c>
      <c r="I87" s="326">
        <f>[1]IFE!$K4767</f>
        <v>0</v>
      </c>
      <c r="J87" s="326">
        <f>[1]IFE!$F4767</f>
        <v>0</v>
      </c>
      <c r="K87" s="326">
        <f>[1]IFE!$L4767</f>
        <v>0</v>
      </c>
      <c r="L87" s="327">
        <f>[1]IFE!$G4767</f>
        <v>0</v>
      </c>
      <c r="M87" s="322">
        <f>F87*[1]IFE!$J4767</f>
        <v>0</v>
      </c>
      <c r="N87" s="337"/>
      <c r="O87" s="337"/>
    </row>
    <row r="88" spans="1:15" ht="11.1" customHeight="1" x14ac:dyDescent="0.25">
      <c r="A88" s="315">
        <f>[1]IFE!$A4768</f>
        <v>0</v>
      </c>
      <c r="B88" s="316"/>
      <c r="C88" s="325">
        <f>[1]IFE!$B4768</f>
        <v>0</v>
      </c>
      <c r="D88" s="329">
        <f>[1]IFE!$J4768</f>
        <v>0</v>
      </c>
      <c r="E88" s="326">
        <f>[1]IFE!$D4768</f>
        <v>0</v>
      </c>
      <c r="F88" s="518">
        <f>[1]IFE!$C4768+[1]IFE!$P4768</f>
        <v>0</v>
      </c>
      <c r="G88" s="326">
        <f>[1]IFE!$H4768+[1]IFE!$R4768</f>
        <v>0</v>
      </c>
      <c r="H88" s="326">
        <f>[1]IFE!$E4768</f>
        <v>0</v>
      </c>
      <c r="I88" s="326">
        <f>[1]IFE!$K4768</f>
        <v>0</v>
      </c>
      <c r="J88" s="326">
        <f>[1]IFE!$F4768</f>
        <v>0</v>
      </c>
      <c r="K88" s="326">
        <f>[1]IFE!$L4768</f>
        <v>0</v>
      </c>
      <c r="L88" s="327">
        <f>[1]IFE!$G4768</f>
        <v>0</v>
      </c>
      <c r="M88" s="322">
        <f>F88*[1]IFE!$J4768</f>
        <v>0</v>
      </c>
      <c r="N88" s="337"/>
      <c r="O88" s="337"/>
    </row>
    <row r="89" spans="1:15" ht="11.1" customHeight="1" x14ac:dyDescent="0.25">
      <c r="A89" s="315">
        <f>[1]IFE!$A4769</f>
        <v>0</v>
      </c>
      <c r="B89" s="316"/>
      <c r="C89" s="325">
        <f>[1]IFE!$B4769</f>
        <v>0</v>
      </c>
      <c r="D89" s="329">
        <f>[1]IFE!$J4769</f>
        <v>0</v>
      </c>
      <c r="E89" s="326">
        <f>[1]IFE!$D4769</f>
        <v>0</v>
      </c>
      <c r="F89" s="518">
        <f>[1]IFE!$C4769+[1]IFE!$P4769</f>
        <v>0</v>
      </c>
      <c r="G89" s="326">
        <f>[1]IFE!$H4769+[1]IFE!$R4769</f>
        <v>0</v>
      </c>
      <c r="H89" s="326">
        <f>[1]IFE!$E4769</f>
        <v>0</v>
      </c>
      <c r="I89" s="326">
        <f>[1]IFE!$K4769</f>
        <v>0</v>
      </c>
      <c r="J89" s="326">
        <f>[1]IFE!$F4769</f>
        <v>0</v>
      </c>
      <c r="K89" s="326">
        <f>[1]IFE!$L4769</f>
        <v>0</v>
      </c>
      <c r="L89" s="327">
        <f>[1]IFE!$G4769</f>
        <v>0</v>
      </c>
      <c r="M89" s="322">
        <f>F89*[1]IFE!$J4769</f>
        <v>0</v>
      </c>
      <c r="N89" s="337"/>
      <c r="O89" s="337"/>
    </row>
    <row r="90" spans="1:15" ht="11.1" customHeight="1" x14ac:dyDescent="0.25">
      <c r="A90" s="315">
        <f>[1]IFE!$A4770</f>
        <v>0</v>
      </c>
      <c r="B90" s="316"/>
      <c r="C90" s="325">
        <f>[1]IFE!$B4770</f>
        <v>0</v>
      </c>
      <c r="D90" s="329">
        <f>[1]IFE!$J4770</f>
        <v>0</v>
      </c>
      <c r="E90" s="326">
        <f>[1]IFE!$D4770</f>
        <v>0</v>
      </c>
      <c r="F90" s="518">
        <f>[1]IFE!$C4770+[1]IFE!$P4770</f>
        <v>0</v>
      </c>
      <c r="G90" s="326">
        <f>[1]IFE!$H4770+[1]IFE!$R4770</f>
        <v>0</v>
      </c>
      <c r="H90" s="326">
        <f>[1]IFE!$E4770</f>
        <v>0</v>
      </c>
      <c r="I90" s="326">
        <f>[1]IFE!$K4770</f>
        <v>0</v>
      </c>
      <c r="J90" s="326">
        <f>[1]IFE!$F4770</f>
        <v>0</v>
      </c>
      <c r="K90" s="326">
        <f>[1]IFE!$L4770</f>
        <v>0</v>
      </c>
      <c r="L90" s="327">
        <f>[1]IFE!$G4770</f>
        <v>0</v>
      </c>
      <c r="M90" s="322">
        <f>F90*[1]IFE!$J4770</f>
        <v>0</v>
      </c>
      <c r="N90" s="337"/>
      <c r="O90" s="337"/>
    </row>
    <row r="91" spans="1:15" ht="11.1" customHeight="1" x14ac:dyDescent="0.25">
      <c r="A91" s="315">
        <f>[1]IFE!$A4771</f>
        <v>0</v>
      </c>
      <c r="B91" s="316"/>
      <c r="C91" s="325">
        <f>[1]IFE!$B4771</f>
        <v>0</v>
      </c>
      <c r="D91" s="329">
        <f>[1]IFE!$J4771</f>
        <v>0</v>
      </c>
      <c r="E91" s="326">
        <f>[1]IFE!$D4771</f>
        <v>0</v>
      </c>
      <c r="F91" s="518">
        <f>[1]IFE!$C4771+[1]IFE!$P4771</f>
        <v>0</v>
      </c>
      <c r="G91" s="326">
        <f>[1]IFE!$H4771+[1]IFE!$R4771</f>
        <v>0</v>
      </c>
      <c r="H91" s="326">
        <f>[1]IFE!$E4771</f>
        <v>0</v>
      </c>
      <c r="I91" s="326">
        <f>[1]IFE!$K4771</f>
        <v>0</v>
      </c>
      <c r="J91" s="326">
        <f>[1]IFE!$F4771</f>
        <v>0</v>
      </c>
      <c r="K91" s="326">
        <f>[1]IFE!$L4771</f>
        <v>0</v>
      </c>
      <c r="L91" s="327">
        <f>[1]IFE!$G4771</f>
        <v>0</v>
      </c>
      <c r="M91" s="322">
        <f>F91*[1]IFE!$J4771</f>
        <v>0</v>
      </c>
      <c r="N91" s="337"/>
      <c r="O91" s="337"/>
    </row>
    <row r="92" spans="1:15" ht="11.1" customHeight="1" x14ac:dyDescent="0.25">
      <c r="A92" s="315">
        <f>[1]IFE!$A4772</f>
        <v>0</v>
      </c>
      <c r="B92" s="316"/>
      <c r="C92" s="325">
        <f>[1]IFE!$B4772</f>
        <v>0</v>
      </c>
      <c r="D92" s="329">
        <f>[1]IFE!$J4772</f>
        <v>0</v>
      </c>
      <c r="E92" s="326">
        <f>[1]IFE!$D4772</f>
        <v>0</v>
      </c>
      <c r="F92" s="518">
        <f>[1]IFE!$C4772+[1]IFE!$P4772</f>
        <v>0</v>
      </c>
      <c r="G92" s="326">
        <f>[1]IFE!$H4772+[1]IFE!$R4772</f>
        <v>0</v>
      </c>
      <c r="H92" s="326">
        <f>[1]IFE!$E4772</f>
        <v>0</v>
      </c>
      <c r="I92" s="326">
        <f>[1]IFE!$K4772</f>
        <v>0</v>
      </c>
      <c r="J92" s="326">
        <f>[1]IFE!$F4772</f>
        <v>0</v>
      </c>
      <c r="K92" s="326">
        <f>[1]IFE!$L4772</f>
        <v>0</v>
      </c>
      <c r="L92" s="327">
        <f>[1]IFE!$G4772</f>
        <v>0</v>
      </c>
      <c r="M92" s="322">
        <f>F92*[1]IFE!$J4772</f>
        <v>0</v>
      </c>
      <c r="N92" s="337"/>
      <c r="O92" s="337"/>
    </row>
    <row r="93" spans="1:15" ht="11.1" customHeight="1" x14ac:dyDescent="0.25">
      <c r="A93" s="315">
        <f>[1]IFE!$A4773</f>
        <v>0</v>
      </c>
      <c r="B93" s="316"/>
      <c r="C93" s="325">
        <f>[1]IFE!$B4773</f>
        <v>0</v>
      </c>
      <c r="D93" s="329">
        <f>[1]IFE!$J4773</f>
        <v>0</v>
      </c>
      <c r="E93" s="326">
        <f>[1]IFE!$D4773</f>
        <v>0</v>
      </c>
      <c r="F93" s="518">
        <f>[1]IFE!$C4773+[1]IFE!$P4773</f>
        <v>0</v>
      </c>
      <c r="G93" s="326">
        <f>[1]IFE!$H4773+[1]IFE!$R4773</f>
        <v>0</v>
      </c>
      <c r="H93" s="326">
        <f>[1]IFE!$E4773</f>
        <v>0</v>
      </c>
      <c r="I93" s="326">
        <f>[1]IFE!$K4773</f>
        <v>0</v>
      </c>
      <c r="J93" s="326">
        <f>[1]IFE!$F4773</f>
        <v>0</v>
      </c>
      <c r="K93" s="326">
        <f>[1]IFE!$L4773</f>
        <v>0</v>
      </c>
      <c r="L93" s="327">
        <f>[1]IFE!$G4773</f>
        <v>0</v>
      </c>
      <c r="M93" s="322">
        <f>F93*[1]IFE!$J4773</f>
        <v>0</v>
      </c>
      <c r="N93" s="337"/>
      <c r="O93" s="337"/>
    </row>
    <row r="94" spans="1:15" ht="11.1" customHeight="1" x14ac:dyDescent="0.25">
      <c r="A94" s="315">
        <f>[1]IFE!$A4774</f>
        <v>0</v>
      </c>
      <c r="B94" s="316"/>
      <c r="C94" s="325">
        <f>[1]IFE!$B4774</f>
        <v>0</v>
      </c>
      <c r="D94" s="329">
        <f>[1]IFE!$J4774</f>
        <v>0</v>
      </c>
      <c r="E94" s="326">
        <f>[1]IFE!$D4774</f>
        <v>0</v>
      </c>
      <c r="F94" s="518">
        <f>[1]IFE!$C4774+[1]IFE!$P4774</f>
        <v>0</v>
      </c>
      <c r="G94" s="326">
        <f>[1]IFE!$H4774+[1]IFE!$R4774</f>
        <v>0</v>
      </c>
      <c r="H94" s="326">
        <f>[1]IFE!$E4774</f>
        <v>0</v>
      </c>
      <c r="I94" s="326">
        <f>[1]IFE!$K4774</f>
        <v>0</v>
      </c>
      <c r="J94" s="326">
        <f>[1]IFE!$F4774</f>
        <v>0</v>
      </c>
      <c r="K94" s="326">
        <f>[1]IFE!$L4774</f>
        <v>0</v>
      </c>
      <c r="L94" s="327">
        <f>[1]IFE!$G4774</f>
        <v>0</v>
      </c>
      <c r="M94" s="322">
        <f>F94*[1]IFE!$J4774</f>
        <v>0</v>
      </c>
      <c r="N94" s="337"/>
      <c r="O94" s="337"/>
    </row>
    <row r="95" spans="1:15" ht="11.1" customHeight="1" x14ac:dyDescent="0.25">
      <c r="A95" s="315">
        <f>[1]IFE!$A4775</f>
        <v>0</v>
      </c>
      <c r="B95" s="316"/>
      <c r="C95" s="325">
        <f>[1]IFE!$B4775</f>
        <v>0</v>
      </c>
      <c r="D95" s="329">
        <f>[1]IFE!$J4775</f>
        <v>0</v>
      </c>
      <c r="E95" s="326">
        <f>[1]IFE!$D4775</f>
        <v>0</v>
      </c>
      <c r="F95" s="518">
        <f>[1]IFE!$C4775+[1]IFE!$P4775</f>
        <v>0</v>
      </c>
      <c r="G95" s="326">
        <f>[1]IFE!$H4775+[1]IFE!$R4775</f>
        <v>0</v>
      </c>
      <c r="H95" s="326">
        <f>[1]IFE!$E4775</f>
        <v>0</v>
      </c>
      <c r="I95" s="326">
        <f>[1]IFE!$K4775</f>
        <v>0</v>
      </c>
      <c r="J95" s="326">
        <f>[1]IFE!$F4775</f>
        <v>0</v>
      </c>
      <c r="K95" s="326">
        <f>[1]IFE!$L4775</f>
        <v>0</v>
      </c>
      <c r="L95" s="327">
        <f>[1]IFE!$G4775</f>
        <v>0</v>
      </c>
      <c r="M95" s="322">
        <f>F95*[1]IFE!$J4775</f>
        <v>0</v>
      </c>
      <c r="N95" s="337"/>
      <c r="O95" s="337"/>
    </row>
    <row r="96" spans="1:15" ht="11.1" customHeight="1" x14ac:dyDescent="0.25">
      <c r="A96" s="315">
        <f>[1]IFE!$A4776</f>
        <v>0</v>
      </c>
      <c r="B96" s="316"/>
      <c r="C96" s="325">
        <f>[1]IFE!$B4776</f>
        <v>0</v>
      </c>
      <c r="D96" s="329">
        <f>[1]IFE!$J4776</f>
        <v>0</v>
      </c>
      <c r="E96" s="326">
        <f>[1]IFE!$D4776</f>
        <v>0</v>
      </c>
      <c r="F96" s="518">
        <f>[1]IFE!$C4776+[1]IFE!$P4776</f>
        <v>0</v>
      </c>
      <c r="G96" s="326">
        <f>[1]IFE!$H4776+[1]IFE!$R4776</f>
        <v>0</v>
      </c>
      <c r="H96" s="326">
        <f>[1]IFE!$E4776</f>
        <v>0</v>
      </c>
      <c r="I96" s="326">
        <f>[1]IFE!$K4776</f>
        <v>0</v>
      </c>
      <c r="J96" s="326">
        <f>[1]IFE!$F4776</f>
        <v>0</v>
      </c>
      <c r="K96" s="326">
        <f>[1]IFE!$L4776</f>
        <v>0</v>
      </c>
      <c r="L96" s="327">
        <f>[1]IFE!$G4776</f>
        <v>0</v>
      </c>
      <c r="M96" s="322">
        <f>F96*[1]IFE!$J4776</f>
        <v>0</v>
      </c>
      <c r="N96" s="337"/>
      <c r="O96" s="337"/>
    </row>
    <row r="97" spans="1:15" ht="11.1" customHeight="1" x14ac:dyDescent="0.25">
      <c r="A97" s="315">
        <f>[1]IFE!$A4777</f>
        <v>0</v>
      </c>
      <c r="B97" s="316"/>
      <c r="C97" s="325">
        <f>[1]IFE!$B4777</f>
        <v>0</v>
      </c>
      <c r="D97" s="329">
        <f>[1]IFE!$J4777</f>
        <v>0</v>
      </c>
      <c r="E97" s="326">
        <f>[1]IFE!$D4777</f>
        <v>0</v>
      </c>
      <c r="F97" s="518">
        <f>[1]IFE!$C4777+[1]IFE!$P4777</f>
        <v>0</v>
      </c>
      <c r="G97" s="326">
        <f>[1]IFE!$H4777+[1]IFE!$R4777</f>
        <v>0</v>
      </c>
      <c r="H97" s="326">
        <f>[1]IFE!$E4777</f>
        <v>0</v>
      </c>
      <c r="I97" s="326">
        <f>[1]IFE!$K4777</f>
        <v>0</v>
      </c>
      <c r="J97" s="326">
        <f>[1]IFE!$F4777</f>
        <v>0</v>
      </c>
      <c r="K97" s="326">
        <f>[1]IFE!$L4777</f>
        <v>0</v>
      </c>
      <c r="L97" s="327">
        <f>[1]IFE!$G4777</f>
        <v>0</v>
      </c>
      <c r="M97" s="322">
        <f>F97*[1]IFE!$J4777</f>
        <v>0</v>
      </c>
      <c r="N97" s="337"/>
      <c r="O97" s="337"/>
    </row>
    <row r="98" spans="1:15" ht="11.1" customHeight="1" x14ac:dyDescent="0.25">
      <c r="A98" s="315">
        <f>[1]IFE!$A4778</f>
        <v>0</v>
      </c>
      <c r="B98" s="316"/>
      <c r="C98" s="325">
        <f>[1]IFE!$B4778</f>
        <v>0</v>
      </c>
      <c r="D98" s="329">
        <f>[1]IFE!$J4778</f>
        <v>0</v>
      </c>
      <c r="E98" s="326">
        <f>[1]IFE!$D4778</f>
        <v>0</v>
      </c>
      <c r="F98" s="518">
        <f>[1]IFE!$C4778+[1]IFE!$P4778</f>
        <v>0</v>
      </c>
      <c r="G98" s="326">
        <f>[1]IFE!$H4778+[1]IFE!$R4778</f>
        <v>0</v>
      </c>
      <c r="H98" s="326">
        <f>[1]IFE!$E4778</f>
        <v>0</v>
      </c>
      <c r="I98" s="326">
        <f>[1]IFE!$K4778</f>
        <v>0</v>
      </c>
      <c r="J98" s="326">
        <f>[1]IFE!$F4778</f>
        <v>0</v>
      </c>
      <c r="K98" s="326">
        <f>[1]IFE!$L4778</f>
        <v>0</v>
      </c>
      <c r="L98" s="327">
        <f>[1]IFE!$G4778</f>
        <v>0</v>
      </c>
      <c r="M98" s="322">
        <f>F98*[1]IFE!$J4778</f>
        <v>0</v>
      </c>
      <c r="N98" s="337"/>
      <c r="O98" s="337"/>
    </row>
    <row r="99" spans="1:15" ht="11.1" customHeight="1" x14ac:dyDescent="0.25">
      <c r="A99" s="315">
        <f>[1]IFE!$A4779</f>
        <v>0</v>
      </c>
      <c r="B99" s="316"/>
      <c r="C99" s="325">
        <f>[1]IFE!$B4779</f>
        <v>0</v>
      </c>
      <c r="D99" s="329">
        <f>[1]IFE!$J4779</f>
        <v>0</v>
      </c>
      <c r="E99" s="326">
        <f>[1]IFE!$D4779</f>
        <v>0</v>
      </c>
      <c r="F99" s="518">
        <f>[1]IFE!$C4779+[1]IFE!$P4779</f>
        <v>0</v>
      </c>
      <c r="G99" s="326">
        <f>[1]IFE!$H4779+[1]IFE!$R4779</f>
        <v>0</v>
      </c>
      <c r="H99" s="326">
        <f>[1]IFE!$E4779</f>
        <v>0</v>
      </c>
      <c r="I99" s="326">
        <f>[1]IFE!$K4779</f>
        <v>0</v>
      </c>
      <c r="J99" s="326">
        <f>[1]IFE!$F4779</f>
        <v>0</v>
      </c>
      <c r="K99" s="326">
        <f>[1]IFE!$L4779</f>
        <v>0</v>
      </c>
      <c r="L99" s="327">
        <f>[1]IFE!$G4779</f>
        <v>0</v>
      </c>
      <c r="M99" s="322">
        <f>F99*[1]IFE!$J4779</f>
        <v>0</v>
      </c>
      <c r="N99" s="337"/>
      <c r="O99" s="337"/>
    </row>
    <row r="100" spans="1:15" ht="11.1" customHeight="1" x14ac:dyDescent="0.25">
      <c r="A100" s="315">
        <f>[1]IFE!$A4780</f>
        <v>0</v>
      </c>
      <c r="B100" s="316"/>
      <c r="C100" s="325">
        <f>[1]IFE!$B4780</f>
        <v>0</v>
      </c>
      <c r="D100" s="329">
        <f>[1]IFE!$J4780</f>
        <v>0</v>
      </c>
      <c r="E100" s="326">
        <f>[1]IFE!$D4780</f>
        <v>0</v>
      </c>
      <c r="F100" s="518">
        <f>[1]IFE!$C4780+[1]IFE!$P4780</f>
        <v>0</v>
      </c>
      <c r="G100" s="326">
        <f>[1]IFE!$H4780+[1]IFE!$R4780</f>
        <v>0</v>
      </c>
      <c r="H100" s="326">
        <f>[1]IFE!$E4780</f>
        <v>0</v>
      </c>
      <c r="I100" s="326">
        <f>[1]IFE!$K4780</f>
        <v>0</v>
      </c>
      <c r="J100" s="326">
        <f>[1]IFE!$F4780</f>
        <v>0</v>
      </c>
      <c r="K100" s="326">
        <f>[1]IFE!$L4780</f>
        <v>0</v>
      </c>
      <c r="L100" s="327">
        <f>[1]IFE!$G4780</f>
        <v>0</v>
      </c>
      <c r="M100" s="322">
        <f>F100*[1]IFE!$J4780</f>
        <v>0</v>
      </c>
      <c r="N100" s="337"/>
      <c r="O100" s="337"/>
    </row>
    <row r="101" spans="1:15" ht="11.1" customHeight="1" x14ac:dyDescent="0.25">
      <c r="A101" s="315">
        <f>[1]IFE!$A4781</f>
        <v>0</v>
      </c>
      <c r="B101" s="316"/>
      <c r="C101" s="325">
        <f>[1]IFE!$B4781</f>
        <v>0</v>
      </c>
      <c r="D101" s="329">
        <f>[1]IFE!$J4781</f>
        <v>0</v>
      </c>
      <c r="E101" s="326">
        <f>[1]IFE!$D4781</f>
        <v>0</v>
      </c>
      <c r="F101" s="518">
        <f>[1]IFE!$C4781+[1]IFE!$P4781</f>
        <v>0</v>
      </c>
      <c r="G101" s="326">
        <f>[1]IFE!$H4781+[1]IFE!$R4781</f>
        <v>0</v>
      </c>
      <c r="H101" s="326">
        <f>[1]IFE!$E4781</f>
        <v>0</v>
      </c>
      <c r="I101" s="326">
        <f>[1]IFE!$K4781</f>
        <v>0</v>
      </c>
      <c r="J101" s="326">
        <f>[1]IFE!$F4781</f>
        <v>0</v>
      </c>
      <c r="K101" s="326">
        <f>[1]IFE!$L4781</f>
        <v>0</v>
      </c>
      <c r="L101" s="327">
        <f>[1]IFE!$G4781</f>
        <v>0</v>
      </c>
      <c r="M101" s="322">
        <f>F101*[1]IFE!$J4781</f>
        <v>0</v>
      </c>
      <c r="N101" s="337"/>
      <c r="O101" s="337"/>
    </row>
    <row r="102" spans="1:15" ht="11.1" customHeight="1" x14ac:dyDescent="0.25">
      <c r="A102" s="315">
        <f>[1]IFE!$A4782</f>
        <v>0</v>
      </c>
      <c r="B102" s="316"/>
      <c r="C102" s="325">
        <f>[1]IFE!$B4782</f>
        <v>0</v>
      </c>
      <c r="D102" s="329">
        <f>[1]IFE!$J4782</f>
        <v>0</v>
      </c>
      <c r="E102" s="326">
        <f>[1]IFE!$D4782</f>
        <v>0</v>
      </c>
      <c r="F102" s="518">
        <f>[1]IFE!$C4782+[1]IFE!$P4782</f>
        <v>0</v>
      </c>
      <c r="G102" s="326">
        <f>[1]IFE!$H4782+[1]IFE!$R4782</f>
        <v>0</v>
      </c>
      <c r="H102" s="326">
        <f>[1]IFE!$E4782</f>
        <v>0</v>
      </c>
      <c r="I102" s="326">
        <f>[1]IFE!$K4782</f>
        <v>0</v>
      </c>
      <c r="J102" s="326">
        <f>[1]IFE!$F4782</f>
        <v>0</v>
      </c>
      <c r="K102" s="326">
        <f>[1]IFE!$L4782</f>
        <v>0</v>
      </c>
      <c r="L102" s="327">
        <f>[1]IFE!$G4782</f>
        <v>0</v>
      </c>
      <c r="M102" s="322">
        <f>F102*[1]IFE!$J4782</f>
        <v>0</v>
      </c>
      <c r="N102" s="337"/>
      <c r="O102" s="337"/>
    </row>
    <row r="103" spans="1:15" ht="11.1" customHeight="1" x14ac:dyDescent="0.25">
      <c r="A103" s="315">
        <f>[1]IFE!$A4783</f>
        <v>0</v>
      </c>
      <c r="B103" s="316"/>
      <c r="C103" s="325">
        <f>[1]IFE!$B4783</f>
        <v>0</v>
      </c>
      <c r="D103" s="329">
        <f>[1]IFE!$J4783</f>
        <v>0</v>
      </c>
      <c r="E103" s="326">
        <f>[1]IFE!$D4783</f>
        <v>0</v>
      </c>
      <c r="F103" s="518">
        <f>[1]IFE!$C4783+[1]IFE!$P4783</f>
        <v>0</v>
      </c>
      <c r="G103" s="326">
        <f>[1]IFE!$H4783+[1]IFE!$R4783</f>
        <v>0</v>
      </c>
      <c r="H103" s="326">
        <f>[1]IFE!$E4783</f>
        <v>0</v>
      </c>
      <c r="I103" s="326">
        <f>[1]IFE!$K4783</f>
        <v>0</v>
      </c>
      <c r="J103" s="326">
        <f>[1]IFE!$F4783</f>
        <v>0</v>
      </c>
      <c r="K103" s="326">
        <f>[1]IFE!$L4783</f>
        <v>0</v>
      </c>
      <c r="L103" s="327">
        <f>[1]IFE!$G4783</f>
        <v>0</v>
      </c>
      <c r="M103" s="322">
        <f>F103*[1]IFE!$J4783</f>
        <v>0</v>
      </c>
      <c r="N103" s="337"/>
      <c r="O103" s="337"/>
    </row>
    <row r="104" spans="1:15" ht="11.1" customHeight="1" x14ac:dyDescent="0.25">
      <c r="A104" s="315">
        <f>[1]IFE!$A4784</f>
        <v>0</v>
      </c>
      <c r="B104" s="316"/>
      <c r="C104" s="325">
        <f>[1]IFE!$B4784</f>
        <v>0</v>
      </c>
      <c r="D104" s="329">
        <f>[1]IFE!$J4784</f>
        <v>0</v>
      </c>
      <c r="E104" s="326">
        <f>[1]IFE!$D4784</f>
        <v>0</v>
      </c>
      <c r="F104" s="518">
        <f>[1]IFE!$C4784+[1]IFE!$P4784</f>
        <v>0</v>
      </c>
      <c r="G104" s="326">
        <f>[1]IFE!$H4784+[1]IFE!$R4784</f>
        <v>0</v>
      </c>
      <c r="H104" s="326">
        <f>[1]IFE!$E4784</f>
        <v>0</v>
      </c>
      <c r="I104" s="326">
        <f>[1]IFE!$K4784</f>
        <v>0</v>
      </c>
      <c r="J104" s="326">
        <f>[1]IFE!$F4784</f>
        <v>0</v>
      </c>
      <c r="K104" s="326">
        <f>[1]IFE!$L4784</f>
        <v>0</v>
      </c>
      <c r="L104" s="327">
        <f>[1]IFE!$G4784</f>
        <v>0</v>
      </c>
      <c r="M104" s="322">
        <f>F104*[1]IFE!$J4784</f>
        <v>0</v>
      </c>
      <c r="N104" s="337"/>
      <c r="O104" s="337"/>
    </row>
    <row r="105" spans="1:15" ht="11.1" customHeight="1" x14ac:dyDescent="0.25">
      <c r="A105" s="315">
        <f>[1]IFE!$A4785</f>
        <v>0</v>
      </c>
      <c r="B105" s="316"/>
      <c r="C105" s="325">
        <f>[1]IFE!$B4785</f>
        <v>0</v>
      </c>
      <c r="D105" s="329">
        <f>[1]IFE!$J4785</f>
        <v>0</v>
      </c>
      <c r="E105" s="326">
        <f>[1]IFE!$D4785</f>
        <v>0</v>
      </c>
      <c r="F105" s="518">
        <f>[1]IFE!$C4785+[1]IFE!$P4785</f>
        <v>0</v>
      </c>
      <c r="G105" s="326">
        <f>[1]IFE!$H4785+[1]IFE!$R4785</f>
        <v>0</v>
      </c>
      <c r="H105" s="326">
        <f>[1]IFE!$E4785</f>
        <v>0</v>
      </c>
      <c r="I105" s="326">
        <f>[1]IFE!$K4785</f>
        <v>0</v>
      </c>
      <c r="J105" s="326">
        <f>[1]IFE!$F4785</f>
        <v>0</v>
      </c>
      <c r="K105" s="326">
        <f>[1]IFE!$L4785</f>
        <v>0</v>
      </c>
      <c r="L105" s="327">
        <f>[1]IFE!$G4785</f>
        <v>0</v>
      </c>
      <c r="M105" s="322">
        <f>F105*[1]IFE!$J4785</f>
        <v>0</v>
      </c>
      <c r="N105" s="337"/>
      <c r="O105" s="337"/>
    </row>
    <row r="106" spans="1:15" ht="11.1" customHeight="1" x14ac:dyDescent="0.25">
      <c r="A106" s="315">
        <f>[1]IFE!$A4786</f>
        <v>0</v>
      </c>
      <c r="B106" s="316"/>
      <c r="C106" s="325">
        <f>[1]IFE!$B4786</f>
        <v>0</v>
      </c>
      <c r="D106" s="329">
        <f>[1]IFE!$J4786</f>
        <v>0</v>
      </c>
      <c r="E106" s="326">
        <f>[1]IFE!$D4786</f>
        <v>0</v>
      </c>
      <c r="F106" s="518">
        <f>[1]IFE!$C4786+[1]IFE!$P4786</f>
        <v>0</v>
      </c>
      <c r="G106" s="326">
        <f>[1]IFE!$H4786+[1]IFE!$R4786</f>
        <v>0</v>
      </c>
      <c r="H106" s="326">
        <f>[1]IFE!$E4786</f>
        <v>0</v>
      </c>
      <c r="I106" s="326">
        <f>[1]IFE!$K4786</f>
        <v>0</v>
      </c>
      <c r="J106" s="326">
        <f>[1]IFE!$F4786</f>
        <v>0</v>
      </c>
      <c r="K106" s="326">
        <f>[1]IFE!$L4786</f>
        <v>0</v>
      </c>
      <c r="L106" s="327">
        <f>[1]IFE!$G4786</f>
        <v>0</v>
      </c>
      <c r="M106" s="322">
        <f>F106*[1]IFE!$J4786</f>
        <v>0</v>
      </c>
      <c r="N106" s="337"/>
      <c r="O106" s="337"/>
    </row>
    <row r="107" spans="1:15" ht="11.1" customHeight="1" x14ac:dyDescent="0.25">
      <c r="A107" s="315">
        <f>[1]IFE!$A4787</f>
        <v>0</v>
      </c>
      <c r="B107" s="316"/>
      <c r="C107" s="325">
        <f>[1]IFE!$B4787</f>
        <v>0</v>
      </c>
      <c r="D107" s="329">
        <f>[1]IFE!$J4787</f>
        <v>0</v>
      </c>
      <c r="E107" s="326">
        <f>[1]IFE!$D4787</f>
        <v>0</v>
      </c>
      <c r="F107" s="518">
        <f>[1]IFE!$C4787+[1]IFE!$P4787</f>
        <v>0</v>
      </c>
      <c r="G107" s="326">
        <f>[1]IFE!$H4787+[1]IFE!$R4787</f>
        <v>0</v>
      </c>
      <c r="H107" s="326">
        <f>[1]IFE!$E4787</f>
        <v>0</v>
      </c>
      <c r="I107" s="326">
        <f>[1]IFE!$K4787</f>
        <v>0</v>
      </c>
      <c r="J107" s="326">
        <f>[1]IFE!$F4787</f>
        <v>0</v>
      </c>
      <c r="K107" s="326">
        <f>[1]IFE!$L4787</f>
        <v>0</v>
      </c>
      <c r="L107" s="327">
        <f>[1]IFE!$G4787</f>
        <v>0</v>
      </c>
      <c r="M107" s="322">
        <f>F107*[1]IFE!$J4787</f>
        <v>0</v>
      </c>
      <c r="N107" s="337"/>
      <c r="O107" s="337"/>
    </row>
    <row r="108" spans="1:15" ht="11.1" customHeight="1" x14ac:dyDescent="0.25">
      <c r="A108" s="315">
        <f>[1]IFE!$A4788</f>
        <v>0</v>
      </c>
      <c r="B108" s="316"/>
      <c r="C108" s="325">
        <f>[1]IFE!$B4788</f>
        <v>0</v>
      </c>
      <c r="D108" s="329">
        <f>[1]IFE!$J4788</f>
        <v>0</v>
      </c>
      <c r="E108" s="326">
        <f>[1]IFE!$D4788</f>
        <v>0</v>
      </c>
      <c r="F108" s="518">
        <f>[1]IFE!$C4788+[1]IFE!$P4788</f>
        <v>0</v>
      </c>
      <c r="G108" s="326">
        <f>[1]IFE!$H4788+[1]IFE!$R4788</f>
        <v>0</v>
      </c>
      <c r="H108" s="326">
        <f>[1]IFE!$E4788</f>
        <v>0</v>
      </c>
      <c r="I108" s="326">
        <f>[1]IFE!$K4788</f>
        <v>0</v>
      </c>
      <c r="J108" s="326">
        <f>[1]IFE!$F4788</f>
        <v>0</v>
      </c>
      <c r="K108" s="326">
        <f>[1]IFE!$L4788</f>
        <v>0</v>
      </c>
      <c r="L108" s="327">
        <f>[1]IFE!$G4788</f>
        <v>0</v>
      </c>
      <c r="M108" s="322">
        <f>F108*[1]IFE!$J4788</f>
        <v>0</v>
      </c>
      <c r="N108" s="337"/>
      <c r="O108" s="337"/>
    </row>
    <row r="109" spans="1:15" ht="11.1" customHeight="1" x14ac:dyDescent="0.25">
      <c r="A109" s="315">
        <f>[1]IFE!$A4789</f>
        <v>0</v>
      </c>
      <c r="B109" s="316"/>
      <c r="C109" s="325">
        <f>[1]IFE!$B4789</f>
        <v>0</v>
      </c>
      <c r="D109" s="329">
        <f>[1]IFE!$J4789</f>
        <v>0</v>
      </c>
      <c r="E109" s="326">
        <f>[1]IFE!$D4789</f>
        <v>0</v>
      </c>
      <c r="F109" s="518">
        <f>[1]IFE!$C4789+[1]IFE!$P4789</f>
        <v>0</v>
      </c>
      <c r="G109" s="326">
        <f>[1]IFE!$H4789+[1]IFE!$R4789</f>
        <v>0</v>
      </c>
      <c r="H109" s="326">
        <f>[1]IFE!$E4789</f>
        <v>0</v>
      </c>
      <c r="I109" s="326">
        <f>[1]IFE!$K4789</f>
        <v>0</v>
      </c>
      <c r="J109" s="326">
        <f>[1]IFE!$F4789</f>
        <v>0</v>
      </c>
      <c r="K109" s="326">
        <f>[1]IFE!$L4789</f>
        <v>0</v>
      </c>
      <c r="L109" s="327">
        <f>[1]IFE!$G4789</f>
        <v>0</v>
      </c>
      <c r="M109" s="322">
        <f>F109*[1]IFE!$J4789</f>
        <v>0</v>
      </c>
      <c r="N109" s="337"/>
      <c r="O109" s="337"/>
    </row>
    <row r="110" spans="1:15" ht="11.1" customHeight="1" x14ac:dyDescent="0.25">
      <c r="A110" s="315">
        <f>[1]IFE!$A4790</f>
        <v>0</v>
      </c>
      <c r="B110" s="316"/>
      <c r="C110" s="325">
        <f>[1]IFE!$B4790</f>
        <v>0</v>
      </c>
      <c r="D110" s="329">
        <f>[1]IFE!$J4790</f>
        <v>0</v>
      </c>
      <c r="E110" s="326">
        <f>[1]IFE!$D4790</f>
        <v>0</v>
      </c>
      <c r="F110" s="518">
        <f>[1]IFE!$C4790+[1]IFE!$P4790</f>
        <v>0</v>
      </c>
      <c r="G110" s="326">
        <f>[1]IFE!$H4790+[1]IFE!$R4790</f>
        <v>0</v>
      </c>
      <c r="H110" s="326">
        <f>[1]IFE!$E4790</f>
        <v>0</v>
      </c>
      <c r="I110" s="326">
        <f>[1]IFE!$K4790</f>
        <v>0</v>
      </c>
      <c r="J110" s="326">
        <f>[1]IFE!$F4790</f>
        <v>0</v>
      </c>
      <c r="K110" s="326">
        <f>[1]IFE!$L4790</f>
        <v>0</v>
      </c>
      <c r="L110" s="327">
        <f>[1]IFE!$G4790</f>
        <v>0</v>
      </c>
      <c r="M110" s="322">
        <f>F110*[1]IFE!$J4790</f>
        <v>0</v>
      </c>
      <c r="N110" s="337"/>
      <c r="O110" s="337"/>
    </row>
    <row r="111" spans="1:15" ht="11.1" customHeight="1" x14ac:dyDescent="0.25">
      <c r="A111" s="315">
        <f>[1]IFE!$A4791</f>
        <v>0</v>
      </c>
      <c r="B111" s="316"/>
      <c r="C111" s="325">
        <f>[1]IFE!$B4791</f>
        <v>0</v>
      </c>
      <c r="D111" s="329">
        <f>[1]IFE!$J4791</f>
        <v>0</v>
      </c>
      <c r="E111" s="326">
        <f>[1]IFE!$D4791</f>
        <v>0</v>
      </c>
      <c r="F111" s="518">
        <f>[1]IFE!$C4791+[1]IFE!$P4791</f>
        <v>0</v>
      </c>
      <c r="G111" s="326">
        <f>[1]IFE!$H4791+[1]IFE!$R4791</f>
        <v>0</v>
      </c>
      <c r="H111" s="326">
        <f>[1]IFE!$E4791</f>
        <v>0</v>
      </c>
      <c r="I111" s="326">
        <f>[1]IFE!$K4791</f>
        <v>0</v>
      </c>
      <c r="J111" s="326">
        <f>[1]IFE!$F4791</f>
        <v>0</v>
      </c>
      <c r="K111" s="326">
        <f>[1]IFE!$L4791</f>
        <v>0</v>
      </c>
      <c r="L111" s="327">
        <f>[1]IFE!$G4791</f>
        <v>0</v>
      </c>
      <c r="M111" s="322">
        <f>F111*[1]IFE!$J4791</f>
        <v>0</v>
      </c>
      <c r="N111" s="337"/>
      <c r="O111" s="337"/>
    </row>
    <row r="112" spans="1:15" ht="11.1" customHeight="1" x14ac:dyDescent="0.25">
      <c r="A112" s="315">
        <f>[1]IFE!$A4792</f>
        <v>0</v>
      </c>
      <c r="B112" s="316"/>
      <c r="C112" s="325">
        <f>[1]IFE!$B4792</f>
        <v>0</v>
      </c>
      <c r="D112" s="329">
        <f>[1]IFE!$J4792</f>
        <v>0</v>
      </c>
      <c r="E112" s="326">
        <f>[1]IFE!$D4792</f>
        <v>0</v>
      </c>
      <c r="F112" s="518">
        <f>[1]IFE!$C4792+[1]IFE!$P4792</f>
        <v>0</v>
      </c>
      <c r="G112" s="326">
        <f>[1]IFE!$H4792+[1]IFE!$R4792</f>
        <v>0</v>
      </c>
      <c r="H112" s="326">
        <f>[1]IFE!$E4792</f>
        <v>0</v>
      </c>
      <c r="I112" s="326">
        <f>[1]IFE!$K4792</f>
        <v>0</v>
      </c>
      <c r="J112" s="326">
        <f>[1]IFE!$F4792</f>
        <v>0</v>
      </c>
      <c r="K112" s="326">
        <f>[1]IFE!$L4792</f>
        <v>0</v>
      </c>
      <c r="L112" s="327">
        <f>[1]IFE!$G4792</f>
        <v>0</v>
      </c>
      <c r="M112" s="322">
        <f>F112*[1]IFE!$J4792</f>
        <v>0</v>
      </c>
      <c r="N112" s="337"/>
      <c r="O112" s="337"/>
    </row>
    <row r="113" spans="1:15" ht="11.1" customHeight="1" x14ac:dyDescent="0.25">
      <c r="A113" s="315">
        <f>[1]IFE!$A4793</f>
        <v>0</v>
      </c>
      <c r="B113" s="316"/>
      <c r="C113" s="325">
        <f>[1]IFE!$B4793</f>
        <v>0</v>
      </c>
      <c r="D113" s="329">
        <f>[1]IFE!$J4793</f>
        <v>0</v>
      </c>
      <c r="E113" s="326">
        <f>[1]IFE!$D4793</f>
        <v>0</v>
      </c>
      <c r="F113" s="518">
        <f>[1]IFE!$C4793+[1]IFE!$P4793</f>
        <v>0</v>
      </c>
      <c r="G113" s="326">
        <f>[1]IFE!$H4793+[1]IFE!$R4793</f>
        <v>0</v>
      </c>
      <c r="H113" s="326">
        <f>[1]IFE!$E4793</f>
        <v>0</v>
      </c>
      <c r="I113" s="326">
        <f>[1]IFE!$K4793</f>
        <v>0</v>
      </c>
      <c r="J113" s="326">
        <f>[1]IFE!$F4793</f>
        <v>0</v>
      </c>
      <c r="K113" s="326">
        <f>[1]IFE!$L4793</f>
        <v>0</v>
      </c>
      <c r="L113" s="327">
        <f>[1]IFE!$G4793</f>
        <v>0</v>
      </c>
      <c r="M113" s="322">
        <f>F113*[1]IFE!$J4793</f>
        <v>0</v>
      </c>
      <c r="N113" s="337"/>
      <c r="O113" s="337"/>
    </row>
    <row r="114" spans="1:15" ht="11.1" customHeight="1" x14ac:dyDescent="0.25">
      <c r="A114" s="315">
        <f>[1]IFE!$A4794</f>
        <v>0</v>
      </c>
      <c r="B114" s="316"/>
      <c r="C114" s="325">
        <f>[1]IFE!$B4794</f>
        <v>0</v>
      </c>
      <c r="D114" s="329">
        <f>[1]IFE!$J4794</f>
        <v>0</v>
      </c>
      <c r="E114" s="326">
        <f>[1]IFE!$D4794</f>
        <v>0</v>
      </c>
      <c r="F114" s="518">
        <f>[1]IFE!$C4794+[1]IFE!$P4794</f>
        <v>0</v>
      </c>
      <c r="G114" s="326">
        <f>[1]IFE!$H4794+[1]IFE!$R4794</f>
        <v>0</v>
      </c>
      <c r="H114" s="326">
        <f>[1]IFE!$E4794</f>
        <v>0</v>
      </c>
      <c r="I114" s="326">
        <f>[1]IFE!$K4794</f>
        <v>0</v>
      </c>
      <c r="J114" s="326">
        <f>[1]IFE!$F4794</f>
        <v>0</v>
      </c>
      <c r="K114" s="326">
        <f>[1]IFE!$L4794</f>
        <v>0</v>
      </c>
      <c r="L114" s="327">
        <f>[1]IFE!$G4794</f>
        <v>0</v>
      </c>
      <c r="M114" s="322">
        <f>F114*[1]IFE!$J4794</f>
        <v>0</v>
      </c>
      <c r="N114" s="337"/>
      <c r="O114" s="337"/>
    </row>
    <row r="115" spans="1:15" ht="11.1" customHeight="1" x14ac:dyDescent="0.25">
      <c r="A115" s="315">
        <f>[1]IFE!$A4795</f>
        <v>0</v>
      </c>
      <c r="B115" s="316"/>
      <c r="C115" s="325">
        <f>[1]IFE!$B4795</f>
        <v>0</v>
      </c>
      <c r="D115" s="329">
        <f>[1]IFE!$J4795</f>
        <v>0</v>
      </c>
      <c r="E115" s="326">
        <f>[1]IFE!$D4795</f>
        <v>0</v>
      </c>
      <c r="F115" s="518">
        <f>[1]IFE!$C4795+[1]IFE!$P4795</f>
        <v>0</v>
      </c>
      <c r="G115" s="326">
        <f>[1]IFE!$H4795+[1]IFE!$R4795</f>
        <v>0</v>
      </c>
      <c r="H115" s="326">
        <f>[1]IFE!$E4795</f>
        <v>0</v>
      </c>
      <c r="I115" s="326">
        <f>[1]IFE!$K4795</f>
        <v>0</v>
      </c>
      <c r="J115" s="326">
        <f>[1]IFE!$F4795</f>
        <v>0</v>
      </c>
      <c r="K115" s="326">
        <f>[1]IFE!$L4795</f>
        <v>0</v>
      </c>
      <c r="L115" s="327">
        <f>[1]IFE!$G4795</f>
        <v>0</v>
      </c>
      <c r="M115" s="322">
        <f>F115*[1]IFE!$J4795</f>
        <v>0</v>
      </c>
      <c r="N115" s="337"/>
      <c r="O115" s="337"/>
    </row>
    <row r="116" spans="1:15" ht="11.1" customHeight="1" x14ac:dyDescent="0.25">
      <c r="A116" s="315">
        <f>[1]IFE!$A4796</f>
        <v>0</v>
      </c>
      <c r="B116" s="316"/>
      <c r="C116" s="325">
        <f>[1]IFE!$B4796</f>
        <v>0</v>
      </c>
      <c r="D116" s="329">
        <f>[1]IFE!$J4796</f>
        <v>0</v>
      </c>
      <c r="E116" s="326">
        <f>[1]IFE!$D4796</f>
        <v>0</v>
      </c>
      <c r="F116" s="518">
        <f>[1]IFE!$C4796+[1]IFE!$P4796</f>
        <v>0</v>
      </c>
      <c r="G116" s="326">
        <f>[1]IFE!$H4796+[1]IFE!$R4796</f>
        <v>0</v>
      </c>
      <c r="H116" s="326">
        <f>[1]IFE!$E4796</f>
        <v>0</v>
      </c>
      <c r="I116" s="326">
        <f>[1]IFE!$K4796</f>
        <v>0</v>
      </c>
      <c r="J116" s="326">
        <f>[1]IFE!$F4796</f>
        <v>0</v>
      </c>
      <c r="K116" s="326">
        <f>[1]IFE!$L4796</f>
        <v>0</v>
      </c>
      <c r="L116" s="327">
        <f>[1]IFE!$G4796</f>
        <v>0</v>
      </c>
      <c r="M116" s="322">
        <f>F116*[1]IFE!$J4796</f>
        <v>0</v>
      </c>
      <c r="N116" s="337"/>
      <c r="O116" s="337"/>
    </row>
    <row r="117" spans="1:15" ht="11.1" customHeight="1" x14ac:dyDescent="0.25">
      <c r="A117" s="315">
        <f>[1]IFE!$A4797</f>
        <v>0</v>
      </c>
      <c r="B117" s="316"/>
      <c r="C117" s="325">
        <f>[1]IFE!$B4797</f>
        <v>0</v>
      </c>
      <c r="D117" s="329">
        <f>[1]IFE!$J4797</f>
        <v>0</v>
      </c>
      <c r="E117" s="326">
        <f>[1]IFE!$D4797</f>
        <v>0</v>
      </c>
      <c r="F117" s="518">
        <f>[1]IFE!$C4797+[1]IFE!$P4797</f>
        <v>0</v>
      </c>
      <c r="G117" s="326">
        <f>[1]IFE!$H4797+[1]IFE!$R4797</f>
        <v>0</v>
      </c>
      <c r="H117" s="326">
        <f>[1]IFE!$E4797</f>
        <v>0</v>
      </c>
      <c r="I117" s="326">
        <f>[1]IFE!$K4797</f>
        <v>0</v>
      </c>
      <c r="J117" s="326">
        <f>[1]IFE!$F4797</f>
        <v>0</v>
      </c>
      <c r="K117" s="326">
        <f>[1]IFE!$L4797</f>
        <v>0</v>
      </c>
      <c r="L117" s="327">
        <f>[1]IFE!$G4797</f>
        <v>0</v>
      </c>
      <c r="M117" s="322">
        <f>F117*[1]IFE!$J4797</f>
        <v>0</v>
      </c>
      <c r="N117" s="337"/>
      <c r="O117" s="337"/>
    </row>
    <row r="118" spans="1:15" ht="11.1" customHeight="1" x14ac:dyDescent="0.25">
      <c r="A118" s="315">
        <f>[1]IFE!$A4798</f>
        <v>0</v>
      </c>
      <c r="B118" s="316"/>
      <c r="C118" s="325">
        <f>[1]IFE!$B4798</f>
        <v>0</v>
      </c>
      <c r="D118" s="329">
        <f>[1]IFE!$J4798</f>
        <v>0</v>
      </c>
      <c r="E118" s="326">
        <f>[1]IFE!$D4798</f>
        <v>0</v>
      </c>
      <c r="F118" s="518">
        <f>[1]IFE!$C4798+[1]IFE!$P4798</f>
        <v>0</v>
      </c>
      <c r="G118" s="326">
        <f>[1]IFE!$H4798+[1]IFE!$R4798</f>
        <v>0</v>
      </c>
      <c r="H118" s="326">
        <f>[1]IFE!$E4798</f>
        <v>0</v>
      </c>
      <c r="I118" s="326">
        <f>[1]IFE!$K4798</f>
        <v>0</v>
      </c>
      <c r="J118" s="326">
        <f>[1]IFE!$F4798</f>
        <v>0</v>
      </c>
      <c r="K118" s="326">
        <f>[1]IFE!$L4798</f>
        <v>0</v>
      </c>
      <c r="L118" s="327">
        <f>[1]IFE!$G4798</f>
        <v>0</v>
      </c>
      <c r="M118" s="322">
        <f>F118*[1]IFE!$J4798</f>
        <v>0</v>
      </c>
      <c r="N118" s="337"/>
      <c r="O118" s="337"/>
    </row>
    <row r="119" spans="1:15" ht="11.1" customHeight="1" x14ac:dyDescent="0.25">
      <c r="A119" s="315">
        <f>[1]IFE!$A4799</f>
        <v>0</v>
      </c>
      <c r="B119" s="316"/>
      <c r="C119" s="325">
        <f>[1]IFE!$B4799</f>
        <v>0</v>
      </c>
      <c r="D119" s="329">
        <f>[1]IFE!$J4799</f>
        <v>0</v>
      </c>
      <c r="E119" s="326">
        <f>[1]IFE!$D4799</f>
        <v>0</v>
      </c>
      <c r="F119" s="518">
        <f>[1]IFE!$C4799+[1]IFE!$P4799</f>
        <v>0</v>
      </c>
      <c r="G119" s="326">
        <f>[1]IFE!$H4799+[1]IFE!$R4799</f>
        <v>0</v>
      </c>
      <c r="H119" s="326">
        <f>[1]IFE!$E4799</f>
        <v>0</v>
      </c>
      <c r="I119" s="326">
        <f>[1]IFE!$K4799</f>
        <v>0</v>
      </c>
      <c r="J119" s="326">
        <f>[1]IFE!$F4799</f>
        <v>0</v>
      </c>
      <c r="K119" s="326">
        <f>[1]IFE!$L4799</f>
        <v>0</v>
      </c>
      <c r="L119" s="327">
        <f>[1]IFE!$G4799</f>
        <v>0</v>
      </c>
      <c r="M119" s="322">
        <f>F119*[1]IFE!$J4799</f>
        <v>0</v>
      </c>
      <c r="N119" s="337"/>
      <c r="O119" s="337"/>
    </row>
    <row r="120" spans="1:15" ht="11.1" customHeight="1" thickBot="1" x14ac:dyDescent="0.3">
      <c r="A120" s="330">
        <f>[1]IFE!$A4800</f>
        <v>0</v>
      </c>
      <c r="B120" s="331"/>
      <c r="C120" s="332">
        <f>[1]IFE!$B4800</f>
        <v>0</v>
      </c>
      <c r="D120" s="376">
        <f>[1]IFE!$J4800</f>
        <v>0</v>
      </c>
      <c r="E120" s="334">
        <f>[1]IFE!$D4800</f>
        <v>0</v>
      </c>
      <c r="F120" s="530">
        <f>[1]IFE!$C4800+[1]IFE!$P4800</f>
        <v>0</v>
      </c>
      <c r="G120" s="334">
        <f>[1]IFE!$H4800+[1]IFE!$R4800</f>
        <v>0</v>
      </c>
      <c r="H120" s="334">
        <f>[1]IFE!$E4800</f>
        <v>0</v>
      </c>
      <c r="I120" s="334">
        <f>[1]IFE!$K4800</f>
        <v>0</v>
      </c>
      <c r="J120" s="334">
        <f>[1]IFE!$F4800</f>
        <v>0</v>
      </c>
      <c r="K120" s="334">
        <f>[1]IFE!$L4800</f>
        <v>0</v>
      </c>
      <c r="L120" s="335">
        <f>[1]IFE!$G4800</f>
        <v>0</v>
      </c>
      <c r="M120" s="336">
        <f>F120*[1]IFE!$J4800</f>
        <v>0</v>
      </c>
      <c r="N120" s="337"/>
      <c r="O120" s="337"/>
    </row>
    <row r="121" spans="1:15" ht="20.100000000000001" customHeight="1" thickTop="1" x14ac:dyDescent="0.3">
      <c r="E121" s="623"/>
      <c r="F121" s="623"/>
      <c r="G121" s="771" t="s">
        <v>196</v>
      </c>
      <c r="H121" s="771"/>
      <c r="I121" s="771"/>
      <c r="J121" s="771"/>
      <c r="K121" s="771"/>
      <c r="L121" s="771"/>
      <c r="M121" s="771"/>
      <c r="N121" s="380"/>
      <c r="O121" s="380"/>
    </row>
    <row r="122" spans="1:15" ht="24.9" customHeight="1" x14ac:dyDescent="0.25">
      <c r="E122" s="624"/>
      <c r="F122" s="624"/>
      <c r="G122" s="772" t="s">
        <v>178</v>
      </c>
      <c r="H122" s="772"/>
      <c r="I122" s="772"/>
      <c r="J122" s="772"/>
      <c r="K122" s="772"/>
      <c r="L122" s="772"/>
      <c r="M122" s="772"/>
      <c r="N122" s="380"/>
      <c r="O122" s="380"/>
    </row>
    <row r="123" spans="1:15" ht="12.75" customHeight="1" x14ac:dyDescent="0.25">
      <c r="A123" s="3"/>
      <c r="B123" s="283" t="s">
        <v>11</v>
      </c>
      <c r="C123" s="284" t="str">
        <f>[1]IFE!$B$6</f>
        <v>Cardon IV</v>
      </c>
      <c r="D123" s="284"/>
      <c r="E123" s="285"/>
      <c r="F123" s="3"/>
      <c r="G123" s="3"/>
      <c r="H123" s="3"/>
      <c r="I123" s="286" t="s">
        <v>179</v>
      </c>
      <c r="J123" s="777">
        <f>[1]IFE!$B$119</f>
        <v>39989</v>
      </c>
      <c r="K123" s="777"/>
      <c r="L123" s="287"/>
      <c r="N123" s="380"/>
      <c r="O123" s="380"/>
    </row>
    <row r="124" spans="1:15" ht="12.75" customHeight="1" x14ac:dyDescent="0.25">
      <c r="A124" s="3"/>
      <c r="B124" s="283" t="s">
        <v>8</v>
      </c>
      <c r="C124" s="284" t="str">
        <f>[1]IFE!$B$8</f>
        <v>Perla-1X</v>
      </c>
      <c r="D124" s="284"/>
      <c r="E124" s="3"/>
      <c r="F124" s="3"/>
      <c r="G124" s="3"/>
      <c r="H124" s="3"/>
      <c r="I124" s="288" t="s">
        <v>180</v>
      </c>
      <c r="J124" s="289">
        <f>[1]IFE!$B$166</f>
        <v>9</v>
      </c>
      <c r="K124" s="3"/>
      <c r="M124" s="290"/>
      <c r="N124" s="380"/>
      <c r="O124" s="380"/>
    </row>
    <row r="125" spans="1:15" ht="12.75" customHeight="1" thickBot="1" x14ac:dyDescent="0.3">
      <c r="A125" s="3"/>
      <c r="B125" s="283" t="s">
        <v>181</v>
      </c>
      <c r="C125" s="291" t="str">
        <f>[1]IFE!$B$11</f>
        <v>Offshore</v>
      </c>
      <c r="D125" s="291"/>
      <c r="E125" s="283"/>
      <c r="F125" s="284"/>
      <c r="G125" s="3"/>
      <c r="H125" s="3"/>
      <c r="I125" s="283" t="s">
        <v>182</v>
      </c>
      <c r="J125" s="292">
        <v>3</v>
      </c>
      <c r="K125" s="3"/>
      <c r="M125" s="290"/>
      <c r="N125" s="380"/>
      <c r="O125" s="380"/>
    </row>
    <row r="126" spans="1:15" ht="12.75" customHeight="1" thickTop="1" x14ac:dyDescent="0.25">
      <c r="A126" s="293"/>
      <c r="B126" s="294"/>
      <c r="C126" s="295"/>
      <c r="D126" s="295"/>
      <c r="E126" s="784" t="s">
        <v>183</v>
      </c>
      <c r="F126" s="784"/>
      <c r="G126" s="784"/>
      <c r="H126" s="784"/>
      <c r="I126" s="784"/>
      <c r="J126" s="296"/>
      <c r="K126" s="297"/>
      <c r="L126" s="297"/>
      <c r="M126" s="298"/>
      <c r="N126" s="380"/>
      <c r="O126" s="380"/>
    </row>
    <row r="127" spans="1:15" ht="12.75" customHeight="1" x14ac:dyDescent="0.25">
      <c r="A127" s="299"/>
      <c r="B127" s="283"/>
      <c r="C127" s="291"/>
      <c r="D127" s="300" t="s">
        <v>184</v>
      </c>
      <c r="E127" s="617"/>
      <c r="F127" s="780">
        <f>$F$7</f>
        <v>5749.32</v>
      </c>
      <c r="G127" s="780"/>
      <c r="H127" s="618"/>
      <c r="I127" s="617"/>
      <c r="J127" s="300" t="s">
        <v>238</v>
      </c>
      <c r="K127" s="774">
        <f>$K$7</f>
        <v>0</v>
      </c>
      <c r="L127" s="775"/>
      <c r="M127" s="302"/>
      <c r="N127" s="380"/>
      <c r="O127" s="380"/>
    </row>
    <row r="128" spans="1:15" ht="12.75" customHeight="1" thickBot="1" x14ac:dyDescent="0.3">
      <c r="A128" s="303"/>
      <c r="B128" s="304"/>
      <c r="C128" s="304"/>
      <c r="D128" s="305" t="s">
        <v>185</v>
      </c>
      <c r="E128" s="304"/>
      <c r="F128" s="776">
        <f>$F$8</f>
        <v>89939.53</v>
      </c>
      <c r="G128" s="776"/>
      <c r="H128" s="304"/>
      <c r="I128" s="304"/>
      <c r="J128" s="304"/>
      <c r="K128" s="304"/>
      <c r="L128" s="304"/>
      <c r="M128" s="306"/>
      <c r="N128" s="380"/>
      <c r="O128" s="380"/>
    </row>
    <row r="129" spans="1:15" ht="12" customHeight="1" thickTop="1" x14ac:dyDescent="0.25">
      <c r="A129" s="307" t="s">
        <v>186</v>
      </c>
      <c r="B129" s="308"/>
      <c r="C129" s="309" t="s">
        <v>187</v>
      </c>
      <c r="D129" s="309" t="s">
        <v>161</v>
      </c>
      <c r="E129" s="309" t="s">
        <v>95</v>
      </c>
      <c r="F129" s="309" t="s">
        <v>138</v>
      </c>
      <c r="G129" s="309" t="s">
        <v>188</v>
      </c>
      <c r="H129" s="309" t="s">
        <v>138</v>
      </c>
      <c r="I129" s="309" t="s">
        <v>188</v>
      </c>
      <c r="J129" s="309" t="s">
        <v>138</v>
      </c>
      <c r="K129" s="309" t="s">
        <v>189</v>
      </c>
      <c r="L129" s="310" t="s">
        <v>100</v>
      </c>
      <c r="M129" s="516" t="s">
        <v>190</v>
      </c>
      <c r="N129" s="380"/>
      <c r="O129" s="380"/>
    </row>
    <row r="130" spans="1:15" ht="12" customHeight="1" thickBot="1" x14ac:dyDescent="0.3">
      <c r="A130" s="614"/>
      <c r="B130" s="615"/>
      <c r="C130" s="352" t="s">
        <v>49</v>
      </c>
      <c r="D130" s="352" t="s">
        <v>191</v>
      </c>
      <c r="E130" s="352" t="s">
        <v>195</v>
      </c>
      <c r="F130" s="352" t="s">
        <v>97</v>
      </c>
      <c r="G130" s="352" t="s">
        <v>97</v>
      </c>
      <c r="H130" s="352" t="s">
        <v>192</v>
      </c>
      <c r="I130" s="352" t="s">
        <v>192</v>
      </c>
      <c r="J130" s="352" t="s">
        <v>99</v>
      </c>
      <c r="K130" s="352" t="s">
        <v>99</v>
      </c>
      <c r="L130" s="353" t="s">
        <v>193</v>
      </c>
      <c r="M130" s="517" t="s">
        <v>159</v>
      </c>
      <c r="N130" s="380"/>
      <c r="O130" s="380"/>
    </row>
    <row r="131" spans="1:15" ht="11.1" customHeight="1" thickTop="1" x14ac:dyDescent="0.25">
      <c r="A131" s="523">
        <f>[1]IFE!$A4801</f>
        <v>0</v>
      </c>
      <c r="B131" s="524"/>
      <c r="C131" s="525">
        <f>[1]IFE!$B4801</f>
        <v>0</v>
      </c>
      <c r="D131" s="526">
        <f>[1]IFE!$J4801</f>
        <v>0</v>
      </c>
      <c r="E131" s="515">
        <f>[1]IFE!$D4801</f>
        <v>0</v>
      </c>
      <c r="F131" s="527">
        <f>[1]IFE!$C4801+[1]IFE!$P4801</f>
        <v>0</v>
      </c>
      <c r="G131" s="515">
        <f>[1]IFE!$H4801+[1]IFE!$R4801</f>
        <v>0</v>
      </c>
      <c r="H131" s="515">
        <f>[1]IFE!$E4801</f>
        <v>0</v>
      </c>
      <c r="I131" s="515">
        <f>[1]IFE!$K4801</f>
        <v>0</v>
      </c>
      <c r="J131" s="515">
        <f>[1]IFE!$F4801</f>
        <v>0</v>
      </c>
      <c r="K131" s="515">
        <f>[1]IFE!$L4801</f>
        <v>0</v>
      </c>
      <c r="L131" s="528">
        <f>[1]IFE!$G4801</f>
        <v>0</v>
      </c>
      <c r="M131" s="529">
        <f>F131*[1]IFE!$J4801</f>
        <v>0</v>
      </c>
      <c r="N131" s="380"/>
      <c r="O131" s="380"/>
    </row>
    <row r="132" spans="1:15" ht="11.1" customHeight="1" x14ac:dyDescent="0.25">
      <c r="A132" s="315">
        <f>[1]IFE!$A4802</f>
        <v>0</v>
      </c>
      <c r="B132" s="316"/>
      <c r="C132" s="325">
        <f>[1]IFE!$B4802</f>
        <v>0</v>
      </c>
      <c r="D132" s="329">
        <f>[1]IFE!$J4802</f>
        <v>0</v>
      </c>
      <c r="E132" s="326">
        <f>[1]IFE!$D4802</f>
        <v>0</v>
      </c>
      <c r="F132" s="518">
        <f>[1]IFE!$C4802+[1]IFE!$P4802</f>
        <v>0</v>
      </c>
      <c r="G132" s="326">
        <f>[1]IFE!$H4802+[1]IFE!$R4802</f>
        <v>0</v>
      </c>
      <c r="H132" s="326">
        <f>[1]IFE!$E4802</f>
        <v>0</v>
      </c>
      <c r="I132" s="326">
        <f>[1]IFE!$K4802</f>
        <v>0</v>
      </c>
      <c r="J132" s="326">
        <f>[1]IFE!$F4802</f>
        <v>0</v>
      </c>
      <c r="K132" s="326">
        <f>[1]IFE!$L4802</f>
        <v>0</v>
      </c>
      <c r="L132" s="327">
        <f>[1]IFE!$G4802</f>
        <v>0</v>
      </c>
      <c r="M132" s="322">
        <f>F132*[1]IFE!$J4802</f>
        <v>0</v>
      </c>
      <c r="N132" s="380"/>
      <c r="O132" s="380"/>
    </row>
    <row r="133" spans="1:15" ht="11.1" customHeight="1" x14ac:dyDescent="0.25">
      <c r="A133" s="315">
        <f>[1]IFE!$A4803</f>
        <v>0</v>
      </c>
      <c r="B133" s="316"/>
      <c r="C133" s="325">
        <f>[1]IFE!$B4803</f>
        <v>0</v>
      </c>
      <c r="D133" s="329">
        <f>[1]IFE!$J4803</f>
        <v>0</v>
      </c>
      <c r="E133" s="326">
        <f>[1]IFE!$D4803</f>
        <v>0</v>
      </c>
      <c r="F133" s="518">
        <f>[1]IFE!$C4803+[1]IFE!$P4803</f>
        <v>0</v>
      </c>
      <c r="G133" s="326">
        <f>[1]IFE!$H4803+[1]IFE!$R4803</f>
        <v>0</v>
      </c>
      <c r="H133" s="326">
        <f>[1]IFE!$E4803</f>
        <v>0</v>
      </c>
      <c r="I133" s="326">
        <f>[1]IFE!$K4803</f>
        <v>0</v>
      </c>
      <c r="J133" s="326">
        <f>[1]IFE!$F4803</f>
        <v>0</v>
      </c>
      <c r="K133" s="326">
        <f>[1]IFE!$L4803</f>
        <v>0</v>
      </c>
      <c r="L133" s="327">
        <f>[1]IFE!$G4803</f>
        <v>0</v>
      </c>
      <c r="M133" s="322">
        <f>F133*[1]IFE!$J4803</f>
        <v>0</v>
      </c>
      <c r="N133" s="380"/>
      <c r="O133" s="380"/>
    </row>
    <row r="134" spans="1:15" ht="11.1" customHeight="1" x14ac:dyDescent="0.25">
      <c r="A134" s="315">
        <f>[1]IFE!$A4804</f>
        <v>0</v>
      </c>
      <c r="B134" s="316"/>
      <c r="C134" s="325">
        <f>[1]IFE!$B4804</f>
        <v>0</v>
      </c>
      <c r="D134" s="329">
        <f>[1]IFE!$J4804</f>
        <v>0</v>
      </c>
      <c r="E134" s="326">
        <f>[1]IFE!$D4804</f>
        <v>0</v>
      </c>
      <c r="F134" s="518">
        <f>[1]IFE!$C4804+[1]IFE!$P4804</f>
        <v>0</v>
      </c>
      <c r="G134" s="326">
        <f>[1]IFE!$H4804+[1]IFE!$R4804</f>
        <v>0</v>
      </c>
      <c r="H134" s="326">
        <f>[1]IFE!$E4804</f>
        <v>0</v>
      </c>
      <c r="I134" s="326">
        <f>[1]IFE!$K4804</f>
        <v>0</v>
      </c>
      <c r="J134" s="326">
        <f>[1]IFE!$F4804</f>
        <v>0</v>
      </c>
      <c r="K134" s="326">
        <f>[1]IFE!$L4804</f>
        <v>0</v>
      </c>
      <c r="L134" s="327">
        <f>[1]IFE!$G4804</f>
        <v>0</v>
      </c>
      <c r="M134" s="322">
        <f>F134*[1]IFE!$J4804</f>
        <v>0</v>
      </c>
      <c r="N134" s="380"/>
      <c r="O134" s="380"/>
    </row>
    <row r="135" spans="1:15" ht="11.1" customHeight="1" x14ac:dyDescent="0.25">
      <c r="A135" s="315">
        <f>[1]IFE!$A4805</f>
        <v>0</v>
      </c>
      <c r="B135" s="316"/>
      <c r="C135" s="325">
        <f>[1]IFE!$B4805</f>
        <v>0</v>
      </c>
      <c r="D135" s="329">
        <f>[1]IFE!$J4805</f>
        <v>0</v>
      </c>
      <c r="E135" s="326">
        <f>[1]IFE!$D4805</f>
        <v>0</v>
      </c>
      <c r="F135" s="518">
        <f>[1]IFE!$C4805+[1]IFE!$P4805</f>
        <v>0</v>
      </c>
      <c r="G135" s="326">
        <f>[1]IFE!$H4805+[1]IFE!$R4805</f>
        <v>0</v>
      </c>
      <c r="H135" s="326">
        <f>[1]IFE!$E4805</f>
        <v>0</v>
      </c>
      <c r="I135" s="326">
        <f>[1]IFE!$K4805</f>
        <v>0</v>
      </c>
      <c r="J135" s="326">
        <f>[1]IFE!$F4805</f>
        <v>0</v>
      </c>
      <c r="K135" s="326">
        <f>[1]IFE!$L4805</f>
        <v>0</v>
      </c>
      <c r="L135" s="327">
        <f>[1]IFE!$G4805</f>
        <v>0</v>
      </c>
      <c r="M135" s="322">
        <f>F135*[1]IFE!$J4805</f>
        <v>0</v>
      </c>
      <c r="N135" s="380"/>
      <c r="O135" s="380"/>
    </row>
    <row r="136" spans="1:15" ht="11.1" customHeight="1" x14ac:dyDescent="0.25">
      <c r="A136" s="315">
        <f>[1]IFE!$A4806</f>
        <v>0</v>
      </c>
      <c r="B136" s="316"/>
      <c r="C136" s="325">
        <f>[1]IFE!$B4806</f>
        <v>0</v>
      </c>
      <c r="D136" s="329">
        <f>[1]IFE!$J4806</f>
        <v>0</v>
      </c>
      <c r="E136" s="326">
        <f>[1]IFE!$D4806</f>
        <v>0</v>
      </c>
      <c r="F136" s="518">
        <f>[1]IFE!$C4806+[1]IFE!$P4806</f>
        <v>0</v>
      </c>
      <c r="G136" s="326">
        <f>[1]IFE!$H4806+[1]IFE!$R4806</f>
        <v>0</v>
      </c>
      <c r="H136" s="326">
        <f>[1]IFE!$E4806</f>
        <v>0</v>
      </c>
      <c r="I136" s="326">
        <f>[1]IFE!$K4806</f>
        <v>0</v>
      </c>
      <c r="J136" s="326">
        <f>[1]IFE!$F4806</f>
        <v>0</v>
      </c>
      <c r="K136" s="326">
        <f>[1]IFE!$L4806</f>
        <v>0</v>
      </c>
      <c r="L136" s="327">
        <f>[1]IFE!$G4806</f>
        <v>0</v>
      </c>
      <c r="M136" s="322">
        <f>F136*[1]IFE!$J4806</f>
        <v>0</v>
      </c>
      <c r="N136" s="380"/>
      <c r="O136" s="380"/>
    </row>
    <row r="137" spans="1:15" ht="11.1" customHeight="1" x14ac:dyDescent="0.25">
      <c r="A137" s="315">
        <f>[1]IFE!$A4807</f>
        <v>0</v>
      </c>
      <c r="B137" s="316"/>
      <c r="C137" s="325">
        <f>[1]IFE!$B4807</f>
        <v>0</v>
      </c>
      <c r="D137" s="329">
        <f>[1]IFE!$J4807</f>
        <v>0</v>
      </c>
      <c r="E137" s="326">
        <f>[1]IFE!$D4807</f>
        <v>0</v>
      </c>
      <c r="F137" s="518">
        <f>[1]IFE!$C4807+[1]IFE!$P4807</f>
        <v>0</v>
      </c>
      <c r="G137" s="326">
        <f>[1]IFE!$H4807+[1]IFE!$R4807</f>
        <v>0</v>
      </c>
      <c r="H137" s="326">
        <f>[1]IFE!$E4807</f>
        <v>0</v>
      </c>
      <c r="I137" s="326">
        <f>[1]IFE!$K4807</f>
        <v>0</v>
      </c>
      <c r="J137" s="326">
        <f>[1]IFE!$F4807</f>
        <v>0</v>
      </c>
      <c r="K137" s="326">
        <f>[1]IFE!$L4807</f>
        <v>0</v>
      </c>
      <c r="L137" s="327">
        <f>[1]IFE!$G4807</f>
        <v>0</v>
      </c>
      <c r="M137" s="322">
        <f>F137*[1]IFE!$J4807</f>
        <v>0</v>
      </c>
      <c r="N137" s="380"/>
      <c r="O137" s="380"/>
    </row>
    <row r="138" spans="1:15" ht="11.1" customHeight="1" x14ac:dyDescent="0.25">
      <c r="A138" s="315">
        <f>[1]IFE!$A4808</f>
        <v>0</v>
      </c>
      <c r="B138" s="316"/>
      <c r="C138" s="325">
        <f>[1]IFE!$B4808</f>
        <v>0</v>
      </c>
      <c r="D138" s="329">
        <f>[1]IFE!$J4808</f>
        <v>0</v>
      </c>
      <c r="E138" s="326">
        <f>[1]IFE!$D4808</f>
        <v>0</v>
      </c>
      <c r="F138" s="518">
        <f>[1]IFE!$C4808+[1]IFE!$P4808</f>
        <v>0</v>
      </c>
      <c r="G138" s="326">
        <f>[1]IFE!$H4808+[1]IFE!$R4808</f>
        <v>0</v>
      </c>
      <c r="H138" s="326">
        <f>[1]IFE!$E4808</f>
        <v>0</v>
      </c>
      <c r="I138" s="326">
        <f>[1]IFE!$K4808</f>
        <v>0</v>
      </c>
      <c r="J138" s="326">
        <f>[1]IFE!$F4808</f>
        <v>0</v>
      </c>
      <c r="K138" s="326">
        <f>[1]IFE!$L4808</f>
        <v>0</v>
      </c>
      <c r="L138" s="327">
        <f>[1]IFE!$G4808</f>
        <v>0</v>
      </c>
      <c r="M138" s="322">
        <f>F138*[1]IFE!$J4808</f>
        <v>0</v>
      </c>
      <c r="N138" s="380"/>
      <c r="O138" s="380"/>
    </row>
    <row r="139" spans="1:15" ht="11.1" customHeight="1" x14ac:dyDescent="0.25">
      <c r="A139" s="315">
        <f>[1]IFE!$A4809</f>
        <v>0</v>
      </c>
      <c r="B139" s="316"/>
      <c r="C139" s="325">
        <f>[1]IFE!$B4809</f>
        <v>0</v>
      </c>
      <c r="D139" s="329">
        <f>[1]IFE!$J4809</f>
        <v>0</v>
      </c>
      <c r="E139" s="326">
        <f>[1]IFE!$D4809</f>
        <v>0</v>
      </c>
      <c r="F139" s="518">
        <f>[1]IFE!$C4809+[1]IFE!$P4809</f>
        <v>0</v>
      </c>
      <c r="G139" s="326">
        <f>[1]IFE!$H4809+[1]IFE!$R4809</f>
        <v>0</v>
      </c>
      <c r="H139" s="326">
        <f>[1]IFE!$E4809</f>
        <v>0</v>
      </c>
      <c r="I139" s="326">
        <f>[1]IFE!$K4809</f>
        <v>0</v>
      </c>
      <c r="J139" s="326">
        <f>[1]IFE!$F4809</f>
        <v>0</v>
      </c>
      <c r="K139" s="326">
        <f>[1]IFE!$L4809</f>
        <v>0</v>
      </c>
      <c r="L139" s="327">
        <f>[1]IFE!$G4809</f>
        <v>0</v>
      </c>
      <c r="M139" s="322">
        <f>F139*[1]IFE!$J4809</f>
        <v>0</v>
      </c>
      <c r="N139" s="380"/>
      <c r="O139" s="380"/>
    </row>
    <row r="140" spans="1:15" ht="11.1" customHeight="1" x14ac:dyDescent="0.25">
      <c r="A140" s="315">
        <f>[1]IFE!$A4810</f>
        <v>0</v>
      </c>
      <c r="B140" s="316"/>
      <c r="C140" s="325">
        <f>[1]IFE!$B4810</f>
        <v>0</v>
      </c>
      <c r="D140" s="329">
        <f>[1]IFE!$J4810</f>
        <v>0</v>
      </c>
      <c r="E140" s="326">
        <f>[1]IFE!$D4810</f>
        <v>0</v>
      </c>
      <c r="F140" s="518">
        <f>[1]IFE!$C4810+[1]IFE!$P4810</f>
        <v>0</v>
      </c>
      <c r="G140" s="326">
        <f>[1]IFE!$H4810+[1]IFE!$R4810</f>
        <v>0</v>
      </c>
      <c r="H140" s="326">
        <f>[1]IFE!$E4810</f>
        <v>0</v>
      </c>
      <c r="I140" s="326">
        <f>[1]IFE!$K4810</f>
        <v>0</v>
      </c>
      <c r="J140" s="326">
        <f>[1]IFE!$F4810</f>
        <v>0</v>
      </c>
      <c r="K140" s="326">
        <f>[1]IFE!$L4810</f>
        <v>0</v>
      </c>
      <c r="L140" s="327">
        <f>[1]IFE!$G4810</f>
        <v>0</v>
      </c>
      <c r="M140" s="322">
        <f>F140*[1]IFE!$J4810</f>
        <v>0</v>
      </c>
      <c r="N140" s="380"/>
      <c r="O140" s="380"/>
    </row>
    <row r="141" spans="1:15" ht="11.1" customHeight="1" x14ac:dyDescent="0.25">
      <c r="A141" s="315">
        <f>[1]IFE!$A4811</f>
        <v>0</v>
      </c>
      <c r="B141" s="316"/>
      <c r="C141" s="325">
        <f>[1]IFE!$B4811</f>
        <v>0</v>
      </c>
      <c r="D141" s="329">
        <f>[1]IFE!$J4811</f>
        <v>0</v>
      </c>
      <c r="E141" s="326">
        <f>[1]IFE!$D4811</f>
        <v>0</v>
      </c>
      <c r="F141" s="518">
        <f>[1]IFE!$C4811+[1]IFE!$P4811</f>
        <v>0</v>
      </c>
      <c r="G141" s="326">
        <f>[1]IFE!$H4811+[1]IFE!$R4811</f>
        <v>0</v>
      </c>
      <c r="H141" s="326">
        <f>[1]IFE!$E4811</f>
        <v>0</v>
      </c>
      <c r="I141" s="326">
        <f>[1]IFE!$K4811</f>
        <v>0</v>
      </c>
      <c r="J141" s="326">
        <f>[1]IFE!$F4811</f>
        <v>0</v>
      </c>
      <c r="K141" s="326">
        <f>[1]IFE!$L4811</f>
        <v>0</v>
      </c>
      <c r="L141" s="327">
        <f>[1]IFE!$G4811</f>
        <v>0</v>
      </c>
      <c r="M141" s="322">
        <f>F141*[1]IFE!$J4811</f>
        <v>0</v>
      </c>
      <c r="N141" s="380"/>
      <c r="O141" s="380"/>
    </row>
    <row r="142" spans="1:15" ht="11.1" customHeight="1" x14ac:dyDescent="0.25">
      <c r="A142" s="315">
        <f>[1]IFE!$A4812</f>
        <v>0</v>
      </c>
      <c r="B142" s="316"/>
      <c r="C142" s="325">
        <f>[1]IFE!$B4812</f>
        <v>0</v>
      </c>
      <c r="D142" s="329">
        <f>[1]IFE!$J4812</f>
        <v>0</v>
      </c>
      <c r="E142" s="326">
        <f>[1]IFE!$D4812</f>
        <v>0</v>
      </c>
      <c r="F142" s="518">
        <f>[1]IFE!$C4812+[1]IFE!$P4812</f>
        <v>0</v>
      </c>
      <c r="G142" s="326">
        <f>[1]IFE!$H4812+[1]IFE!$R4812</f>
        <v>0</v>
      </c>
      <c r="H142" s="326">
        <f>[1]IFE!$E4812</f>
        <v>0</v>
      </c>
      <c r="I142" s="326">
        <f>[1]IFE!$K4812</f>
        <v>0</v>
      </c>
      <c r="J142" s="326">
        <f>[1]IFE!$F4812</f>
        <v>0</v>
      </c>
      <c r="K142" s="326">
        <f>[1]IFE!$L4812</f>
        <v>0</v>
      </c>
      <c r="L142" s="327">
        <f>[1]IFE!$G4812</f>
        <v>0</v>
      </c>
      <c r="M142" s="322">
        <f>F142*[1]IFE!$J4812</f>
        <v>0</v>
      </c>
      <c r="N142" s="380"/>
      <c r="O142" s="380"/>
    </row>
    <row r="143" spans="1:15" ht="11.1" customHeight="1" x14ac:dyDescent="0.25">
      <c r="A143" s="315">
        <f>[1]IFE!$A4813</f>
        <v>0</v>
      </c>
      <c r="B143" s="316"/>
      <c r="C143" s="325">
        <f>[1]IFE!$B4813</f>
        <v>0</v>
      </c>
      <c r="D143" s="329">
        <f>[1]IFE!$J4813</f>
        <v>0</v>
      </c>
      <c r="E143" s="326">
        <f>[1]IFE!$D4813</f>
        <v>0</v>
      </c>
      <c r="F143" s="518">
        <f>[1]IFE!$C4813+[1]IFE!$P4813</f>
        <v>0</v>
      </c>
      <c r="G143" s="326">
        <f>[1]IFE!$H4813+[1]IFE!$R4813</f>
        <v>0</v>
      </c>
      <c r="H143" s="326">
        <f>[1]IFE!$E4813</f>
        <v>0</v>
      </c>
      <c r="I143" s="326">
        <f>[1]IFE!$K4813</f>
        <v>0</v>
      </c>
      <c r="J143" s="326">
        <f>[1]IFE!$F4813</f>
        <v>0</v>
      </c>
      <c r="K143" s="326">
        <f>[1]IFE!$L4813</f>
        <v>0</v>
      </c>
      <c r="L143" s="327">
        <f>[1]IFE!$G4813</f>
        <v>0</v>
      </c>
      <c r="M143" s="322">
        <f>F143*[1]IFE!$J4813</f>
        <v>0</v>
      </c>
      <c r="N143" s="380"/>
      <c r="O143" s="380"/>
    </row>
    <row r="144" spans="1:15" ht="11.1" customHeight="1" x14ac:dyDescent="0.25">
      <c r="A144" s="315">
        <f>[1]IFE!$A4814</f>
        <v>0</v>
      </c>
      <c r="B144" s="316"/>
      <c r="C144" s="325">
        <f>[1]IFE!$B4814</f>
        <v>0</v>
      </c>
      <c r="D144" s="329">
        <f>[1]IFE!$J4814</f>
        <v>0</v>
      </c>
      <c r="E144" s="326">
        <f>[1]IFE!$D4814</f>
        <v>0</v>
      </c>
      <c r="F144" s="518">
        <f>[1]IFE!$C4814+[1]IFE!$P4814</f>
        <v>0</v>
      </c>
      <c r="G144" s="326">
        <f>[1]IFE!$H4814+[1]IFE!$R4814</f>
        <v>0</v>
      </c>
      <c r="H144" s="326">
        <f>[1]IFE!$E4814</f>
        <v>0</v>
      </c>
      <c r="I144" s="326">
        <f>[1]IFE!$K4814</f>
        <v>0</v>
      </c>
      <c r="J144" s="326">
        <f>[1]IFE!$F4814</f>
        <v>0</v>
      </c>
      <c r="K144" s="326">
        <f>[1]IFE!$L4814</f>
        <v>0</v>
      </c>
      <c r="L144" s="327">
        <f>[1]IFE!$G4814</f>
        <v>0</v>
      </c>
      <c r="M144" s="322">
        <f>F144*[1]IFE!$J4814</f>
        <v>0</v>
      </c>
      <c r="N144" s="380"/>
      <c r="O144" s="380"/>
    </row>
    <row r="145" spans="1:15" ht="11.1" customHeight="1" x14ac:dyDescent="0.25">
      <c r="A145" s="315">
        <f>[1]IFE!$A4815</f>
        <v>0</v>
      </c>
      <c r="B145" s="316"/>
      <c r="C145" s="325">
        <f>[1]IFE!$B4815</f>
        <v>0</v>
      </c>
      <c r="D145" s="329">
        <f>[1]IFE!$J4815</f>
        <v>0</v>
      </c>
      <c r="E145" s="326">
        <f>[1]IFE!$D4815</f>
        <v>0</v>
      </c>
      <c r="F145" s="518">
        <f>[1]IFE!$C4815+[1]IFE!$P4815</f>
        <v>0</v>
      </c>
      <c r="G145" s="326">
        <f>[1]IFE!$H4815+[1]IFE!$R4815</f>
        <v>0</v>
      </c>
      <c r="H145" s="326">
        <f>[1]IFE!$E4815</f>
        <v>0</v>
      </c>
      <c r="I145" s="326">
        <f>[1]IFE!$K4815</f>
        <v>0</v>
      </c>
      <c r="J145" s="326">
        <f>[1]IFE!$F4815</f>
        <v>0</v>
      </c>
      <c r="K145" s="326">
        <f>[1]IFE!$L4815</f>
        <v>0</v>
      </c>
      <c r="L145" s="327">
        <f>[1]IFE!$G4815</f>
        <v>0</v>
      </c>
      <c r="M145" s="322">
        <f>F145*[1]IFE!$J4815</f>
        <v>0</v>
      </c>
      <c r="N145" s="380"/>
      <c r="O145" s="380"/>
    </row>
    <row r="146" spans="1:15" ht="11.1" customHeight="1" x14ac:dyDescent="0.25">
      <c r="A146" s="315">
        <f>[1]IFE!$A4816</f>
        <v>0</v>
      </c>
      <c r="B146" s="316"/>
      <c r="C146" s="325">
        <f>[1]IFE!$B4816</f>
        <v>0</v>
      </c>
      <c r="D146" s="329">
        <f>[1]IFE!$J4816</f>
        <v>0</v>
      </c>
      <c r="E146" s="326">
        <f>[1]IFE!$D4816</f>
        <v>0</v>
      </c>
      <c r="F146" s="518">
        <f>[1]IFE!$C4816+[1]IFE!$P4816</f>
        <v>0</v>
      </c>
      <c r="G146" s="326">
        <f>[1]IFE!$H4816+[1]IFE!$R4816</f>
        <v>0</v>
      </c>
      <c r="H146" s="326">
        <f>[1]IFE!$E4816</f>
        <v>0</v>
      </c>
      <c r="I146" s="326">
        <f>[1]IFE!$K4816</f>
        <v>0</v>
      </c>
      <c r="J146" s="326">
        <f>[1]IFE!$F4816</f>
        <v>0</v>
      </c>
      <c r="K146" s="326">
        <f>[1]IFE!$L4816</f>
        <v>0</v>
      </c>
      <c r="L146" s="327">
        <f>[1]IFE!$G4816</f>
        <v>0</v>
      </c>
      <c r="M146" s="322">
        <f>F146*[1]IFE!$J4816</f>
        <v>0</v>
      </c>
      <c r="N146" s="380"/>
      <c r="O146" s="380"/>
    </row>
    <row r="147" spans="1:15" ht="11.1" customHeight="1" x14ac:dyDescent="0.25">
      <c r="A147" s="315">
        <f>[1]IFE!$A4817</f>
        <v>0</v>
      </c>
      <c r="B147" s="316"/>
      <c r="C147" s="325">
        <f>[1]IFE!$B4817</f>
        <v>0</v>
      </c>
      <c r="D147" s="329">
        <f>[1]IFE!$J4817</f>
        <v>0</v>
      </c>
      <c r="E147" s="326">
        <f>[1]IFE!$D4817</f>
        <v>0</v>
      </c>
      <c r="F147" s="518">
        <f>[1]IFE!$C4817+[1]IFE!$P4817</f>
        <v>0</v>
      </c>
      <c r="G147" s="326">
        <f>[1]IFE!$H4817+[1]IFE!$R4817</f>
        <v>0</v>
      </c>
      <c r="H147" s="326">
        <f>[1]IFE!$E4817</f>
        <v>0</v>
      </c>
      <c r="I147" s="326">
        <f>[1]IFE!$K4817</f>
        <v>0</v>
      </c>
      <c r="J147" s="326">
        <f>[1]IFE!$F4817</f>
        <v>0</v>
      </c>
      <c r="K147" s="326">
        <f>[1]IFE!$L4817</f>
        <v>0</v>
      </c>
      <c r="L147" s="327">
        <f>[1]IFE!$G4817</f>
        <v>0</v>
      </c>
      <c r="M147" s="322">
        <f>F147*[1]IFE!$J4817</f>
        <v>0</v>
      </c>
      <c r="N147" s="380"/>
      <c r="O147" s="380"/>
    </row>
    <row r="148" spans="1:15" ht="11.1" customHeight="1" x14ac:dyDescent="0.25">
      <c r="A148" s="315">
        <f>[1]IFE!$A4818</f>
        <v>0</v>
      </c>
      <c r="B148" s="316"/>
      <c r="C148" s="325">
        <f>[1]IFE!$B4818</f>
        <v>0</v>
      </c>
      <c r="D148" s="329">
        <f>[1]IFE!$J4818</f>
        <v>0</v>
      </c>
      <c r="E148" s="326">
        <f>[1]IFE!$D4818</f>
        <v>0</v>
      </c>
      <c r="F148" s="518">
        <f>[1]IFE!$C4818+[1]IFE!$P4818</f>
        <v>0</v>
      </c>
      <c r="G148" s="326">
        <f>[1]IFE!$H4818+[1]IFE!$R4818</f>
        <v>0</v>
      </c>
      <c r="H148" s="326">
        <f>[1]IFE!$E4818</f>
        <v>0</v>
      </c>
      <c r="I148" s="326">
        <f>[1]IFE!$K4818</f>
        <v>0</v>
      </c>
      <c r="J148" s="326">
        <f>[1]IFE!$F4818</f>
        <v>0</v>
      </c>
      <c r="K148" s="326">
        <f>[1]IFE!$L4818</f>
        <v>0</v>
      </c>
      <c r="L148" s="327">
        <f>[1]IFE!$G4818</f>
        <v>0</v>
      </c>
      <c r="M148" s="322">
        <f>F148*[1]IFE!$J4818</f>
        <v>0</v>
      </c>
      <c r="N148" s="380"/>
      <c r="O148" s="380"/>
    </row>
    <row r="149" spans="1:15" ht="11.1" customHeight="1" x14ac:dyDescent="0.25">
      <c r="A149" s="315">
        <f>[1]IFE!$A4819</f>
        <v>0</v>
      </c>
      <c r="B149" s="316"/>
      <c r="C149" s="325">
        <f>[1]IFE!$B4819</f>
        <v>0</v>
      </c>
      <c r="D149" s="329">
        <f>[1]IFE!$J4819</f>
        <v>0</v>
      </c>
      <c r="E149" s="326">
        <f>[1]IFE!$D4819</f>
        <v>0</v>
      </c>
      <c r="F149" s="518">
        <f>[1]IFE!$C4819+[1]IFE!$P4819</f>
        <v>0</v>
      </c>
      <c r="G149" s="326">
        <f>[1]IFE!$H4819+[1]IFE!$R4819</f>
        <v>0</v>
      </c>
      <c r="H149" s="326">
        <f>[1]IFE!$E4819</f>
        <v>0</v>
      </c>
      <c r="I149" s="326">
        <f>[1]IFE!$K4819</f>
        <v>0</v>
      </c>
      <c r="J149" s="326">
        <f>[1]IFE!$F4819</f>
        <v>0</v>
      </c>
      <c r="K149" s="326">
        <f>[1]IFE!$L4819</f>
        <v>0</v>
      </c>
      <c r="L149" s="327">
        <f>[1]IFE!$G4819</f>
        <v>0</v>
      </c>
      <c r="M149" s="322">
        <f>F149*[1]IFE!$J4819</f>
        <v>0</v>
      </c>
      <c r="N149" s="380"/>
      <c r="O149" s="380"/>
    </row>
    <row r="150" spans="1:15" ht="11.1" customHeight="1" x14ac:dyDescent="0.25">
      <c r="A150" s="315">
        <f>[1]IFE!$A4820</f>
        <v>0</v>
      </c>
      <c r="B150" s="316"/>
      <c r="C150" s="325">
        <f>[1]IFE!$B4820</f>
        <v>0</v>
      </c>
      <c r="D150" s="329">
        <f>[1]IFE!$J4820</f>
        <v>0</v>
      </c>
      <c r="E150" s="326">
        <f>[1]IFE!$D4820</f>
        <v>0</v>
      </c>
      <c r="F150" s="518">
        <f>[1]IFE!$C4820+[1]IFE!$P4820</f>
        <v>0</v>
      </c>
      <c r="G150" s="326">
        <f>[1]IFE!$H4820+[1]IFE!$R4820</f>
        <v>0</v>
      </c>
      <c r="H150" s="326">
        <f>[1]IFE!$E4820</f>
        <v>0</v>
      </c>
      <c r="I150" s="326">
        <f>[1]IFE!$K4820</f>
        <v>0</v>
      </c>
      <c r="J150" s="326">
        <f>[1]IFE!$F4820</f>
        <v>0</v>
      </c>
      <c r="K150" s="326">
        <f>[1]IFE!$L4820</f>
        <v>0</v>
      </c>
      <c r="L150" s="327">
        <f>[1]IFE!$G4820</f>
        <v>0</v>
      </c>
      <c r="M150" s="322">
        <f>F150*[1]IFE!$J4820</f>
        <v>0</v>
      </c>
      <c r="N150" s="380"/>
      <c r="O150" s="380"/>
    </row>
    <row r="151" spans="1:15" ht="11.1" customHeight="1" x14ac:dyDescent="0.25">
      <c r="A151" s="315">
        <f>[1]IFE!$A4821</f>
        <v>0</v>
      </c>
      <c r="B151" s="316"/>
      <c r="C151" s="325">
        <f>[1]IFE!$B4821</f>
        <v>0</v>
      </c>
      <c r="D151" s="329">
        <f>[1]IFE!$J4821</f>
        <v>0</v>
      </c>
      <c r="E151" s="326">
        <f>[1]IFE!$D4821</f>
        <v>0</v>
      </c>
      <c r="F151" s="518">
        <f>[1]IFE!$C4821+[1]IFE!$P4821</f>
        <v>0</v>
      </c>
      <c r="G151" s="326">
        <f>[1]IFE!$H4821+[1]IFE!$R4821</f>
        <v>0</v>
      </c>
      <c r="H151" s="326">
        <f>[1]IFE!$E4821</f>
        <v>0</v>
      </c>
      <c r="I151" s="326">
        <f>[1]IFE!$K4821</f>
        <v>0</v>
      </c>
      <c r="J151" s="326">
        <f>[1]IFE!$F4821</f>
        <v>0</v>
      </c>
      <c r="K151" s="326">
        <f>[1]IFE!$L4821</f>
        <v>0</v>
      </c>
      <c r="L151" s="327">
        <f>[1]IFE!$G4821</f>
        <v>0</v>
      </c>
      <c r="M151" s="322">
        <f>F151*[1]IFE!$J4821</f>
        <v>0</v>
      </c>
      <c r="N151" s="380"/>
      <c r="O151" s="380"/>
    </row>
    <row r="152" spans="1:15" ht="11.1" customHeight="1" x14ac:dyDescent="0.25">
      <c r="A152" s="315">
        <f>[1]IFE!$A4822</f>
        <v>0</v>
      </c>
      <c r="B152" s="316"/>
      <c r="C152" s="325">
        <f>[1]IFE!$B4822</f>
        <v>0</v>
      </c>
      <c r="D152" s="329">
        <f>[1]IFE!$J4822</f>
        <v>0</v>
      </c>
      <c r="E152" s="326">
        <f>[1]IFE!$D4822</f>
        <v>0</v>
      </c>
      <c r="F152" s="518">
        <f>[1]IFE!$C4822+[1]IFE!$P4822</f>
        <v>0</v>
      </c>
      <c r="G152" s="326">
        <f>[1]IFE!$H4822+[1]IFE!$R4822</f>
        <v>0</v>
      </c>
      <c r="H152" s="326">
        <f>[1]IFE!$E4822</f>
        <v>0</v>
      </c>
      <c r="I152" s="326">
        <f>[1]IFE!$K4822</f>
        <v>0</v>
      </c>
      <c r="J152" s="326">
        <f>[1]IFE!$F4822</f>
        <v>0</v>
      </c>
      <c r="K152" s="326">
        <f>[1]IFE!$L4822</f>
        <v>0</v>
      </c>
      <c r="L152" s="327">
        <f>[1]IFE!$G4822</f>
        <v>0</v>
      </c>
      <c r="M152" s="322">
        <f>F152*[1]IFE!$J4822</f>
        <v>0</v>
      </c>
      <c r="N152" s="380"/>
      <c r="O152" s="380"/>
    </row>
    <row r="153" spans="1:15" ht="11.1" customHeight="1" x14ac:dyDescent="0.25">
      <c r="A153" s="315">
        <f>[1]IFE!$A4823</f>
        <v>0</v>
      </c>
      <c r="B153" s="316"/>
      <c r="C153" s="325">
        <f>[1]IFE!$B4823</f>
        <v>0</v>
      </c>
      <c r="D153" s="329">
        <f>[1]IFE!$J4823</f>
        <v>0</v>
      </c>
      <c r="E153" s="326">
        <f>[1]IFE!$D4823</f>
        <v>0</v>
      </c>
      <c r="F153" s="518">
        <f>[1]IFE!$C4823+[1]IFE!$P4823</f>
        <v>0</v>
      </c>
      <c r="G153" s="326">
        <f>[1]IFE!$H4823+[1]IFE!$R4823</f>
        <v>0</v>
      </c>
      <c r="H153" s="326">
        <f>[1]IFE!$E4823</f>
        <v>0</v>
      </c>
      <c r="I153" s="326">
        <f>[1]IFE!$K4823</f>
        <v>0</v>
      </c>
      <c r="J153" s="326">
        <f>[1]IFE!$F4823</f>
        <v>0</v>
      </c>
      <c r="K153" s="326">
        <f>[1]IFE!$L4823</f>
        <v>0</v>
      </c>
      <c r="L153" s="327">
        <f>[1]IFE!$G4823</f>
        <v>0</v>
      </c>
      <c r="M153" s="322">
        <f>F153*[1]IFE!$J4823</f>
        <v>0</v>
      </c>
      <c r="N153" s="380"/>
      <c r="O153" s="380"/>
    </row>
    <row r="154" spans="1:15" ht="11.1" customHeight="1" x14ac:dyDescent="0.25">
      <c r="A154" s="315">
        <f>[1]IFE!$A4824</f>
        <v>0</v>
      </c>
      <c r="B154" s="316"/>
      <c r="C154" s="325">
        <f>[1]IFE!$B4824</f>
        <v>0</v>
      </c>
      <c r="D154" s="329">
        <f>[1]IFE!$J4824</f>
        <v>0</v>
      </c>
      <c r="E154" s="326">
        <f>[1]IFE!$D4824</f>
        <v>0</v>
      </c>
      <c r="F154" s="518">
        <f>[1]IFE!$C4824+[1]IFE!$P4824</f>
        <v>0</v>
      </c>
      <c r="G154" s="326">
        <f>[1]IFE!$H4824+[1]IFE!$R4824</f>
        <v>0</v>
      </c>
      <c r="H154" s="326">
        <f>[1]IFE!$E4824</f>
        <v>0</v>
      </c>
      <c r="I154" s="326">
        <f>[1]IFE!$K4824</f>
        <v>0</v>
      </c>
      <c r="J154" s="326">
        <f>[1]IFE!$F4824</f>
        <v>0</v>
      </c>
      <c r="K154" s="326">
        <f>[1]IFE!$L4824</f>
        <v>0</v>
      </c>
      <c r="L154" s="327">
        <f>[1]IFE!$G4824</f>
        <v>0</v>
      </c>
      <c r="M154" s="322">
        <f>F154*[1]IFE!$J4824</f>
        <v>0</v>
      </c>
      <c r="N154" s="380"/>
      <c r="O154" s="380"/>
    </row>
    <row r="155" spans="1:15" ht="11.1" customHeight="1" x14ac:dyDescent="0.25">
      <c r="A155" s="315">
        <f>[1]IFE!$A4825</f>
        <v>0</v>
      </c>
      <c r="B155" s="316"/>
      <c r="C155" s="325">
        <f>[1]IFE!$B4825</f>
        <v>0</v>
      </c>
      <c r="D155" s="329">
        <f>[1]IFE!$J4825</f>
        <v>0</v>
      </c>
      <c r="E155" s="326">
        <f>[1]IFE!$D4825</f>
        <v>0</v>
      </c>
      <c r="F155" s="518">
        <f>[1]IFE!$C4825+[1]IFE!$P4825</f>
        <v>0</v>
      </c>
      <c r="G155" s="326">
        <f>[1]IFE!$H4825+[1]IFE!$R4825</f>
        <v>0</v>
      </c>
      <c r="H155" s="326">
        <f>[1]IFE!$E4825</f>
        <v>0</v>
      </c>
      <c r="I155" s="326">
        <f>[1]IFE!$K4825</f>
        <v>0</v>
      </c>
      <c r="J155" s="326">
        <f>[1]IFE!$F4825</f>
        <v>0</v>
      </c>
      <c r="K155" s="326">
        <f>[1]IFE!$L4825</f>
        <v>0</v>
      </c>
      <c r="L155" s="327">
        <f>[1]IFE!$G4825</f>
        <v>0</v>
      </c>
      <c r="M155" s="322">
        <f>F155*[1]IFE!$J4825</f>
        <v>0</v>
      </c>
      <c r="N155" s="380"/>
      <c r="O155" s="380"/>
    </row>
    <row r="156" spans="1:15" ht="11.1" customHeight="1" x14ac:dyDescent="0.25">
      <c r="A156" s="315">
        <f>[1]IFE!$A4826</f>
        <v>0</v>
      </c>
      <c r="B156" s="316"/>
      <c r="C156" s="325">
        <f>[1]IFE!$B4826</f>
        <v>0</v>
      </c>
      <c r="D156" s="329">
        <f>[1]IFE!$J4826</f>
        <v>0</v>
      </c>
      <c r="E156" s="326">
        <f>[1]IFE!$D4826</f>
        <v>0</v>
      </c>
      <c r="F156" s="518">
        <f>[1]IFE!$C4826+[1]IFE!$P4826</f>
        <v>0</v>
      </c>
      <c r="G156" s="326">
        <f>[1]IFE!$H4826+[1]IFE!$R4826</f>
        <v>0</v>
      </c>
      <c r="H156" s="326">
        <f>[1]IFE!$E4826</f>
        <v>0</v>
      </c>
      <c r="I156" s="326">
        <f>[1]IFE!$K4826</f>
        <v>0</v>
      </c>
      <c r="J156" s="326">
        <f>[1]IFE!$F4826</f>
        <v>0</v>
      </c>
      <c r="K156" s="326">
        <f>[1]IFE!$L4826</f>
        <v>0</v>
      </c>
      <c r="L156" s="327">
        <f>[1]IFE!$G4826</f>
        <v>0</v>
      </c>
      <c r="M156" s="322">
        <f>F156*[1]IFE!$J4826</f>
        <v>0</v>
      </c>
      <c r="N156" s="380"/>
      <c r="O156" s="380"/>
    </row>
    <row r="157" spans="1:15" ht="11.1" customHeight="1" x14ac:dyDescent="0.25">
      <c r="A157" s="315">
        <f>[1]IFE!$A4827</f>
        <v>0</v>
      </c>
      <c r="B157" s="316"/>
      <c r="C157" s="325">
        <f>[1]IFE!$B4827</f>
        <v>0</v>
      </c>
      <c r="D157" s="329">
        <f>[1]IFE!$J4827</f>
        <v>0</v>
      </c>
      <c r="E157" s="326">
        <f>[1]IFE!$D4827</f>
        <v>0</v>
      </c>
      <c r="F157" s="518">
        <f>[1]IFE!$C4827+[1]IFE!$P4827</f>
        <v>0</v>
      </c>
      <c r="G157" s="326">
        <f>[1]IFE!$H4827+[1]IFE!$R4827</f>
        <v>0</v>
      </c>
      <c r="H157" s="326">
        <f>[1]IFE!$E4827</f>
        <v>0</v>
      </c>
      <c r="I157" s="326">
        <f>[1]IFE!$K4827</f>
        <v>0</v>
      </c>
      <c r="J157" s="326">
        <f>[1]IFE!$F4827</f>
        <v>0</v>
      </c>
      <c r="K157" s="326">
        <f>[1]IFE!$L4827</f>
        <v>0</v>
      </c>
      <c r="L157" s="327">
        <f>[1]IFE!$G4827</f>
        <v>0</v>
      </c>
      <c r="M157" s="322">
        <f>F157*[1]IFE!$J4827</f>
        <v>0</v>
      </c>
    </row>
    <row r="158" spans="1:15" ht="11.1" customHeight="1" x14ac:dyDescent="0.25">
      <c r="A158" s="315">
        <f>[1]IFE!$A4828</f>
        <v>0</v>
      </c>
      <c r="B158" s="316"/>
      <c r="C158" s="325">
        <f>[1]IFE!$B4828</f>
        <v>0</v>
      </c>
      <c r="D158" s="329">
        <f>[1]IFE!$J4828</f>
        <v>0</v>
      </c>
      <c r="E158" s="326">
        <f>[1]IFE!$D4828</f>
        <v>0</v>
      </c>
      <c r="F158" s="518">
        <f>[1]IFE!$C4828+[1]IFE!$P4828</f>
        <v>0</v>
      </c>
      <c r="G158" s="326">
        <f>[1]IFE!$H4828+[1]IFE!$R4828</f>
        <v>0</v>
      </c>
      <c r="H158" s="326">
        <f>[1]IFE!$E4828</f>
        <v>0</v>
      </c>
      <c r="I158" s="326">
        <f>[1]IFE!$K4828</f>
        <v>0</v>
      </c>
      <c r="J158" s="326">
        <f>[1]IFE!$F4828</f>
        <v>0</v>
      </c>
      <c r="K158" s="326">
        <f>[1]IFE!$L4828</f>
        <v>0</v>
      </c>
      <c r="L158" s="327">
        <f>[1]IFE!$G4828</f>
        <v>0</v>
      </c>
      <c r="M158" s="322">
        <f>F158*[1]IFE!$J4828</f>
        <v>0</v>
      </c>
    </row>
    <row r="159" spans="1:15" ht="11.1" customHeight="1" x14ac:dyDescent="0.25">
      <c r="A159" s="315">
        <f>[1]IFE!$A4829</f>
        <v>0</v>
      </c>
      <c r="B159" s="316"/>
      <c r="C159" s="325">
        <f>[1]IFE!$B4829</f>
        <v>0</v>
      </c>
      <c r="D159" s="329">
        <f>[1]IFE!$J4829</f>
        <v>0</v>
      </c>
      <c r="E159" s="326">
        <f>[1]IFE!$D4829</f>
        <v>0</v>
      </c>
      <c r="F159" s="518">
        <f>[1]IFE!$C4829+[1]IFE!$P4829</f>
        <v>0</v>
      </c>
      <c r="G159" s="326">
        <f>[1]IFE!$H4829+[1]IFE!$R4829</f>
        <v>0</v>
      </c>
      <c r="H159" s="326">
        <f>[1]IFE!$E4829</f>
        <v>0</v>
      </c>
      <c r="I159" s="326">
        <f>[1]IFE!$K4829</f>
        <v>0</v>
      </c>
      <c r="J159" s="326">
        <f>[1]IFE!$F4829</f>
        <v>0</v>
      </c>
      <c r="K159" s="326">
        <f>[1]IFE!$L4829</f>
        <v>0</v>
      </c>
      <c r="L159" s="327">
        <f>[1]IFE!$G4829</f>
        <v>0</v>
      </c>
      <c r="M159" s="322">
        <f>F159*[1]IFE!$J4829</f>
        <v>0</v>
      </c>
    </row>
    <row r="160" spans="1:15" ht="11.1" customHeight="1" x14ac:dyDescent="0.25">
      <c r="A160" s="315">
        <f>[1]IFE!$A4830</f>
        <v>0</v>
      </c>
      <c r="B160" s="316"/>
      <c r="C160" s="325">
        <f>[1]IFE!$B4830</f>
        <v>0</v>
      </c>
      <c r="D160" s="329">
        <f>[1]IFE!$J4830</f>
        <v>0</v>
      </c>
      <c r="E160" s="326">
        <f>[1]IFE!$D4830</f>
        <v>0</v>
      </c>
      <c r="F160" s="518">
        <f>[1]IFE!$C4830+[1]IFE!$P4830</f>
        <v>0</v>
      </c>
      <c r="G160" s="326">
        <f>[1]IFE!$H4830+[1]IFE!$R4830</f>
        <v>0</v>
      </c>
      <c r="H160" s="326">
        <f>[1]IFE!$E4830</f>
        <v>0</v>
      </c>
      <c r="I160" s="326">
        <f>[1]IFE!$K4830</f>
        <v>0</v>
      </c>
      <c r="J160" s="326">
        <f>[1]IFE!$F4830</f>
        <v>0</v>
      </c>
      <c r="K160" s="326">
        <f>[1]IFE!$L4830</f>
        <v>0</v>
      </c>
      <c r="L160" s="327">
        <f>[1]IFE!$G4830</f>
        <v>0</v>
      </c>
      <c r="M160" s="322">
        <f>F160*[1]IFE!$J4830</f>
        <v>0</v>
      </c>
    </row>
    <row r="161" spans="1:13" ht="11.1" customHeight="1" x14ac:dyDescent="0.25">
      <c r="A161" s="315">
        <f>[1]IFE!$A4831</f>
        <v>0</v>
      </c>
      <c r="B161" s="316"/>
      <c r="C161" s="325">
        <f>[1]IFE!$B4831</f>
        <v>0</v>
      </c>
      <c r="D161" s="329">
        <f>[1]IFE!$J4831</f>
        <v>0</v>
      </c>
      <c r="E161" s="326">
        <f>[1]IFE!$D4831</f>
        <v>0</v>
      </c>
      <c r="F161" s="518">
        <f>[1]IFE!$C4831+[1]IFE!$P4831</f>
        <v>0</v>
      </c>
      <c r="G161" s="326">
        <f>[1]IFE!$H4831+[1]IFE!$R4831</f>
        <v>0</v>
      </c>
      <c r="H161" s="326">
        <f>[1]IFE!$E4831</f>
        <v>0</v>
      </c>
      <c r="I161" s="326">
        <f>[1]IFE!$K4831</f>
        <v>0</v>
      </c>
      <c r="J161" s="326">
        <f>[1]IFE!$F4831</f>
        <v>0</v>
      </c>
      <c r="K161" s="326">
        <f>[1]IFE!$L4831</f>
        <v>0</v>
      </c>
      <c r="L161" s="327">
        <f>[1]IFE!$G4831</f>
        <v>0</v>
      </c>
      <c r="M161" s="322">
        <f>F161*[1]IFE!$J4831</f>
        <v>0</v>
      </c>
    </row>
    <row r="162" spans="1:13" ht="11.1" customHeight="1" x14ac:dyDescent="0.25">
      <c r="A162" s="315">
        <f>[1]IFE!$A4832</f>
        <v>0</v>
      </c>
      <c r="B162" s="316"/>
      <c r="C162" s="325">
        <f>[1]IFE!$B4832</f>
        <v>0</v>
      </c>
      <c r="D162" s="329">
        <f>[1]IFE!$J4832</f>
        <v>0</v>
      </c>
      <c r="E162" s="326">
        <f>[1]IFE!$D4832</f>
        <v>0</v>
      </c>
      <c r="F162" s="518">
        <f>[1]IFE!$C4832+[1]IFE!$P4832</f>
        <v>0</v>
      </c>
      <c r="G162" s="326">
        <f>[1]IFE!$H4832+[1]IFE!$R4832</f>
        <v>0</v>
      </c>
      <c r="H162" s="326">
        <f>[1]IFE!$E4832</f>
        <v>0</v>
      </c>
      <c r="I162" s="326">
        <f>[1]IFE!$K4832</f>
        <v>0</v>
      </c>
      <c r="J162" s="326">
        <f>[1]IFE!$F4832</f>
        <v>0</v>
      </c>
      <c r="K162" s="326">
        <f>[1]IFE!$L4832</f>
        <v>0</v>
      </c>
      <c r="L162" s="327">
        <f>[1]IFE!$G4832</f>
        <v>0</v>
      </c>
      <c r="M162" s="322">
        <f>F162*[1]IFE!$J4832</f>
        <v>0</v>
      </c>
    </row>
    <row r="163" spans="1:13" ht="11.1" customHeight="1" x14ac:dyDescent="0.25">
      <c r="A163" s="315">
        <f>[1]IFE!$A4833</f>
        <v>0</v>
      </c>
      <c r="B163" s="316"/>
      <c r="C163" s="325">
        <f>[1]IFE!$B4833</f>
        <v>0</v>
      </c>
      <c r="D163" s="329">
        <f>[1]IFE!$J4833</f>
        <v>0</v>
      </c>
      <c r="E163" s="326">
        <f>[1]IFE!$D4833</f>
        <v>0</v>
      </c>
      <c r="F163" s="518">
        <f>[1]IFE!$C4833+[1]IFE!$P4833</f>
        <v>0</v>
      </c>
      <c r="G163" s="326">
        <f>[1]IFE!$H4833+[1]IFE!$R4833</f>
        <v>0</v>
      </c>
      <c r="H163" s="326">
        <f>[1]IFE!$E4833</f>
        <v>0</v>
      </c>
      <c r="I163" s="326">
        <f>[1]IFE!$K4833</f>
        <v>0</v>
      </c>
      <c r="J163" s="326">
        <f>[1]IFE!$F4833</f>
        <v>0</v>
      </c>
      <c r="K163" s="326">
        <f>[1]IFE!$L4833</f>
        <v>0</v>
      </c>
      <c r="L163" s="327">
        <f>[1]IFE!$G4833</f>
        <v>0</v>
      </c>
      <c r="M163" s="322">
        <f>F163*[1]IFE!$J4833</f>
        <v>0</v>
      </c>
    </row>
    <row r="164" spans="1:13" ht="11.1" customHeight="1" x14ac:dyDescent="0.25">
      <c r="A164" s="315">
        <f>[1]IFE!$A4834</f>
        <v>0</v>
      </c>
      <c r="B164" s="316"/>
      <c r="C164" s="325">
        <f>[1]IFE!$B4834</f>
        <v>0</v>
      </c>
      <c r="D164" s="329">
        <f>[1]IFE!$J4834</f>
        <v>0</v>
      </c>
      <c r="E164" s="326">
        <f>[1]IFE!$D4834</f>
        <v>0</v>
      </c>
      <c r="F164" s="518">
        <f>[1]IFE!$C4834+[1]IFE!$P4834</f>
        <v>0</v>
      </c>
      <c r="G164" s="326">
        <f>[1]IFE!$H4834+[1]IFE!$R4834</f>
        <v>0</v>
      </c>
      <c r="H164" s="326">
        <f>[1]IFE!$E4834</f>
        <v>0</v>
      </c>
      <c r="I164" s="326">
        <f>[1]IFE!$K4834</f>
        <v>0</v>
      </c>
      <c r="J164" s="326">
        <f>[1]IFE!$F4834</f>
        <v>0</v>
      </c>
      <c r="K164" s="326">
        <f>[1]IFE!$L4834</f>
        <v>0</v>
      </c>
      <c r="L164" s="327">
        <f>[1]IFE!$G4834</f>
        <v>0</v>
      </c>
      <c r="M164" s="322">
        <f>F164*[1]IFE!$J4834</f>
        <v>0</v>
      </c>
    </row>
    <row r="165" spans="1:13" ht="11.1" customHeight="1" x14ac:dyDescent="0.25">
      <c r="A165" s="315">
        <f>[1]IFE!$A4835</f>
        <v>0</v>
      </c>
      <c r="B165" s="316"/>
      <c r="C165" s="325">
        <f>[1]IFE!$B4835</f>
        <v>0</v>
      </c>
      <c r="D165" s="329">
        <f>[1]IFE!$J4835</f>
        <v>0</v>
      </c>
      <c r="E165" s="326">
        <f>[1]IFE!$D4835</f>
        <v>0</v>
      </c>
      <c r="F165" s="518">
        <f>[1]IFE!$C4835+[1]IFE!$P4835</f>
        <v>0</v>
      </c>
      <c r="G165" s="326">
        <f>[1]IFE!$H4835+[1]IFE!$R4835</f>
        <v>0</v>
      </c>
      <c r="H165" s="326">
        <f>[1]IFE!$E4835</f>
        <v>0</v>
      </c>
      <c r="I165" s="326">
        <f>[1]IFE!$K4835</f>
        <v>0</v>
      </c>
      <c r="J165" s="326">
        <f>[1]IFE!$F4835</f>
        <v>0</v>
      </c>
      <c r="K165" s="326">
        <f>[1]IFE!$L4835</f>
        <v>0</v>
      </c>
      <c r="L165" s="327">
        <f>[1]IFE!$G4835</f>
        <v>0</v>
      </c>
      <c r="M165" s="322">
        <f>F165*[1]IFE!$J4835</f>
        <v>0</v>
      </c>
    </row>
    <row r="166" spans="1:13" ht="11.1" customHeight="1" x14ac:dyDescent="0.25">
      <c r="A166" s="315">
        <f>[1]IFE!$A4836</f>
        <v>0</v>
      </c>
      <c r="B166" s="316"/>
      <c r="C166" s="325">
        <f>[1]IFE!$B4836</f>
        <v>0</v>
      </c>
      <c r="D166" s="329">
        <f>[1]IFE!$J4836</f>
        <v>0</v>
      </c>
      <c r="E166" s="326">
        <f>[1]IFE!$D4836</f>
        <v>0</v>
      </c>
      <c r="F166" s="518">
        <f>[1]IFE!$C4836+[1]IFE!$P4836</f>
        <v>0</v>
      </c>
      <c r="G166" s="326">
        <f>[1]IFE!$H4836+[1]IFE!$R4836</f>
        <v>0</v>
      </c>
      <c r="H166" s="326">
        <f>[1]IFE!$E4836</f>
        <v>0</v>
      </c>
      <c r="I166" s="326">
        <f>[1]IFE!$K4836</f>
        <v>0</v>
      </c>
      <c r="J166" s="326">
        <f>[1]IFE!$F4836</f>
        <v>0</v>
      </c>
      <c r="K166" s="326">
        <f>[1]IFE!$L4836</f>
        <v>0</v>
      </c>
      <c r="L166" s="327">
        <f>[1]IFE!$G4836</f>
        <v>0</v>
      </c>
      <c r="M166" s="322">
        <f>F166*[1]IFE!$J4836</f>
        <v>0</v>
      </c>
    </row>
    <row r="167" spans="1:13" ht="11.1" customHeight="1" x14ac:dyDescent="0.25">
      <c r="A167" s="315">
        <f>[1]IFE!$A4837</f>
        <v>0</v>
      </c>
      <c r="B167" s="316"/>
      <c r="C167" s="325">
        <f>[1]IFE!$B4837</f>
        <v>0</v>
      </c>
      <c r="D167" s="329">
        <f>[1]IFE!$J4837</f>
        <v>0</v>
      </c>
      <c r="E167" s="326">
        <f>[1]IFE!$D4837</f>
        <v>0</v>
      </c>
      <c r="F167" s="518">
        <f>[1]IFE!$C4837+[1]IFE!$P4837</f>
        <v>0</v>
      </c>
      <c r="G167" s="326">
        <f>[1]IFE!$H4837+[1]IFE!$R4837</f>
        <v>0</v>
      </c>
      <c r="H167" s="326">
        <f>[1]IFE!$E4837</f>
        <v>0</v>
      </c>
      <c r="I167" s="326">
        <f>[1]IFE!$K4837</f>
        <v>0</v>
      </c>
      <c r="J167" s="326">
        <f>[1]IFE!$F4837</f>
        <v>0</v>
      </c>
      <c r="K167" s="326">
        <f>[1]IFE!$L4837</f>
        <v>0</v>
      </c>
      <c r="L167" s="327">
        <f>[1]IFE!$G4837</f>
        <v>0</v>
      </c>
      <c r="M167" s="322">
        <f>F167*[1]IFE!$J4837</f>
        <v>0</v>
      </c>
    </row>
    <row r="168" spans="1:13" ht="11.1" customHeight="1" x14ac:dyDescent="0.25">
      <c r="A168" s="315">
        <f>[1]IFE!$A4838</f>
        <v>0</v>
      </c>
      <c r="B168" s="316"/>
      <c r="C168" s="325">
        <f>[1]IFE!$B4838</f>
        <v>0</v>
      </c>
      <c r="D168" s="329">
        <f>[1]IFE!$J4838</f>
        <v>0</v>
      </c>
      <c r="E168" s="326">
        <f>[1]IFE!$D4838</f>
        <v>0</v>
      </c>
      <c r="F168" s="518">
        <f>[1]IFE!$C4838+[1]IFE!$P4838</f>
        <v>0</v>
      </c>
      <c r="G168" s="326">
        <f>[1]IFE!$H4838+[1]IFE!$R4838</f>
        <v>0</v>
      </c>
      <c r="H168" s="326">
        <f>[1]IFE!$E4838</f>
        <v>0</v>
      </c>
      <c r="I168" s="326">
        <f>[1]IFE!$K4838</f>
        <v>0</v>
      </c>
      <c r="J168" s="326">
        <f>[1]IFE!$F4838</f>
        <v>0</v>
      </c>
      <c r="K168" s="326">
        <f>[1]IFE!$L4838</f>
        <v>0</v>
      </c>
      <c r="L168" s="327">
        <f>[1]IFE!$G4838</f>
        <v>0</v>
      </c>
      <c r="M168" s="322">
        <f>F168*[1]IFE!$J4838</f>
        <v>0</v>
      </c>
    </row>
    <row r="169" spans="1:13" ht="11.1" customHeight="1" x14ac:dyDescent="0.25">
      <c r="A169" s="315">
        <f>[1]IFE!$A4839</f>
        <v>0</v>
      </c>
      <c r="B169" s="316"/>
      <c r="C169" s="325">
        <f>[1]IFE!$B4839</f>
        <v>0</v>
      </c>
      <c r="D169" s="329">
        <f>[1]IFE!$J4839</f>
        <v>0</v>
      </c>
      <c r="E169" s="326">
        <f>[1]IFE!$D4839</f>
        <v>0</v>
      </c>
      <c r="F169" s="518">
        <f>[1]IFE!$C4839+[1]IFE!$P4839</f>
        <v>0</v>
      </c>
      <c r="G169" s="326">
        <f>[1]IFE!$H4839+[1]IFE!$R4839</f>
        <v>0</v>
      </c>
      <c r="H169" s="326">
        <f>[1]IFE!$E4839</f>
        <v>0</v>
      </c>
      <c r="I169" s="326">
        <f>[1]IFE!$K4839</f>
        <v>0</v>
      </c>
      <c r="J169" s="326">
        <f>[1]IFE!$F4839</f>
        <v>0</v>
      </c>
      <c r="K169" s="326">
        <f>[1]IFE!$L4839</f>
        <v>0</v>
      </c>
      <c r="L169" s="327">
        <f>[1]IFE!$G4839</f>
        <v>0</v>
      </c>
      <c r="M169" s="322">
        <f>F169*[1]IFE!$J4839</f>
        <v>0</v>
      </c>
    </row>
    <row r="170" spans="1:13" ht="11.1" customHeight="1" x14ac:dyDescent="0.25">
      <c r="A170" s="315">
        <f>[1]IFE!$A4840</f>
        <v>0</v>
      </c>
      <c r="B170" s="316"/>
      <c r="C170" s="325">
        <f>[1]IFE!$B4840</f>
        <v>0</v>
      </c>
      <c r="D170" s="329">
        <f>[1]IFE!$J4840</f>
        <v>0</v>
      </c>
      <c r="E170" s="326">
        <f>[1]IFE!$D4840</f>
        <v>0</v>
      </c>
      <c r="F170" s="518">
        <f>[1]IFE!$C4840+[1]IFE!$P4840</f>
        <v>0</v>
      </c>
      <c r="G170" s="326">
        <f>[1]IFE!$H4840+[1]IFE!$R4840</f>
        <v>0</v>
      </c>
      <c r="H170" s="326">
        <f>[1]IFE!$E4840</f>
        <v>0</v>
      </c>
      <c r="I170" s="326">
        <f>[1]IFE!$K4840</f>
        <v>0</v>
      </c>
      <c r="J170" s="326">
        <f>[1]IFE!$F4840</f>
        <v>0</v>
      </c>
      <c r="K170" s="326">
        <f>[1]IFE!$L4840</f>
        <v>0</v>
      </c>
      <c r="L170" s="327">
        <f>[1]IFE!$G4840</f>
        <v>0</v>
      </c>
      <c r="M170" s="322">
        <f>F170*[1]IFE!$J4840</f>
        <v>0</v>
      </c>
    </row>
    <row r="171" spans="1:13" ht="11.1" customHeight="1" x14ac:dyDescent="0.25">
      <c r="A171" s="315">
        <f>[1]IFE!$A4841</f>
        <v>0</v>
      </c>
      <c r="B171" s="316"/>
      <c r="C171" s="325">
        <f>[1]IFE!$B4841</f>
        <v>0</v>
      </c>
      <c r="D171" s="329">
        <f>[1]IFE!$J4841</f>
        <v>0</v>
      </c>
      <c r="E171" s="326">
        <f>[1]IFE!$D4841</f>
        <v>0</v>
      </c>
      <c r="F171" s="518">
        <f>[1]IFE!$C4841+[1]IFE!$P4841</f>
        <v>0</v>
      </c>
      <c r="G171" s="326">
        <f>[1]IFE!$H4841+[1]IFE!$R4841</f>
        <v>0</v>
      </c>
      <c r="H171" s="326">
        <f>[1]IFE!$E4841</f>
        <v>0</v>
      </c>
      <c r="I171" s="326">
        <f>[1]IFE!$K4841</f>
        <v>0</v>
      </c>
      <c r="J171" s="326">
        <f>[1]IFE!$F4841</f>
        <v>0</v>
      </c>
      <c r="K171" s="326">
        <f>[1]IFE!$L4841</f>
        <v>0</v>
      </c>
      <c r="L171" s="327">
        <f>[1]IFE!$G4841</f>
        <v>0</v>
      </c>
      <c r="M171" s="322">
        <f>F171*[1]IFE!$J4841</f>
        <v>0</v>
      </c>
    </row>
    <row r="172" spans="1:13" ht="11.1" customHeight="1" x14ac:dyDescent="0.25">
      <c r="A172" s="315">
        <f>[1]IFE!$A4842</f>
        <v>0</v>
      </c>
      <c r="B172" s="316"/>
      <c r="C172" s="325">
        <f>[1]IFE!$B4842</f>
        <v>0</v>
      </c>
      <c r="D172" s="329">
        <f>[1]IFE!$J4842</f>
        <v>0</v>
      </c>
      <c r="E172" s="326">
        <f>[1]IFE!$D4842</f>
        <v>0</v>
      </c>
      <c r="F172" s="518">
        <f>[1]IFE!$C4842+[1]IFE!$P4842</f>
        <v>0</v>
      </c>
      <c r="G172" s="326">
        <f>[1]IFE!$H4842+[1]IFE!$R4842</f>
        <v>0</v>
      </c>
      <c r="H172" s="326">
        <f>[1]IFE!$E4842</f>
        <v>0</v>
      </c>
      <c r="I172" s="326">
        <f>[1]IFE!$K4842</f>
        <v>0</v>
      </c>
      <c r="J172" s="326">
        <f>[1]IFE!$F4842</f>
        <v>0</v>
      </c>
      <c r="K172" s="326">
        <f>[1]IFE!$L4842</f>
        <v>0</v>
      </c>
      <c r="L172" s="327">
        <f>[1]IFE!$G4842</f>
        <v>0</v>
      </c>
      <c r="M172" s="322">
        <f>F172*[1]IFE!$J4842</f>
        <v>0</v>
      </c>
    </row>
    <row r="173" spans="1:13" ht="11.1" customHeight="1" x14ac:dyDescent="0.25">
      <c r="A173" s="315">
        <f>[1]IFE!$A4843</f>
        <v>0</v>
      </c>
      <c r="B173" s="316"/>
      <c r="C173" s="325">
        <f>[1]IFE!$B4843</f>
        <v>0</v>
      </c>
      <c r="D173" s="329">
        <f>[1]IFE!$J4843</f>
        <v>0</v>
      </c>
      <c r="E173" s="326">
        <f>[1]IFE!$D4843</f>
        <v>0</v>
      </c>
      <c r="F173" s="518">
        <f>[1]IFE!$C4843+[1]IFE!$P4843</f>
        <v>0</v>
      </c>
      <c r="G173" s="326">
        <f>[1]IFE!$H4843+[1]IFE!$R4843</f>
        <v>0</v>
      </c>
      <c r="H173" s="326">
        <f>[1]IFE!$E4843</f>
        <v>0</v>
      </c>
      <c r="I173" s="326">
        <f>[1]IFE!$K4843</f>
        <v>0</v>
      </c>
      <c r="J173" s="326">
        <f>[1]IFE!$F4843</f>
        <v>0</v>
      </c>
      <c r="K173" s="326">
        <f>[1]IFE!$L4843</f>
        <v>0</v>
      </c>
      <c r="L173" s="327">
        <f>[1]IFE!$G4843</f>
        <v>0</v>
      </c>
      <c r="M173" s="322">
        <f>F173*[1]IFE!$J4843</f>
        <v>0</v>
      </c>
    </row>
    <row r="174" spans="1:13" ht="11.1" customHeight="1" x14ac:dyDescent="0.25">
      <c r="A174" s="315">
        <f>[1]IFE!$A4844</f>
        <v>0</v>
      </c>
      <c r="B174" s="316"/>
      <c r="C174" s="325">
        <f>[1]IFE!$B4844</f>
        <v>0</v>
      </c>
      <c r="D174" s="329">
        <f>[1]IFE!$J4844</f>
        <v>0</v>
      </c>
      <c r="E174" s="326">
        <f>[1]IFE!$D4844</f>
        <v>0</v>
      </c>
      <c r="F174" s="518">
        <f>[1]IFE!$C4844+[1]IFE!$P4844</f>
        <v>0</v>
      </c>
      <c r="G174" s="326">
        <f>[1]IFE!$H4844+[1]IFE!$R4844</f>
        <v>0</v>
      </c>
      <c r="H174" s="326">
        <f>[1]IFE!$E4844</f>
        <v>0</v>
      </c>
      <c r="I174" s="326">
        <f>[1]IFE!$K4844</f>
        <v>0</v>
      </c>
      <c r="J174" s="326">
        <f>[1]IFE!$F4844</f>
        <v>0</v>
      </c>
      <c r="K174" s="326">
        <f>[1]IFE!$L4844</f>
        <v>0</v>
      </c>
      <c r="L174" s="327">
        <f>[1]IFE!$G4844</f>
        <v>0</v>
      </c>
      <c r="M174" s="322">
        <f>F174*[1]IFE!$J4844</f>
        <v>0</v>
      </c>
    </row>
    <row r="175" spans="1:13" ht="11.1" customHeight="1" x14ac:dyDescent="0.25">
      <c r="A175" s="315">
        <f>[1]IFE!$A4845</f>
        <v>0</v>
      </c>
      <c r="B175" s="316"/>
      <c r="C175" s="325">
        <f>[1]IFE!$B4845</f>
        <v>0</v>
      </c>
      <c r="D175" s="329">
        <f>[1]IFE!$J4845</f>
        <v>0</v>
      </c>
      <c r="E175" s="326">
        <f>[1]IFE!$D4845</f>
        <v>0</v>
      </c>
      <c r="F175" s="518">
        <f>[1]IFE!$C4845+[1]IFE!$P4845</f>
        <v>0</v>
      </c>
      <c r="G175" s="326">
        <f>[1]IFE!$H4845+[1]IFE!$R4845</f>
        <v>0</v>
      </c>
      <c r="H175" s="326">
        <f>[1]IFE!$E4845</f>
        <v>0</v>
      </c>
      <c r="I175" s="326">
        <f>[1]IFE!$K4845</f>
        <v>0</v>
      </c>
      <c r="J175" s="326">
        <f>[1]IFE!$F4845</f>
        <v>0</v>
      </c>
      <c r="K175" s="326">
        <f>[1]IFE!$L4845</f>
        <v>0</v>
      </c>
      <c r="L175" s="327">
        <f>[1]IFE!$G4845</f>
        <v>0</v>
      </c>
      <c r="M175" s="322">
        <f>F175*[1]IFE!$J4845</f>
        <v>0</v>
      </c>
    </row>
    <row r="176" spans="1:13" ht="11.1" customHeight="1" x14ac:dyDescent="0.25">
      <c r="A176" s="315">
        <f>[1]IFE!$A4846</f>
        <v>0</v>
      </c>
      <c r="B176" s="316"/>
      <c r="C176" s="325">
        <f>[1]IFE!$B4846</f>
        <v>0</v>
      </c>
      <c r="D176" s="329">
        <f>[1]IFE!$J4846</f>
        <v>0</v>
      </c>
      <c r="E176" s="326">
        <f>[1]IFE!$D4846</f>
        <v>0</v>
      </c>
      <c r="F176" s="518">
        <f>[1]IFE!$C4846+[1]IFE!$P4846</f>
        <v>0</v>
      </c>
      <c r="G176" s="326">
        <f>[1]IFE!$H4846+[1]IFE!$R4846</f>
        <v>0</v>
      </c>
      <c r="H176" s="326">
        <f>[1]IFE!$E4846</f>
        <v>0</v>
      </c>
      <c r="I176" s="326">
        <f>[1]IFE!$K4846</f>
        <v>0</v>
      </c>
      <c r="J176" s="326">
        <f>[1]IFE!$F4846</f>
        <v>0</v>
      </c>
      <c r="K176" s="326">
        <f>[1]IFE!$L4846</f>
        <v>0</v>
      </c>
      <c r="L176" s="327">
        <f>[1]IFE!$G4846</f>
        <v>0</v>
      </c>
      <c r="M176" s="322">
        <f>F176*[1]IFE!$J4846</f>
        <v>0</v>
      </c>
    </row>
    <row r="177" spans="1:13" ht="11.1" customHeight="1" x14ac:dyDescent="0.25">
      <c r="A177" s="315">
        <f>[1]IFE!$A4847</f>
        <v>0</v>
      </c>
      <c r="B177" s="316"/>
      <c r="C177" s="325">
        <f>[1]IFE!$B4847</f>
        <v>0</v>
      </c>
      <c r="D177" s="329">
        <f>[1]IFE!$J4847</f>
        <v>0</v>
      </c>
      <c r="E177" s="326">
        <f>[1]IFE!$D4847</f>
        <v>0</v>
      </c>
      <c r="F177" s="518">
        <f>[1]IFE!$C4847+[1]IFE!$P4847</f>
        <v>0</v>
      </c>
      <c r="G177" s="326">
        <f>[1]IFE!$H4847+[1]IFE!$R4847</f>
        <v>0</v>
      </c>
      <c r="H177" s="326">
        <f>[1]IFE!$E4847</f>
        <v>0</v>
      </c>
      <c r="I177" s="326">
        <f>[1]IFE!$K4847</f>
        <v>0</v>
      </c>
      <c r="J177" s="326">
        <f>[1]IFE!$F4847</f>
        <v>0</v>
      </c>
      <c r="K177" s="326">
        <f>[1]IFE!$L4847</f>
        <v>0</v>
      </c>
      <c r="L177" s="327">
        <f>[1]IFE!$G4847</f>
        <v>0</v>
      </c>
      <c r="M177" s="322">
        <f>F177*[1]IFE!$J4847</f>
        <v>0</v>
      </c>
    </row>
    <row r="178" spans="1:13" ht="11.1" customHeight="1" x14ac:dyDescent="0.25">
      <c r="A178" s="315"/>
      <c r="B178" s="316"/>
      <c r="C178" s="325"/>
      <c r="D178" s="329"/>
      <c r="E178" s="326"/>
      <c r="F178" s="518"/>
      <c r="G178" s="326"/>
      <c r="H178" s="326"/>
      <c r="I178" s="326"/>
      <c r="J178" s="326"/>
      <c r="K178" s="326"/>
      <c r="L178" s="327"/>
      <c r="M178" s="322"/>
    </row>
    <row r="179" spans="1:13" ht="11.1" customHeight="1" x14ac:dyDescent="0.25">
      <c r="A179" s="315"/>
      <c r="B179" s="316"/>
      <c r="C179" s="325"/>
      <c r="D179" s="329"/>
      <c r="E179" s="326"/>
      <c r="F179" s="518"/>
      <c r="G179" s="326"/>
      <c r="H179" s="326"/>
      <c r="I179" s="326"/>
      <c r="J179" s="326"/>
      <c r="K179" s="326"/>
      <c r="L179" s="327"/>
      <c r="M179" s="322"/>
    </row>
    <row r="180" spans="1:13" ht="11.1" customHeight="1" thickBot="1" x14ac:dyDescent="0.3">
      <c r="A180" s="330"/>
      <c r="B180" s="331"/>
      <c r="C180" s="332"/>
      <c r="D180" s="376"/>
      <c r="E180" s="334"/>
      <c r="F180" s="530"/>
      <c r="G180" s="334"/>
      <c r="H180" s="334"/>
      <c r="I180" s="334"/>
      <c r="J180" s="334"/>
      <c r="K180" s="334"/>
      <c r="L180" s="335"/>
      <c r="M180" s="336"/>
    </row>
    <row r="181" spans="1:13" ht="13.8" thickTop="1" x14ac:dyDescent="0.25"/>
  </sheetData>
  <mergeCells count="22">
    <mergeCell ref="G62:M62"/>
    <mergeCell ref="G121:M121"/>
    <mergeCell ref="Q14:S14"/>
    <mergeCell ref="G1:M1"/>
    <mergeCell ref="F67:G67"/>
    <mergeCell ref="F68:G68"/>
    <mergeCell ref="J63:K63"/>
    <mergeCell ref="E66:I66"/>
    <mergeCell ref="K67:L67"/>
    <mergeCell ref="G2:M2"/>
    <mergeCell ref="J3:K3"/>
    <mergeCell ref="E6:I6"/>
    <mergeCell ref="F7:G7"/>
    <mergeCell ref="F8:G8"/>
    <mergeCell ref="K7:L7"/>
    <mergeCell ref="G61:M61"/>
    <mergeCell ref="G122:M122"/>
    <mergeCell ref="F127:G127"/>
    <mergeCell ref="K127:L127"/>
    <mergeCell ref="F128:G128"/>
    <mergeCell ref="J123:K123"/>
    <mergeCell ref="E126:I126"/>
  </mergeCells>
  <phoneticPr fontId="0" type="noConversion"/>
  <printOptions horizontalCentered="1" verticalCentered="1"/>
  <pageMargins left="0.75" right="0.75" top="1" bottom="0.5" header="0.511811023622047" footer="0.511811023622047"/>
  <pageSetup scale="91" orientation="portrait" r:id="rId1"/>
  <headerFooter alignWithMargins="0"/>
  <rowBreaks count="2" manualBreakCount="2">
    <brk id="60" max="12" man="1"/>
    <brk id="120" max="12"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11">
    <pageSetUpPr autoPageBreaks="0" fitToPage="1"/>
  </sheetPr>
  <dimension ref="A1:AA665"/>
  <sheetViews>
    <sheetView showGridLines="0" showZeros="0" zoomScale="75" workbookViewId="0"/>
  </sheetViews>
  <sheetFormatPr baseColWidth="10" defaultColWidth="8.88671875" defaultRowHeight="13.2" x14ac:dyDescent="0.25"/>
  <cols>
    <col min="1" max="1" width="19.5546875" customWidth="1"/>
    <col min="2" max="2" width="8.33203125" customWidth="1"/>
    <col min="3" max="3" width="9.88671875" customWidth="1"/>
    <col min="4" max="4" width="12.88671875" customWidth="1"/>
    <col min="5" max="5" width="13.5546875" customWidth="1"/>
    <col min="6" max="6" width="12.6640625" customWidth="1"/>
    <col min="7" max="7" width="11.6640625" customWidth="1"/>
    <col min="8" max="8" width="11" customWidth="1"/>
    <col min="9" max="9" width="9" customWidth="1"/>
    <col min="10" max="10" width="12.6640625" customWidth="1"/>
    <col min="11" max="11" width="10" customWidth="1"/>
    <col min="12" max="12" width="11.109375" customWidth="1"/>
    <col min="13" max="13" width="9.6640625" bestFit="1" customWidth="1"/>
    <col min="16" max="16" width="11.109375" customWidth="1"/>
  </cols>
  <sheetData>
    <row r="1" spans="1:17" ht="14.25" customHeight="1" x14ac:dyDescent="0.25">
      <c r="A1" s="8"/>
      <c r="B1" s="9"/>
      <c r="C1" s="9"/>
      <c r="D1" s="9"/>
      <c r="E1" s="9"/>
      <c r="F1" s="9"/>
      <c r="G1" s="9"/>
      <c r="H1" s="9"/>
      <c r="I1" s="9"/>
      <c r="J1" s="9"/>
      <c r="K1" s="9"/>
      <c r="L1" s="10"/>
    </row>
    <row r="2" spans="1:17" ht="48" customHeight="1" thickBot="1" x14ac:dyDescent="0.45">
      <c r="A2" s="11"/>
      <c r="B2" s="70"/>
      <c r="C2" s="12"/>
      <c r="D2" s="13"/>
      <c r="E2" s="14"/>
      <c r="F2" s="15"/>
      <c r="G2" s="1"/>
      <c r="H2" s="16"/>
      <c r="I2" s="794" t="str">
        <f>"Equipment Usage and Cost"</f>
        <v>Equipment Usage and Cost</v>
      </c>
      <c r="J2" s="795"/>
      <c r="K2" s="795"/>
      <c r="L2" s="796"/>
      <c r="Q2" s="5"/>
    </row>
    <row r="3" spans="1:17" ht="15.9" customHeight="1" x14ac:dyDescent="0.25">
      <c r="A3" s="17" t="s">
        <v>11</v>
      </c>
      <c r="B3" s="809" t="str">
        <f>[1]IFE!$B$6</f>
        <v>Cardon IV</v>
      </c>
      <c r="C3" s="810"/>
      <c r="D3" s="811"/>
      <c r="E3" s="19" t="s">
        <v>8</v>
      </c>
      <c r="F3" s="20" t="str">
        <f>[1]IFE!$B$8</f>
        <v>Perla-1X</v>
      </c>
      <c r="G3" s="21"/>
      <c r="H3" s="19"/>
      <c r="I3" s="19" t="s">
        <v>5</v>
      </c>
      <c r="J3" s="245">
        <f>[1]IFE!$B$119</f>
        <v>39989</v>
      </c>
      <c r="K3" s="170"/>
      <c r="L3" s="171"/>
      <c r="M3" s="22"/>
    </row>
    <row r="4" spans="1:17" ht="15.9" customHeight="1" x14ac:dyDescent="0.25">
      <c r="A4" s="23" t="s">
        <v>12</v>
      </c>
      <c r="B4" s="806" t="str">
        <f>[1]IFE!$B$125</f>
        <v>Gerrit Ham / Jhony Quintero</v>
      </c>
      <c r="C4" s="807"/>
      <c r="D4" s="808"/>
      <c r="E4" s="25" t="s">
        <v>13</v>
      </c>
      <c r="F4" s="24" t="str">
        <f>[1]IFE!$B$9</f>
        <v>Golfo de Venezuela</v>
      </c>
      <c r="G4" s="26"/>
      <c r="H4" s="25"/>
      <c r="I4" s="25" t="s">
        <v>14</v>
      </c>
      <c r="J4" s="46">
        <f>[1]IFE!$B$5</f>
        <v>39981</v>
      </c>
      <c r="K4" s="167"/>
      <c r="L4" s="27"/>
    </row>
    <row r="5" spans="1:17" ht="15.9" customHeight="1" x14ac:dyDescent="0.25">
      <c r="A5" s="23" t="s">
        <v>15</v>
      </c>
      <c r="B5" s="806" t="str">
        <f>[1]IFE!$B$15</f>
        <v>Ensco</v>
      </c>
      <c r="C5" s="807"/>
      <c r="D5" s="808"/>
      <c r="E5" s="25" t="s">
        <v>16</v>
      </c>
      <c r="F5" s="24" t="str">
        <f>[1]IFE!$B$11</f>
        <v>Offshore</v>
      </c>
      <c r="G5" s="26"/>
      <c r="H5" s="28"/>
      <c r="I5" s="28" t="s">
        <v>4</v>
      </c>
      <c r="J5" s="26" t="str">
        <f>[1]IFE!$B$124</f>
        <v>Agua de mar / HI VIS</v>
      </c>
      <c r="K5" s="168"/>
      <c r="L5" s="29"/>
    </row>
    <row r="6" spans="1:17" ht="15.9" customHeight="1" x14ac:dyDescent="0.25">
      <c r="A6" s="23" t="s">
        <v>12</v>
      </c>
      <c r="B6" s="806" t="str">
        <f>[1]IFE!$B$126</f>
        <v>Ricky Otwell</v>
      </c>
      <c r="C6" s="807"/>
      <c r="D6" s="808"/>
      <c r="F6" s="24"/>
      <c r="G6" s="30"/>
      <c r="H6" s="25"/>
      <c r="I6" s="25" t="s">
        <v>17</v>
      </c>
      <c r="J6" s="26" t="str">
        <f>[1]IFE!$B$123</f>
        <v>Bajando Tuberia</v>
      </c>
      <c r="K6" s="169"/>
      <c r="L6" s="31"/>
    </row>
    <row r="7" spans="1:17" ht="5.25" customHeight="1" thickBot="1" x14ac:dyDescent="0.3">
      <c r="A7" s="32"/>
      <c r="B7" s="33"/>
      <c r="C7" s="33"/>
      <c r="D7" s="33"/>
      <c r="E7" s="34"/>
      <c r="F7" s="35"/>
      <c r="G7" s="33"/>
      <c r="H7" s="33"/>
      <c r="I7" s="33"/>
      <c r="J7" s="33"/>
      <c r="K7" s="33"/>
      <c r="L7" s="172"/>
    </row>
    <row r="8" spans="1:17" s="2" customFormat="1" ht="15" customHeight="1" x14ac:dyDescent="0.25">
      <c r="A8" s="805"/>
      <c r="B8" s="801"/>
      <c r="C8" s="801"/>
      <c r="D8" s="804"/>
      <c r="E8" s="803" t="s">
        <v>133</v>
      </c>
      <c r="F8" s="804"/>
      <c r="G8" s="251" t="s">
        <v>142</v>
      </c>
      <c r="H8" s="219" t="s">
        <v>97</v>
      </c>
      <c r="I8" s="219" t="s">
        <v>157</v>
      </c>
      <c r="J8" s="800" t="s">
        <v>139</v>
      </c>
      <c r="K8" s="801"/>
      <c r="L8" s="802"/>
      <c r="P8"/>
      <c r="Q8"/>
    </row>
    <row r="9" spans="1:17" s="2" customFormat="1" ht="15" customHeight="1" thickBot="1" x14ac:dyDescent="0.3">
      <c r="A9" s="822" t="s">
        <v>132</v>
      </c>
      <c r="B9" s="823"/>
      <c r="C9" s="823"/>
      <c r="D9" s="824"/>
      <c r="E9" s="246" t="s">
        <v>140</v>
      </c>
      <c r="F9" s="222" t="s">
        <v>141</v>
      </c>
      <c r="G9" s="247" t="s">
        <v>143</v>
      </c>
      <c r="H9" s="221" t="s">
        <v>134</v>
      </c>
      <c r="I9" s="252"/>
      <c r="J9" s="815" t="str">
        <f>"Cost  (" &amp; [1]IFE!$B$28 &amp;")"</f>
        <v>Cost  ($)</v>
      </c>
      <c r="K9" s="816"/>
      <c r="L9" s="817"/>
      <c r="P9"/>
      <c r="Q9"/>
    </row>
    <row r="10" spans="1:17" s="2" customFormat="1" ht="20.100000000000001" customHeight="1" x14ac:dyDescent="0.25">
      <c r="A10" s="812" t="str">
        <f>WorkArea!C6</f>
        <v>DERRICK SHEKER 1</v>
      </c>
      <c r="B10" s="813"/>
      <c r="C10" s="813"/>
      <c r="D10" s="814"/>
      <c r="E10" s="487">
        <f>WorkArea!E6</f>
        <v>0</v>
      </c>
      <c r="F10" s="487">
        <f>WorkArea!F6</f>
        <v>0</v>
      </c>
      <c r="G10" s="36" t="str">
        <f>IF(A10&gt;"",O10,"")</f>
        <v>F</v>
      </c>
      <c r="H10" s="36">
        <f>WorkArea!Q6</f>
        <v>0</v>
      </c>
      <c r="I10" s="254">
        <f>WorkArea!K6</f>
        <v>0</v>
      </c>
      <c r="J10" s="797">
        <f>IF(G10="F",E10*H10,F10*H10)</f>
        <v>0</v>
      </c>
      <c r="K10" s="798"/>
      <c r="L10" s="799"/>
      <c r="O10" s="259" t="str">
        <f>IF(WorkArea!R6=1,"F","S")</f>
        <v>F</v>
      </c>
      <c r="P10"/>
      <c r="Q10"/>
    </row>
    <row r="11" spans="1:17" s="2" customFormat="1" ht="20.100000000000001" customHeight="1" x14ac:dyDescent="0.25">
      <c r="A11" s="785" t="str">
        <f>WorkArea!C7</f>
        <v>DERRICK SHAKER 2</v>
      </c>
      <c r="B11" s="786"/>
      <c r="C11" s="786"/>
      <c r="D11" s="787"/>
      <c r="E11" s="488">
        <f>WorkArea!E7</f>
        <v>0</v>
      </c>
      <c r="F11" s="488">
        <f>WorkArea!F7</f>
        <v>0</v>
      </c>
      <c r="G11" s="38" t="str">
        <f t="shared" ref="G11:G45" si="0">IF(A11&gt;"",O11,"")</f>
        <v>F</v>
      </c>
      <c r="H11" s="38">
        <f>WorkArea!Q7</f>
        <v>0</v>
      </c>
      <c r="I11" s="256">
        <f>WorkArea!K7</f>
        <v>0</v>
      </c>
      <c r="J11" s="788">
        <f t="shared" ref="J11:J45" si="1">IF(G11="F",E11*H11,F11*H11)</f>
        <v>0</v>
      </c>
      <c r="K11" s="789"/>
      <c r="L11" s="790"/>
      <c r="O11" s="259" t="str">
        <f>IF(WorkArea!R7=1,"F","S")</f>
        <v>F</v>
      </c>
      <c r="P11"/>
      <c r="Q11"/>
    </row>
    <row r="12" spans="1:17" s="2" customFormat="1" ht="20.100000000000001" customHeight="1" x14ac:dyDescent="0.25">
      <c r="A12" s="785" t="str">
        <f>WorkArea!C8</f>
        <v>DERRICK SHAKER 3</v>
      </c>
      <c r="B12" s="786"/>
      <c r="C12" s="786"/>
      <c r="D12" s="787"/>
      <c r="E12" s="488">
        <f>WorkArea!E8</f>
        <v>0</v>
      </c>
      <c r="F12" s="488">
        <f>WorkArea!F8</f>
        <v>0</v>
      </c>
      <c r="G12" s="178" t="str">
        <f t="shared" si="0"/>
        <v>F</v>
      </c>
      <c r="H12" s="178">
        <f>WorkArea!Q8</f>
        <v>0</v>
      </c>
      <c r="I12" s="256">
        <f>WorkArea!K8</f>
        <v>0</v>
      </c>
      <c r="J12" s="788">
        <f t="shared" si="1"/>
        <v>0</v>
      </c>
      <c r="K12" s="789"/>
      <c r="L12" s="790"/>
      <c r="O12" s="259" t="str">
        <f>IF(WorkArea!R8=1,"F","S")</f>
        <v>F</v>
      </c>
      <c r="P12"/>
      <c r="Q12"/>
    </row>
    <row r="13" spans="1:17" s="2" customFormat="1" ht="20.100000000000001" customHeight="1" x14ac:dyDescent="0.25">
      <c r="A13" s="785" t="str">
        <f>WorkArea!C9</f>
        <v>MOD 312 / 10T2 w/o pump</v>
      </c>
      <c r="B13" s="786"/>
      <c r="C13" s="786"/>
      <c r="D13" s="787"/>
      <c r="E13" s="488">
        <f>WorkArea!E9</f>
        <v>0</v>
      </c>
      <c r="F13" s="488">
        <f>WorkArea!F9</f>
        <v>0</v>
      </c>
      <c r="G13" s="178" t="str">
        <f t="shared" si="0"/>
        <v>F</v>
      </c>
      <c r="H13" s="178">
        <f>WorkArea!Q9</f>
        <v>0</v>
      </c>
      <c r="I13" s="256">
        <f>WorkArea!K9</f>
        <v>0</v>
      </c>
      <c r="J13" s="788">
        <f t="shared" si="1"/>
        <v>0</v>
      </c>
      <c r="K13" s="789"/>
      <c r="L13" s="790"/>
      <c r="O13" s="259" t="str">
        <f>IF(WorkArea!R9=1,"F","S")</f>
        <v>F</v>
      </c>
      <c r="P13"/>
      <c r="Q13"/>
    </row>
    <row r="14" spans="1:17" s="2" customFormat="1" ht="20.100000000000001" customHeight="1" x14ac:dyDescent="0.25">
      <c r="A14" s="785">
        <f>WorkArea!C10</f>
        <v>0</v>
      </c>
      <c r="B14" s="786"/>
      <c r="C14" s="786"/>
      <c r="D14" s="787"/>
      <c r="E14" s="488">
        <f>WorkArea!E10</f>
        <v>0</v>
      </c>
      <c r="F14" s="488">
        <f>WorkArea!F10</f>
        <v>0</v>
      </c>
      <c r="G14" s="178" t="str">
        <f t="shared" si="0"/>
        <v/>
      </c>
      <c r="H14" s="178">
        <f>WorkArea!Q10</f>
        <v>0</v>
      </c>
      <c r="I14" s="256">
        <f>WorkArea!K10</f>
        <v>0</v>
      </c>
      <c r="J14" s="788">
        <f t="shared" si="1"/>
        <v>0</v>
      </c>
      <c r="K14" s="789"/>
      <c r="L14" s="790"/>
      <c r="O14" s="259" t="str">
        <f>IF(WorkArea!R10=1,"F","S")</f>
        <v>S</v>
      </c>
      <c r="P14"/>
      <c r="Q14"/>
    </row>
    <row r="15" spans="1:17" s="2" customFormat="1" ht="20.100000000000001" customHeight="1" x14ac:dyDescent="0.25">
      <c r="A15" s="785">
        <f>WorkArea!C11</f>
        <v>0</v>
      </c>
      <c r="B15" s="786"/>
      <c r="C15" s="786"/>
      <c r="D15" s="787"/>
      <c r="E15" s="488">
        <f>WorkArea!E11</f>
        <v>0</v>
      </c>
      <c r="F15" s="488">
        <f>WorkArea!F11</f>
        <v>0</v>
      </c>
      <c r="G15" s="178" t="str">
        <f t="shared" si="0"/>
        <v/>
      </c>
      <c r="H15" s="178">
        <f>WorkArea!Q11</f>
        <v>0</v>
      </c>
      <c r="I15" s="256">
        <f>WorkArea!K11</f>
        <v>0</v>
      </c>
      <c r="J15" s="788">
        <f t="shared" si="1"/>
        <v>0</v>
      </c>
      <c r="K15" s="789"/>
      <c r="L15" s="790"/>
      <c r="O15" s="259" t="str">
        <f>IF(WorkArea!R11=1,"F","S")</f>
        <v>S</v>
      </c>
    </row>
    <row r="16" spans="1:17" s="2" customFormat="1" ht="20.100000000000001" customHeight="1" x14ac:dyDescent="0.25">
      <c r="A16" s="785">
        <f>WorkArea!C12</f>
        <v>0</v>
      </c>
      <c r="B16" s="786"/>
      <c r="C16" s="786"/>
      <c r="D16" s="787"/>
      <c r="E16" s="488">
        <f>WorkArea!E12</f>
        <v>0</v>
      </c>
      <c r="F16" s="488">
        <f>WorkArea!F12</f>
        <v>0</v>
      </c>
      <c r="G16" s="178" t="str">
        <f t="shared" si="0"/>
        <v/>
      </c>
      <c r="H16" s="38">
        <f>WorkArea!Q12</f>
        <v>0</v>
      </c>
      <c r="I16" s="256">
        <f>WorkArea!K12</f>
        <v>0</v>
      </c>
      <c r="J16" s="788">
        <f t="shared" si="1"/>
        <v>0</v>
      </c>
      <c r="K16" s="789"/>
      <c r="L16" s="790"/>
      <c r="O16" s="259" t="str">
        <f>IF(WorkArea!R12=1,"F","S")</f>
        <v>S</v>
      </c>
    </row>
    <row r="17" spans="1:27" ht="20.100000000000001" customHeight="1" x14ac:dyDescent="0.25">
      <c r="A17" s="785">
        <f>WorkArea!C13</f>
        <v>0</v>
      </c>
      <c r="B17" s="786"/>
      <c r="C17" s="786"/>
      <c r="D17" s="787"/>
      <c r="E17" s="488">
        <f>WorkArea!E13</f>
        <v>0</v>
      </c>
      <c r="F17" s="488">
        <f>WorkArea!F13</f>
        <v>0</v>
      </c>
      <c r="G17" s="38" t="str">
        <f t="shared" si="0"/>
        <v/>
      </c>
      <c r="H17" s="38">
        <f>WorkArea!Q13</f>
        <v>0</v>
      </c>
      <c r="I17" s="256">
        <f>WorkArea!K13</f>
        <v>0</v>
      </c>
      <c r="J17" s="788">
        <f t="shared" si="1"/>
        <v>0</v>
      </c>
      <c r="K17" s="789"/>
      <c r="L17" s="790"/>
      <c r="M17" s="2"/>
      <c r="O17" s="260" t="str">
        <f>IF(WorkArea!R13=1,"F","S")</f>
        <v>S</v>
      </c>
    </row>
    <row r="18" spans="1:27" ht="20.100000000000001" customHeight="1" x14ac:dyDescent="0.25">
      <c r="A18" s="785">
        <f>WorkArea!C14</f>
        <v>0</v>
      </c>
      <c r="B18" s="786"/>
      <c r="C18" s="786"/>
      <c r="D18" s="787"/>
      <c r="E18" s="488">
        <f>WorkArea!E14</f>
        <v>0</v>
      </c>
      <c r="F18" s="488">
        <f>WorkArea!F14</f>
        <v>0</v>
      </c>
      <c r="G18" s="38" t="str">
        <f t="shared" si="0"/>
        <v/>
      </c>
      <c r="H18" s="38">
        <f>WorkArea!Q14</f>
        <v>0</v>
      </c>
      <c r="I18" s="256">
        <f>WorkArea!K14</f>
        <v>0</v>
      </c>
      <c r="J18" s="788">
        <f t="shared" si="1"/>
        <v>0</v>
      </c>
      <c r="K18" s="789"/>
      <c r="L18" s="790"/>
      <c r="M18" s="2"/>
      <c r="O18" s="260" t="str">
        <f>IF(WorkArea!R14=1,"F","S")</f>
        <v>S</v>
      </c>
    </row>
    <row r="19" spans="1:27" ht="20.100000000000001" customHeight="1" x14ac:dyDescent="0.25">
      <c r="A19" s="785">
        <f>WorkArea!C15</f>
        <v>0</v>
      </c>
      <c r="B19" s="786"/>
      <c r="C19" s="786"/>
      <c r="D19" s="787"/>
      <c r="E19" s="488">
        <f>WorkArea!E15</f>
        <v>0</v>
      </c>
      <c r="F19" s="488">
        <f>WorkArea!F15</f>
        <v>0</v>
      </c>
      <c r="G19" s="38" t="str">
        <f t="shared" si="0"/>
        <v/>
      </c>
      <c r="H19" s="38">
        <f>WorkArea!Q15</f>
        <v>0</v>
      </c>
      <c r="I19" s="256">
        <f>WorkArea!K15</f>
        <v>0</v>
      </c>
      <c r="J19" s="788">
        <f t="shared" si="1"/>
        <v>0</v>
      </c>
      <c r="K19" s="789"/>
      <c r="L19" s="790"/>
      <c r="M19" s="2"/>
      <c r="O19" s="260" t="str">
        <f>IF(WorkArea!R15=1,"F","S")</f>
        <v>S</v>
      </c>
    </row>
    <row r="20" spans="1:27" ht="20.100000000000001" customHeight="1" x14ac:dyDescent="0.25">
      <c r="A20" s="785">
        <f>WorkArea!C16</f>
        <v>0</v>
      </c>
      <c r="B20" s="786"/>
      <c r="C20" s="786"/>
      <c r="D20" s="787"/>
      <c r="E20" s="488">
        <f>WorkArea!E16</f>
        <v>0</v>
      </c>
      <c r="F20" s="488">
        <f>WorkArea!F16</f>
        <v>0</v>
      </c>
      <c r="G20" s="38" t="str">
        <f t="shared" si="0"/>
        <v/>
      </c>
      <c r="H20" s="38">
        <f>WorkArea!Q16</f>
        <v>0</v>
      </c>
      <c r="I20" s="256">
        <f>WorkArea!K16</f>
        <v>0</v>
      </c>
      <c r="J20" s="788">
        <f t="shared" si="1"/>
        <v>0</v>
      </c>
      <c r="K20" s="789"/>
      <c r="L20" s="790"/>
      <c r="M20" s="2"/>
      <c r="O20" s="260" t="str">
        <f>IF(WorkArea!R16=1,"F","S")</f>
        <v>S</v>
      </c>
    </row>
    <row r="21" spans="1:27" ht="20.100000000000001" customHeight="1" x14ac:dyDescent="0.25">
      <c r="A21" s="785">
        <f>WorkArea!C17</f>
        <v>0</v>
      </c>
      <c r="B21" s="786"/>
      <c r="C21" s="786"/>
      <c r="D21" s="787"/>
      <c r="E21" s="488">
        <f>WorkArea!E17</f>
        <v>0</v>
      </c>
      <c r="F21" s="488">
        <f>WorkArea!F17</f>
        <v>0</v>
      </c>
      <c r="G21" s="38" t="str">
        <f t="shared" si="0"/>
        <v/>
      </c>
      <c r="H21" s="38">
        <f>WorkArea!Q17</f>
        <v>0</v>
      </c>
      <c r="I21" s="256">
        <f>WorkArea!K17</f>
        <v>0</v>
      </c>
      <c r="J21" s="788">
        <f t="shared" si="1"/>
        <v>0</v>
      </c>
      <c r="K21" s="789"/>
      <c r="L21" s="790"/>
      <c r="M21" s="2"/>
      <c r="O21" s="260" t="str">
        <f>IF(WorkArea!R17=1,"F","S")</f>
        <v>S</v>
      </c>
    </row>
    <row r="22" spans="1:27" ht="20.100000000000001" customHeight="1" x14ac:dyDescent="0.25">
      <c r="A22" s="785">
        <f>WorkArea!C18</f>
        <v>0</v>
      </c>
      <c r="B22" s="786"/>
      <c r="C22" s="786"/>
      <c r="D22" s="787"/>
      <c r="E22" s="488">
        <f>WorkArea!E18</f>
        <v>0</v>
      </c>
      <c r="F22" s="488">
        <f>WorkArea!F18</f>
        <v>0</v>
      </c>
      <c r="G22" s="38" t="str">
        <f t="shared" si="0"/>
        <v/>
      </c>
      <c r="H22" s="38">
        <f>WorkArea!Q18</f>
        <v>0</v>
      </c>
      <c r="I22" s="256">
        <f>WorkArea!K18</f>
        <v>0</v>
      </c>
      <c r="J22" s="788">
        <f t="shared" si="1"/>
        <v>0</v>
      </c>
      <c r="K22" s="789"/>
      <c r="L22" s="790"/>
      <c r="M22" s="2"/>
      <c r="O22" s="260" t="str">
        <f>IF(WorkArea!R18=1,"F","S")</f>
        <v>S</v>
      </c>
    </row>
    <row r="23" spans="1:27" ht="20.100000000000001" customHeight="1" x14ac:dyDescent="0.25">
      <c r="A23" s="785">
        <f>WorkArea!C19</f>
        <v>0</v>
      </c>
      <c r="B23" s="786"/>
      <c r="C23" s="786"/>
      <c r="D23" s="787"/>
      <c r="E23" s="488">
        <f>WorkArea!E19</f>
        <v>0</v>
      </c>
      <c r="F23" s="488">
        <f>WorkArea!F19</f>
        <v>0</v>
      </c>
      <c r="G23" s="38" t="str">
        <f t="shared" si="0"/>
        <v/>
      </c>
      <c r="H23" s="38">
        <f>WorkArea!Q19</f>
        <v>0</v>
      </c>
      <c r="I23" s="256">
        <f>WorkArea!K19</f>
        <v>0</v>
      </c>
      <c r="J23" s="788">
        <f t="shared" si="1"/>
        <v>0</v>
      </c>
      <c r="K23" s="789"/>
      <c r="L23" s="790"/>
      <c r="M23" s="2"/>
      <c r="O23" s="260" t="str">
        <f>IF(WorkArea!R19=1,"F","S")</f>
        <v>S</v>
      </c>
    </row>
    <row r="24" spans="1:27" ht="20.100000000000001" customHeight="1" x14ac:dyDescent="0.25">
      <c r="A24" s="785">
        <f>WorkArea!C20</f>
        <v>0</v>
      </c>
      <c r="B24" s="786"/>
      <c r="C24" s="786"/>
      <c r="D24" s="787"/>
      <c r="E24" s="488">
        <f>WorkArea!E20</f>
        <v>0</v>
      </c>
      <c r="F24" s="488">
        <f>WorkArea!F20</f>
        <v>0</v>
      </c>
      <c r="G24" s="38" t="str">
        <f t="shared" si="0"/>
        <v/>
      </c>
      <c r="H24" s="38">
        <f>WorkArea!Q20</f>
        <v>0</v>
      </c>
      <c r="I24" s="256">
        <f>WorkArea!K20</f>
        <v>0</v>
      </c>
      <c r="J24" s="788">
        <f t="shared" si="1"/>
        <v>0</v>
      </c>
      <c r="K24" s="789"/>
      <c r="L24" s="790"/>
      <c r="O24" s="260" t="str">
        <f>IF(WorkArea!R20=1,"F","S")</f>
        <v>S</v>
      </c>
    </row>
    <row r="25" spans="1:27" ht="20.100000000000001" customHeight="1" x14ac:dyDescent="0.25">
      <c r="A25" s="785">
        <f>WorkArea!C21</f>
        <v>0</v>
      </c>
      <c r="B25" s="786"/>
      <c r="C25" s="786"/>
      <c r="D25" s="787"/>
      <c r="E25" s="488">
        <f>WorkArea!E21</f>
        <v>0</v>
      </c>
      <c r="F25" s="488">
        <f>WorkArea!F21</f>
        <v>0</v>
      </c>
      <c r="G25" s="38" t="str">
        <f t="shared" si="0"/>
        <v/>
      </c>
      <c r="H25" s="38">
        <f>WorkArea!Q21</f>
        <v>0</v>
      </c>
      <c r="I25" s="256">
        <f>WorkArea!K21</f>
        <v>0</v>
      </c>
      <c r="J25" s="788">
        <f t="shared" si="1"/>
        <v>0</v>
      </c>
      <c r="K25" s="789"/>
      <c r="L25" s="790"/>
      <c r="O25" s="260" t="str">
        <f>IF(WorkArea!R21=1,"F","S")</f>
        <v>S</v>
      </c>
    </row>
    <row r="26" spans="1:27" ht="20.100000000000001" customHeight="1" x14ac:dyDescent="0.25">
      <c r="A26" s="785">
        <f>WorkArea!C22</f>
        <v>0</v>
      </c>
      <c r="B26" s="786"/>
      <c r="C26" s="786"/>
      <c r="D26" s="787"/>
      <c r="E26" s="488">
        <f>WorkArea!E22</f>
        <v>0</v>
      </c>
      <c r="F26" s="488">
        <f>WorkArea!F22</f>
        <v>0</v>
      </c>
      <c r="G26" s="38" t="str">
        <f t="shared" si="0"/>
        <v/>
      </c>
      <c r="H26" s="38">
        <f>WorkArea!Q22</f>
        <v>0</v>
      </c>
      <c r="I26" s="256">
        <f>WorkArea!K22</f>
        <v>0</v>
      </c>
      <c r="J26" s="788">
        <f t="shared" si="1"/>
        <v>0</v>
      </c>
      <c r="K26" s="789"/>
      <c r="L26" s="790"/>
      <c r="O26" s="260" t="str">
        <f>IF(WorkArea!R22=1,"F","S")</f>
        <v>S</v>
      </c>
    </row>
    <row r="27" spans="1:27" ht="20.100000000000001" customHeight="1" x14ac:dyDescent="0.25">
      <c r="A27" s="785">
        <f>WorkArea!C23</f>
        <v>0</v>
      </c>
      <c r="B27" s="786"/>
      <c r="C27" s="786"/>
      <c r="D27" s="787"/>
      <c r="E27" s="488">
        <f>WorkArea!E23</f>
        <v>0</v>
      </c>
      <c r="F27" s="488">
        <f>WorkArea!F23</f>
        <v>0</v>
      </c>
      <c r="G27" s="38" t="str">
        <f t="shared" si="0"/>
        <v/>
      </c>
      <c r="H27" s="38">
        <f>WorkArea!Q23</f>
        <v>0</v>
      </c>
      <c r="I27" s="256">
        <f>WorkArea!K23</f>
        <v>0</v>
      </c>
      <c r="J27" s="788">
        <f t="shared" si="1"/>
        <v>0</v>
      </c>
      <c r="K27" s="789"/>
      <c r="L27" s="790"/>
      <c r="O27" s="260" t="str">
        <f>IF(WorkArea!R23=1,"F","S")</f>
        <v>S</v>
      </c>
    </row>
    <row r="28" spans="1:27" ht="20.100000000000001" customHeight="1" x14ac:dyDescent="0.25">
      <c r="A28" s="785">
        <f>WorkArea!C24</f>
        <v>0</v>
      </c>
      <c r="B28" s="786"/>
      <c r="C28" s="786"/>
      <c r="D28" s="787"/>
      <c r="E28" s="488">
        <f>WorkArea!E24</f>
        <v>0</v>
      </c>
      <c r="F28" s="488">
        <f>WorkArea!F24</f>
        <v>0</v>
      </c>
      <c r="G28" s="178" t="str">
        <f t="shared" si="0"/>
        <v/>
      </c>
      <c r="H28" s="38">
        <f>WorkArea!Q24</f>
        <v>0</v>
      </c>
      <c r="I28" s="256">
        <f>WorkArea!K24</f>
        <v>0</v>
      </c>
      <c r="J28" s="788">
        <f t="shared" si="1"/>
        <v>0</v>
      </c>
      <c r="K28" s="789"/>
      <c r="L28" s="790"/>
      <c r="O28" s="260" t="str">
        <f>IF(WorkArea!R24=1,"F","S")</f>
        <v>S</v>
      </c>
    </row>
    <row r="29" spans="1:27" ht="20.100000000000001" customHeight="1" x14ac:dyDescent="0.25">
      <c r="A29" s="785">
        <f>WorkArea!C25</f>
        <v>0</v>
      </c>
      <c r="B29" s="786"/>
      <c r="C29" s="786"/>
      <c r="D29" s="787"/>
      <c r="E29" s="488">
        <f>WorkArea!E25</f>
        <v>0</v>
      </c>
      <c r="F29" s="488">
        <f>WorkArea!F25</f>
        <v>0</v>
      </c>
      <c r="G29" s="178" t="str">
        <f t="shared" si="0"/>
        <v/>
      </c>
      <c r="H29" s="38">
        <f>WorkArea!Q25</f>
        <v>0</v>
      </c>
      <c r="I29" s="256">
        <f>WorkArea!K25</f>
        <v>0</v>
      </c>
      <c r="J29" s="788">
        <f t="shared" si="1"/>
        <v>0</v>
      </c>
      <c r="K29" s="789"/>
      <c r="L29" s="790"/>
      <c r="O29" s="260" t="str">
        <f>IF(WorkArea!R25=1,"F","S")</f>
        <v>S</v>
      </c>
      <c r="P29" s="158"/>
      <c r="Q29" s="158"/>
      <c r="R29" s="159"/>
      <c r="S29" s="44"/>
      <c r="T29" s="818"/>
      <c r="U29" s="819"/>
      <c r="V29" s="818"/>
      <c r="W29" s="819"/>
      <c r="X29" s="818"/>
      <c r="Y29" s="818"/>
      <c r="Z29" s="159"/>
      <c r="AA29" s="161"/>
    </row>
    <row r="30" spans="1:27" ht="20.100000000000001" customHeight="1" x14ac:dyDescent="0.25">
      <c r="A30" s="785">
        <f>WorkArea!C26</f>
        <v>0</v>
      </c>
      <c r="B30" s="786"/>
      <c r="C30" s="786"/>
      <c r="D30" s="787"/>
      <c r="E30" s="488">
        <f>WorkArea!E26</f>
        <v>0</v>
      </c>
      <c r="F30" s="488">
        <f>WorkArea!F26</f>
        <v>0</v>
      </c>
      <c r="G30" s="178" t="str">
        <f t="shared" si="0"/>
        <v/>
      </c>
      <c r="H30" s="178">
        <f>WorkArea!Q26</f>
        <v>0</v>
      </c>
      <c r="I30" s="256">
        <f>WorkArea!K26</f>
        <v>0</v>
      </c>
      <c r="J30" s="788">
        <f t="shared" si="1"/>
        <v>0</v>
      </c>
      <c r="K30" s="789"/>
      <c r="L30" s="790"/>
      <c r="O30" s="260" t="str">
        <f>IF(WorkArea!R26=1,"F","S")</f>
        <v>S</v>
      </c>
      <c r="P30" s="158"/>
      <c r="Q30" s="158"/>
      <c r="R30" s="159"/>
      <c r="S30" s="44"/>
      <c r="T30" s="160"/>
      <c r="U30" s="159"/>
      <c r="V30" s="160"/>
      <c r="W30" s="159"/>
      <c r="X30" s="160"/>
      <c r="Y30" s="159"/>
      <c r="Z30" s="161"/>
      <c r="AA30" s="161"/>
    </row>
    <row r="31" spans="1:27" ht="20.100000000000001" customHeight="1" x14ac:dyDescent="0.25">
      <c r="A31" s="785">
        <f>WorkArea!C27</f>
        <v>0</v>
      </c>
      <c r="B31" s="786"/>
      <c r="C31" s="786"/>
      <c r="D31" s="787"/>
      <c r="E31" s="488">
        <f>WorkArea!E27</f>
        <v>0</v>
      </c>
      <c r="F31" s="488">
        <f>WorkArea!F27</f>
        <v>0</v>
      </c>
      <c r="G31" s="178" t="str">
        <f t="shared" si="0"/>
        <v/>
      </c>
      <c r="H31" s="178">
        <f>WorkArea!Q27</f>
        <v>0</v>
      </c>
      <c r="I31" s="256">
        <f>WorkArea!K27</f>
        <v>0</v>
      </c>
      <c r="J31" s="788">
        <f t="shared" si="1"/>
        <v>0</v>
      </c>
      <c r="K31" s="789"/>
      <c r="L31" s="790"/>
      <c r="O31" s="260" t="str">
        <f>IF(WorkArea!R27=1,"F","S")</f>
        <v>S</v>
      </c>
      <c r="P31" s="161"/>
      <c r="Q31" s="162"/>
      <c r="R31" s="163"/>
      <c r="S31" s="160"/>
      <c r="T31" s="160"/>
      <c r="U31" s="160"/>
      <c r="V31" s="160"/>
      <c r="W31" s="160"/>
      <c r="X31" s="164"/>
      <c r="Y31" s="43"/>
    </row>
    <row r="32" spans="1:27" ht="20.100000000000001" customHeight="1" x14ac:dyDescent="0.25">
      <c r="A32" s="785">
        <f>WorkArea!C28</f>
        <v>0</v>
      </c>
      <c r="B32" s="786"/>
      <c r="C32" s="786"/>
      <c r="D32" s="787"/>
      <c r="E32" s="489">
        <f>WorkArea!E28</f>
        <v>0</v>
      </c>
      <c r="F32" s="489">
        <f>WorkArea!F28</f>
        <v>0</v>
      </c>
      <c r="G32" s="250" t="str">
        <f t="shared" si="0"/>
        <v/>
      </c>
      <c r="H32" s="250">
        <f>WorkArea!Q28</f>
        <v>0</v>
      </c>
      <c r="I32" s="257">
        <f>WorkArea!K28</f>
        <v>0</v>
      </c>
      <c r="J32" s="788">
        <f t="shared" si="1"/>
        <v>0</v>
      </c>
      <c r="K32" s="789"/>
      <c r="L32" s="790"/>
      <c r="O32" s="260" t="str">
        <f>IF(WorkArea!R28=1,"F","S")</f>
        <v>S</v>
      </c>
      <c r="P32" s="161"/>
      <c r="Q32" s="162"/>
      <c r="R32" s="163"/>
      <c r="S32" s="160"/>
      <c r="T32" s="160"/>
      <c r="U32" s="160"/>
      <c r="V32" s="160"/>
      <c r="W32" s="160"/>
      <c r="X32" s="164"/>
      <c r="Y32" s="43"/>
    </row>
    <row r="33" spans="1:25" ht="20.100000000000001" customHeight="1" x14ac:dyDescent="0.25">
      <c r="A33" s="785">
        <f>WorkArea!C29</f>
        <v>0</v>
      </c>
      <c r="B33" s="786"/>
      <c r="C33" s="786"/>
      <c r="D33" s="787"/>
      <c r="E33" s="489">
        <f>WorkArea!E29</f>
        <v>0</v>
      </c>
      <c r="F33" s="489">
        <f>WorkArea!F29</f>
        <v>0</v>
      </c>
      <c r="G33" s="250" t="str">
        <f t="shared" si="0"/>
        <v/>
      </c>
      <c r="H33" s="250">
        <f>WorkArea!Q29</f>
        <v>0</v>
      </c>
      <c r="I33" s="257">
        <f>WorkArea!K29</f>
        <v>0</v>
      </c>
      <c r="J33" s="788">
        <f t="shared" si="1"/>
        <v>0</v>
      </c>
      <c r="K33" s="789"/>
      <c r="L33" s="790"/>
      <c r="O33" s="260" t="str">
        <f>IF(WorkArea!R29=1,"F","S")</f>
        <v>S</v>
      </c>
      <c r="P33" s="161"/>
      <c r="Q33" s="162"/>
      <c r="R33" s="163"/>
      <c r="S33" s="160"/>
      <c r="T33" s="160"/>
      <c r="U33" s="160"/>
      <c r="V33" s="160"/>
      <c r="W33" s="160"/>
      <c r="X33" s="164"/>
      <c r="Y33" s="43"/>
    </row>
    <row r="34" spans="1:25" ht="20.100000000000001" customHeight="1" x14ac:dyDescent="0.25">
      <c r="A34" s="785">
        <f>WorkArea!C30</f>
        <v>0</v>
      </c>
      <c r="B34" s="786"/>
      <c r="C34" s="786"/>
      <c r="D34" s="787"/>
      <c r="E34" s="489">
        <f>WorkArea!E30</f>
        <v>0</v>
      </c>
      <c r="F34" s="489">
        <f>WorkArea!F30</f>
        <v>0</v>
      </c>
      <c r="G34" s="250" t="str">
        <f t="shared" si="0"/>
        <v/>
      </c>
      <c r="H34" s="250">
        <f>WorkArea!Q30</f>
        <v>0</v>
      </c>
      <c r="I34" s="257">
        <f>WorkArea!K30</f>
        <v>0</v>
      </c>
      <c r="J34" s="788">
        <f t="shared" si="1"/>
        <v>0</v>
      </c>
      <c r="K34" s="789"/>
      <c r="L34" s="790"/>
      <c r="O34" s="260" t="str">
        <f>IF(WorkArea!R30=1,"F","S")</f>
        <v>S</v>
      </c>
      <c r="P34" s="161"/>
      <c r="Q34" s="162"/>
      <c r="R34" s="163"/>
      <c r="S34" s="160"/>
      <c r="T34" s="160"/>
      <c r="U34" s="160"/>
      <c r="V34" s="160"/>
      <c r="W34" s="160"/>
      <c r="X34" s="164"/>
      <c r="Y34" s="43"/>
    </row>
    <row r="35" spans="1:25" ht="20.100000000000001" customHeight="1" x14ac:dyDescent="0.25">
      <c r="A35" s="785">
        <f>WorkArea!C31</f>
        <v>0</v>
      </c>
      <c r="B35" s="786"/>
      <c r="C35" s="786"/>
      <c r="D35" s="787"/>
      <c r="E35" s="489">
        <f>WorkArea!E31</f>
        <v>0</v>
      </c>
      <c r="F35" s="489">
        <f>WorkArea!F31</f>
        <v>0</v>
      </c>
      <c r="G35" s="250" t="str">
        <f t="shared" si="0"/>
        <v/>
      </c>
      <c r="H35" s="250">
        <f>WorkArea!Q31</f>
        <v>0</v>
      </c>
      <c r="I35" s="257">
        <f>WorkArea!K31</f>
        <v>0</v>
      </c>
      <c r="J35" s="788">
        <f t="shared" si="1"/>
        <v>0</v>
      </c>
      <c r="K35" s="789"/>
      <c r="L35" s="790"/>
      <c r="O35" s="260" t="str">
        <f>IF(WorkArea!R31=1,"F","S")</f>
        <v>S</v>
      </c>
      <c r="P35" s="161"/>
      <c r="Q35" s="162"/>
      <c r="R35" s="163"/>
      <c r="S35" s="160"/>
      <c r="T35" s="160"/>
      <c r="U35" s="160"/>
      <c r="V35" s="160"/>
      <c r="W35" s="160"/>
      <c r="X35" s="164"/>
      <c r="Y35" s="43"/>
    </row>
    <row r="36" spans="1:25" ht="20.100000000000001" customHeight="1" x14ac:dyDescent="0.25">
      <c r="A36" s="785">
        <f>WorkArea!C32</f>
        <v>0</v>
      </c>
      <c r="B36" s="786"/>
      <c r="C36" s="786"/>
      <c r="D36" s="787"/>
      <c r="E36" s="489">
        <f>WorkArea!E32</f>
        <v>0</v>
      </c>
      <c r="F36" s="489">
        <f>WorkArea!F32</f>
        <v>0</v>
      </c>
      <c r="G36" s="250" t="str">
        <f t="shared" si="0"/>
        <v/>
      </c>
      <c r="H36" s="250">
        <f>WorkArea!Q32</f>
        <v>0</v>
      </c>
      <c r="I36" s="257">
        <f>WorkArea!K32</f>
        <v>0</v>
      </c>
      <c r="J36" s="788">
        <f t="shared" si="1"/>
        <v>0</v>
      </c>
      <c r="K36" s="789"/>
      <c r="L36" s="790"/>
      <c r="O36" s="260" t="str">
        <f>IF(WorkArea!R32=1,"F","S")</f>
        <v>S</v>
      </c>
      <c r="P36" s="161"/>
      <c r="Q36" s="162"/>
      <c r="R36" s="163"/>
      <c r="S36" s="160"/>
      <c r="T36" s="160"/>
      <c r="U36" s="160"/>
      <c r="V36" s="160"/>
      <c r="W36" s="160"/>
      <c r="X36" s="164"/>
      <c r="Y36" s="43"/>
    </row>
    <row r="37" spans="1:25" ht="20.100000000000001" customHeight="1" x14ac:dyDescent="0.25">
      <c r="A37" s="785">
        <f>WorkArea!C33</f>
        <v>0</v>
      </c>
      <c r="B37" s="786"/>
      <c r="C37" s="786"/>
      <c r="D37" s="787"/>
      <c r="E37" s="489">
        <f>WorkArea!E33</f>
        <v>0</v>
      </c>
      <c r="F37" s="489">
        <f>WorkArea!F33</f>
        <v>0</v>
      </c>
      <c r="G37" s="250" t="str">
        <f t="shared" si="0"/>
        <v/>
      </c>
      <c r="H37" s="250">
        <f>WorkArea!Q33</f>
        <v>0</v>
      </c>
      <c r="I37" s="257">
        <f>WorkArea!K33</f>
        <v>0</v>
      </c>
      <c r="J37" s="788">
        <f t="shared" si="1"/>
        <v>0</v>
      </c>
      <c r="K37" s="789"/>
      <c r="L37" s="790"/>
      <c r="O37" s="260" t="str">
        <f>IF(WorkArea!R33=1,"F","S")</f>
        <v>S</v>
      </c>
      <c r="P37" s="161"/>
      <c r="Q37" s="162"/>
      <c r="R37" s="163"/>
      <c r="S37" s="160"/>
      <c r="T37" s="160"/>
      <c r="U37" s="160"/>
      <c r="V37" s="160"/>
      <c r="W37" s="160"/>
      <c r="X37" s="164"/>
      <c r="Y37" s="43"/>
    </row>
    <row r="38" spans="1:25" ht="20.100000000000001" customHeight="1" x14ac:dyDescent="0.25">
      <c r="A38" s="785">
        <f>WorkArea!C34</f>
        <v>0</v>
      </c>
      <c r="B38" s="786"/>
      <c r="C38" s="786"/>
      <c r="D38" s="787"/>
      <c r="E38" s="489">
        <f>WorkArea!E34</f>
        <v>0</v>
      </c>
      <c r="F38" s="489">
        <f>WorkArea!F34</f>
        <v>0</v>
      </c>
      <c r="G38" s="250" t="str">
        <f t="shared" si="0"/>
        <v/>
      </c>
      <c r="H38" s="250">
        <f>WorkArea!Q34</f>
        <v>0</v>
      </c>
      <c r="I38" s="257">
        <f>WorkArea!K34</f>
        <v>0</v>
      </c>
      <c r="J38" s="788">
        <f t="shared" si="1"/>
        <v>0</v>
      </c>
      <c r="K38" s="789"/>
      <c r="L38" s="790"/>
      <c r="O38" s="260" t="str">
        <f>IF(WorkArea!R34=1,"F","S")</f>
        <v>S</v>
      </c>
      <c r="P38" s="161"/>
      <c r="Q38" s="162"/>
      <c r="R38" s="163"/>
      <c r="S38" s="160"/>
      <c r="T38" s="160"/>
      <c r="U38" s="160"/>
      <c r="V38" s="160"/>
      <c r="W38" s="160"/>
      <c r="X38" s="164"/>
      <c r="Y38" s="43"/>
    </row>
    <row r="39" spans="1:25" ht="20.100000000000001" customHeight="1" x14ac:dyDescent="0.25">
      <c r="A39" s="785">
        <f>WorkArea!C35</f>
        <v>0</v>
      </c>
      <c r="B39" s="786"/>
      <c r="C39" s="786"/>
      <c r="D39" s="787"/>
      <c r="E39" s="489">
        <f>WorkArea!E35</f>
        <v>0</v>
      </c>
      <c r="F39" s="489">
        <f>WorkArea!F35</f>
        <v>0</v>
      </c>
      <c r="G39" s="250" t="str">
        <f t="shared" si="0"/>
        <v/>
      </c>
      <c r="H39" s="250">
        <f>WorkArea!Q35</f>
        <v>0</v>
      </c>
      <c r="I39" s="257">
        <f>WorkArea!K35</f>
        <v>0</v>
      </c>
      <c r="J39" s="788">
        <f t="shared" si="1"/>
        <v>0</v>
      </c>
      <c r="K39" s="789"/>
      <c r="L39" s="790"/>
      <c r="O39" s="260" t="str">
        <f>IF(WorkArea!R35=1,"F","S")</f>
        <v>S</v>
      </c>
      <c r="P39" s="161"/>
      <c r="Q39" s="162"/>
      <c r="R39" s="163"/>
      <c r="S39" s="160"/>
      <c r="T39" s="160"/>
      <c r="U39" s="160"/>
      <c r="V39" s="160"/>
      <c r="W39" s="160"/>
      <c r="X39" s="164"/>
      <c r="Y39" s="43"/>
    </row>
    <row r="40" spans="1:25" ht="20.100000000000001" customHeight="1" x14ac:dyDescent="0.25">
      <c r="A40" s="785">
        <f>WorkArea!C36</f>
        <v>0</v>
      </c>
      <c r="B40" s="786"/>
      <c r="C40" s="786"/>
      <c r="D40" s="787"/>
      <c r="E40" s="489">
        <f>WorkArea!E36</f>
        <v>0</v>
      </c>
      <c r="F40" s="489">
        <f>WorkArea!F36</f>
        <v>0</v>
      </c>
      <c r="G40" s="250" t="str">
        <f t="shared" si="0"/>
        <v/>
      </c>
      <c r="H40" s="250">
        <f>WorkArea!Q36</f>
        <v>0</v>
      </c>
      <c r="I40" s="257">
        <f>WorkArea!K36</f>
        <v>0</v>
      </c>
      <c r="J40" s="788">
        <f t="shared" si="1"/>
        <v>0</v>
      </c>
      <c r="K40" s="789"/>
      <c r="L40" s="790"/>
      <c r="O40" s="260" t="str">
        <f>IF(WorkArea!R36=1,"F","S")</f>
        <v>S</v>
      </c>
      <c r="P40" s="161"/>
      <c r="Q40" s="162"/>
      <c r="R40" s="163"/>
      <c r="S40" s="160"/>
      <c r="T40" s="160"/>
      <c r="U40" s="160"/>
      <c r="V40" s="160"/>
      <c r="W40" s="160"/>
      <c r="X40" s="164"/>
      <c r="Y40" s="43"/>
    </row>
    <row r="41" spans="1:25" ht="20.100000000000001" customHeight="1" x14ac:dyDescent="0.25">
      <c r="A41" s="785">
        <f>WorkArea!C37</f>
        <v>0</v>
      </c>
      <c r="B41" s="786"/>
      <c r="C41" s="786"/>
      <c r="D41" s="787"/>
      <c r="E41" s="489">
        <f>WorkArea!E37</f>
        <v>0</v>
      </c>
      <c r="F41" s="489">
        <f>WorkArea!F37</f>
        <v>0</v>
      </c>
      <c r="G41" s="250" t="str">
        <f t="shared" si="0"/>
        <v/>
      </c>
      <c r="H41" s="250">
        <f>WorkArea!Q37</f>
        <v>0</v>
      </c>
      <c r="I41" s="257">
        <f>WorkArea!K37</f>
        <v>0</v>
      </c>
      <c r="J41" s="788">
        <f t="shared" si="1"/>
        <v>0</v>
      </c>
      <c r="K41" s="789"/>
      <c r="L41" s="790"/>
      <c r="O41" s="260" t="str">
        <f>IF(WorkArea!R37=1,"F","S")</f>
        <v>S</v>
      </c>
      <c r="P41" s="161"/>
      <c r="Q41" s="162"/>
      <c r="R41" s="163"/>
      <c r="S41" s="160"/>
      <c r="T41" s="160"/>
      <c r="U41" s="160"/>
      <c r="V41" s="160"/>
      <c r="W41" s="160"/>
      <c r="X41" s="164"/>
      <c r="Y41" s="43"/>
    </row>
    <row r="42" spans="1:25" ht="20.100000000000001" customHeight="1" x14ac:dyDescent="0.25">
      <c r="A42" s="785">
        <f>WorkArea!C38</f>
        <v>0</v>
      </c>
      <c r="B42" s="786"/>
      <c r="C42" s="786"/>
      <c r="D42" s="787"/>
      <c r="E42" s="489">
        <f>WorkArea!E38</f>
        <v>0</v>
      </c>
      <c r="F42" s="489">
        <f>WorkArea!F38</f>
        <v>0</v>
      </c>
      <c r="G42" s="250" t="str">
        <f t="shared" si="0"/>
        <v/>
      </c>
      <c r="H42" s="250">
        <f>WorkArea!Q38</f>
        <v>0</v>
      </c>
      <c r="I42" s="257">
        <f>WorkArea!K38</f>
        <v>0</v>
      </c>
      <c r="J42" s="788">
        <f t="shared" si="1"/>
        <v>0</v>
      </c>
      <c r="K42" s="789"/>
      <c r="L42" s="790"/>
      <c r="O42" s="260" t="str">
        <f>IF(WorkArea!R38=1,"F","S")</f>
        <v>S</v>
      </c>
      <c r="P42" s="161"/>
      <c r="Q42" s="162"/>
      <c r="R42" s="163"/>
      <c r="S42" s="160"/>
      <c r="T42" s="160"/>
      <c r="U42" s="160"/>
      <c r="V42" s="160"/>
      <c r="W42" s="160"/>
      <c r="X42" s="164"/>
      <c r="Y42" s="43"/>
    </row>
    <row r="43" spans="1:25" ht="20.100000000000001" customHeight="1" x14ac:dyDescent="0.25">
      <c r="A43" s="785">
        <f>WorkArea!C39</f>
        <v>0</v>
      </c>
      <c r="B43" s="786"/>
      <c r="C43" s="786"/>
      <c r="D43" s="787"/>
      <c r="E43" s="489">
        <f>WorkArea!E39</f>
        <v>0</v>
      </c>
      <c r="F43" s="489">
        <f>WorkArea!F39</f>
        <v>0</v>
      </c>
      <c r="G43" s="250" t="str">
        <f t="shared" si="0"/>
        <v/>
      </c>
      <c r="H43" s="250">
        <f>WorkArea!Q39</f>
        <v>0</v>
      </c>
      <c r="I43" s="257">
        <f>WorkArea!K39</f>
        <v>0</v>
      </c>
      <c r="J43" s="788">
        <f t="shared" si="1"/>
        <v>0</v>
      </c>
      <c r="K43" s="789"/>
      <c r="L43" s="790"/>
      <c r="O43" s="260" t="str">
        <f>IF(WorkArea!R39=1,"F","S")</f>
        <v>S</v>
      </c>
      <c r="P43" s="161"/>
      <c r="Q43" s="162"/>
      <c r="R43" s="163"/>
      <c r="S43" s="160"/>
      <c r="T43" s="160"/>
      <c r="U43" s="160"/>
      <c r="V43" s="160"/>
      <c r="W43" s="160"/>
      <c r="X43" s="164"/>
      <c r="Y43" s="43"/>
    </row>
    <row r="44" spans="1:25" ht="20.100000000000001" customHeight="1" x14ac:dyDescent="0.25">
      <c r="A44" s="785">
        <f>WorkArea!C40</f>
        <v>0</v>
      </c>
      <c r="B44" s="786"/>
      <c r="C44" s="786"/>
      <c r="D44" s="787"/>
      <c r="E44" s="489">
        <f>WorkArea!E40</f>
        <v>0</v>
      </c>
      <c r="F44" s="489">
        <f>WorkArea!F40</f>
        <v>0</v>
      </c>
      <c r="G44" s="250" t="str">
        <f t="shared" si="0"/>
        <v/>
      </c>
      <c r="H44" s="250">
        <f>WorkArea!Q40</f>
        <v>0</v>
      </c>
      <c r="I44" s="257">
        <f>WorkArea!K40</f>
        <v>0</v>
      </c>
      <c r="J44" s="788">
        <f t="shared" si="1"/>
        <v>0</v>
      </c>
      <c r="K44" s="789"/>
      <c r="L44" s="790"/>
      <c r="O44" s="260" t="str">
        <f>IF(WorkArea!R40=1,"F","S")</f>
        <v>S</v>
      </c>
      <c r="P44" s="161"/>
      <c r="Q44" s="162"/>
      <c r="R44" s="163"/>
      <c r="S44" s="160"/>
      <c r="T44" s="160"/>
      <c r="U44" s="160"/>
      <c r="V44" s="160"/>
      <c r="W44" s="160"/>
      <c r="X44" s="164"/>
      <c r="Y44" s="43"/>
    </row>
    <row r="45" spans="1:25" ht="20.100000000000001" customHeight="1" thickBot="1" x14ac:dyDescent="0.3">
      <c r="A45" s="825">
        <f>WorkArea!C41</f>
        <v>0</v>
      </c>
      <c r="B45" s="826"/>
      <c r="C45" s="826"/>
      <c r="D45" s="827"/>
      <c r="E45" s="490">
        <f>WorkArea!E41</f>
        <v>0</v>
      </c>
      <c r="F45" s="490">
        <f>WorkArea!F41</f>
        <v>0</v>
      </c>
      <c r="G45" s="248" t="str">
        <f t="shared" si="0"/>
        <v/>
      </c>
      <c r="H45" s="248">
        <f>WorkArea!Q41</f>
        <v>0</v>
      </c>
      <c r="I45" s="258">
        <f>WorkArea!K41</f>
        <v>0</v>
      </c>
      <c r="J45" s="791">
        <f t="shared" si="1"/>
        <v>0</v>
      </c>
      <c r="K45" s="792"/>
      <c r="L45" s="793"/>
      <c r="O45" s="260" t="str">
        <f>IF(WorkArea!R41=1,"F","S")</f>
        <v>S</v>
      </c>
      <c r="P45" s="161"/>
      <c r="Q45" s="162"/>
      <c r="R45" s="163"/>
      <c r="S45" s="160"/>
      <c r="T45" s="160"/>
      <c r="U45" s="160"/>
      <c r="V45" s="160"/>
      <c r="W45" s="160"/>
      <c r="X45" s="160"/>
      <c r="Y45" s="43"/>
    </row>
    <row r="46" spans="1:25" ht="20.100000000000001" customHeight="1" thickBot="1" x14ac:dyDescent="0.3">
      <c r="A46" s="26"/>
      <c r="B46" s="26"/>
      <c r="C46" s="26"/>
      <c r="D46" s="26"/>
      <c r="E46" s="26"/>
      <c r="F46" s="26"/>
      <c r="G46" s="26"/>
      <c r="H46" s="261"/>
      <c r="I46" s="262"/>
      <c r="J46" s="820"/>
      <c r="K46" s="821"/>
      <c r="L46" s="821"/>
      <c r="M46" s="42"/>
      <c r="N46" s="43"/>
      <c r="O46" s="43"/>
    </row>
    <row r="47" spans="1:25" ht="20.100000000000001" customHeight="1" x14ac:dyDescent="0.25">
      <c r="A47" s="265" t="s">
        <v>154</v>
      </c>
      <c r="B47" s="261"/>
      <c r="C47" s="261"/>
      <c r="D47" s="4"/>
      <c r="E47" s="253">
        <f>SUMIF(I10:I45,"=0",J10:L45)</f>
        <v>0</v>
      </c>
      <c r="F47" s="3"/>
      <c r="N47" s="37"/>
      <c r="O47" s="37"/>
    </row>
    <row r="48" spans="1:25" ht="20.100000000000001" customHeight="1" x14ac:dyDescent="0.25">
      <c r="A48" s="263" t="s">
        <v>155</v>
      </c>
      <c r="B48" s="264"/>
      <c r="C48" s="264"/>
      <c r="E48" s="266">
        <f>O48+P48</f>
        <v>0</v>
      </c>
      <c r="F48" s="3"/>
      <c r="H48" s="161"/>
      <c r="I48" s="161"/>
      <c r="N48" s="37"/>
      <c r="O48" s="260">
        <f>SUMIF($I$10:$I$45,2,$J$10:$L$45)</f>
        <v>0</v>
      </c>
      <c r="P48" s="260">
        <f>SUMIF($I$10:$I$45,"=1",$J$10:$L$45)</f>
        <v>0</v>
      </c>
    </row>
    <row r="49" spans="1:17" ht="20.100000000000001" customHeight="1" thickBot="1" x14ac:dyDescent="0.3">
      <c r="A49" s="263" t="s">
        <v>156</v>
      </c>
      <c r="B49" s="264"/>
      <c r="C49" s="264"/>
      <c r="E49" s="266">
        <f>SUMIF(I10:I45,"=3",J10:L45)</f>
        <v>0</v>
      </c>
      <c r="F49" s="3"/>
    </row>
    <row r="50" spans="1:17" ht="20.100000000000001" customHeight="1" thickBot="1" x14ac:dyDescent="0.3">
      <c r="A50" s="267" t="s">
        <v>135</v>
      </c>
      <c r="B50" s="268"/>
      <c r="C50" s="268"/>
      <c r="D50" s="269"/>
      <c r="E50" s="270">
        <f>SUM(E47:E49)</f>
        <v>0</v>
      </c>
      <c r="F50" s="3"/>
      <c r="G50" s="3"/>
      <c r="H50" s="3"/>
      <c r="I50" s="3"/>
      <c r="J50" s="3"/>
    </row>
    <row r="51" spans="1:17" ht="20.100000000000001" customHeight="1" x14ac:dyDescent="0.25">
      <c r="F51" s="3"/>
      <c r="G51" s="3"/>
      <c r="H51" s="3"/>
      <c r="I51" s="3"/>
      <c r="J51" s="3"/>
    </row>
    <row r="52" spans="1:17" ht="20.100000000000001" customHeight="1" x14ac:dyDescent="0.25">
      <c r="F52" s="3"/>
      <c r="G52" s="3"/>
      <c r="H52" s="3"/>
      <c r="I52" s="3"/>
      <c r="J52" s="3"/>
      <c r="Q52" s="166"/>
    </row>
    <row r="53" spans="1:17" ht="20.100000000000001" customHeight="1" x14ac:dyDescent="0.25">
      <c r="F53" s="3"/>
      <c r="G53" s="3"/>
      <c r="H53" s="3"/>
      <c r="I53" s="3"/>
      <c r="J53" s="3"/>
    </row>
    <row r="54" spans="1:17" ht="20.100000000000001" customHeight="1" x14ac:dyDescent="0.25">
      <c r="F54" s="3"/>
      <c r="G54" s="3"/>
      <c r="H54" s="3"/>
      <c r="I54" s="3"/>
      <c r="J54" s="3"/>
    </row>
    <row r="55" spans="1:17" ht="20.100000000000001" customHeight="1" x14ac:dyDescent="0.25">
      <c r="F55" s="3"/>
      <c r="G55" s="3"/>
      <c r="H55" s="3"/>
      <c r="I55" s="3"/>
      <c r="J55" s="3"/>
    </row>
    <row r="56" spans="1:17" ht="20.100000000000001" customHeight="1" x14ac:dyDescent="0.25">
      <c r="A56" s="3"/>
      <c r="B56" s="3"/>
      <c r="C56" s="3"/>
      <c r="D56" s="3"/>
      <c r="E56" s="3"/>
      <c r="F56" s="3"/>
      <c r="G56" s="3"/>
      <c r="H56" s="3"/>
      <c r="I56" s="3"/>
      <c r="J56" s="3"/>
    </row>
    <row r="57" spans="1:17" ht="15" customHeight="1" x14ac:dyDescent="0.25">
      <c r="A57" s="3"/>
      <c r="B57" s="3"/>
      <c r="C57" s="3"/>
      <c r="D57" s="3"/>
      <c r="E57" s="3"/>
      <c r="F57" s="3"/>
      <c r="G57" s="3"/>
      <c r="H57" s="3"/>
      <c r="I57" s="3"/>
      <c r="J57" s="3"/>
    </row>
    <row r="58" spans="1:17" ht="15" customHeight="1" x14ac:dyDescent="0.25">
      <c r="A58" s="3"/>
      <c r="B58" s="3"/>
      <c r="C58" s="3"/>
      <c r="D58" s="3"/>
      <c r="E58" s="3"/>
      <c r="F58" s="3"/>
      <c r="G58" s="3"/>
      <c r="H58" s="3"/>
      <c r="I58" s="3"/>
      <c r="J58" s="3"/>
    </row>
    <row r="59" spans="1:17" ht="15" customHeight="1" x14ac:dyDescent="0.25">
      <c r="A59" s="3"/>
      <c r="B59" s="3"/>
      <c r="C59" s="3"/>
      <c r="D59" s="3"/>
      <c r="E59" s="3"/>
      <c r="F59" s="3"/>
      <c r="G59" s="3"/>
      <c r="H59" s="3"/>
      <c r="I59" s="3"/>
      <c r="J59" s="3"/>
    </row>
    <row r="60" spans="1:17" ht="12" customHeight="1" x14ac:dyDescent="0.25">
      <c r="A60" s="3"/>
      <c r="B60" s="3"/>
      <c r="C60" s="3"/>
      <c r="D60" s="3"/>
      <c r="E60" s="3"/>
      <c r="F60" s="3"/>
      <c r="G60" s="3"/>
      <c r="H60" s="3"/>
      <c r="I60" s="3"/>
      <c r="J60" s="3"/>
    </row>
    <row r="61" spans="1:17" ht="12" customHeight="1" x14ac:dyDescent="0.25">
      <c r="A61" s="3"/>
      <c r="B61" s="3"/>
      <c r="C61" s="3"/>
      <c r="D61" s="3"/>
      <c r="E61" s="3"/>
      <c r="F61" s="3"/>
      <c r="G61" s="3"/>
      <c r="H61" s="3"/>
      <c r="I61" s="3"/>
      <c r="J61" s="3"/>
    </row>
    <row r="62" spans="1:17" ht="12" customHeight="1" x14ac:dyDescent="0.25">
      <c r="A62" s="3"/>
      <c r="B62" s="3"/>
      <c r="C62" s="3"/>
      <c r="D62" s="3"/>
      <c r="E62" s="3"/>
      <c r="F62" s="3"/>
      <c r="G62" s="3"/>
      <c r="H62" s="3"/>
      <c r="I62" s="3"/>
      <c r="J62" s="3"/>
    </row>
    <row r="63" spans="1:17" ht="12" customHeight="1" x14ac:dyDescent="0.25">
      <c r="A63" s="3"/>
      <c r="B63" s="3"/>
      <c r="C63" s="3"/>
      <c r="D63" s="3"/>
      <c r="E63" s="3"/>
      <c r="F63" s="3"/>
      <c r="G63" s="3"/>
      <c r="H63" s="3"/>
      <c r="I63" s="3"/>
      <c r="J63" s="3"/>
    </row>
    <row r="64" spans="1:17" ht="12" customHeight="1" x14ac:dyDescent="0.25">
      <c r="A64" s="3"/>
      <c r="B64" s="3"/>
      <c r="C64" s="3"/>
      <c r="D64" s="3"/>
      <c r="E64" s="3"/>
      <c r="F64" s="3"/>
      <c r="G64" s="3"/>
      <c r="H64" s="3"/>
      <c r="I64" s="3"/>
      <c r="J64" s="3"/>
    </row>
    <row r="65" spans="1:10" ht="12" customHeight="1" x14ac:dyDescent="0.25">
      <c r="A65" s="3"/>
      <c r="B65" s="3"/>
      <c r="C65" s="3"/>
      <c r="D65" s="3"/>
      <c r="E65" s="3"/>
      <c r="F65" s="3"/>
      <c r="G65" s="3"/>
      <c r="H65" s="3"/>
      <c r="I65" s="3"/>
      <c r="J65" s="3"/>
    </row>
    <row r="66" spans="1:10" x14ac:dyDescent="0.25">
      <c r="A66" s="3"/>
      <c r="B66" s="3"/>
      <c r="C66" s="3"/>
      <c r="D66" s="3"/>
      <c r="E66" s="3"/>
      <c r="F66" s="3"/>
      <c r="G66" s="3"/>
      <c r="H66" s="3"/>
      <c r="I66" s="3"/>
      <c r="J66" s="3"/>
    </row>
    <row r="67" spans="1:10" x14ac:dyDescent="0.25">
      <c r="A67" s="3"/>
      <c r="B67" s="3"/>
      <c r="C67" s="3"/>
      <c r="D67" s="3"/>
      <c r="E67" s="3"/>
      <c r="F67" s="3"/>
      <c r="G67" s="3"/>
      <c r="H67" s="3"/>
      <c r="I67" s="3"/>
      <c r="J67" s="3"/>
    </row>
    <row r="68" spans="1:10" x14ac:dyDescent="0.25">
      <c r="A68" s="3"/>
      <c r="B68" s="3"/>
      <c r="C68" s="3"/>
      <c r="D68" s="3"/>
      <c r="E68" s="3"/>
      <c r="F68" s="3"/>
      <c r="G68" s="3"/>
      <c r="H68" s="3"/>
      <c r="I68" s="3"/>
      <c r="J68" s="3"/>
    </row>
    <row r="69" spans="1:10" x14ac:dyDescent="0.25">
      <c r="A69" s="3"/>
      <c r="B69" s="3"/>
      <c r="C69" s="3"/>
      <c r="D69" s="3"/>
      <c r="E69" s="3"/>
      <c r="F69" s="3"/>
      <c r="G69" s="3"/>
      <c r="H69" s="3"/>
      <c r="I69" s="3"/>
      <c r="J69" s="3"/>
    </row>
    <row r="70" spans="1:10" x14ac:dyDescent="0.25">
      <c r="A70" s="3"/>
      <c r="B70" s="3"/>
      <c r="C70" s="3"/>
      <c r="D70" s="3"/>
      <c r="E70" s="3"/>
      <c r="F70" s="3"/>
      <c r="G70" s="3"/>
      <c r="H70" s="3"/>
      <c r="I70" s="3"/>
      <c r="J70" s="3"/>
    </row>
    <row r="71" spans="1:10" x14ac:dyDescent="0.25">
      <c r="A71" s="3"/>
      <c r="B71" s="3"/>
      <c r="C71" s="3"/>
      <c r="D71" s="3"/>
      <c r="E71" s="3"/>
      <c r="F71" s="3"/>
      <c r="G71" s="3"/>
      <c r="H71" s="3"/>
      <c r="I71" s="3"/>
      <c r="J71" s="3"/>
    </row>
    <row r="72" spans="1:10" x14ac:dyDescent="0.25">
      <c r="A72" s="3"/>
      <c r="B72" s="3"/>
      <c r="C72" s="3"/>
      <c r="D72" s="3"/>
      <c r="E72" s="3"/>
      <c r="F72" s="3"/>
      <c r="G72" s="3"/>
      <c r="H72" s="3"/>
      <c r="I72" s="3"/>
      <c r="J72" s="3"/>
    </row>
    <row r="73" spans="1:10" x14ac:dyDescent="0.25">
      <c r="A73" s="3"/>
      <c r="B73" s="3"/>
      <c r="C73" s="3"/>
      <c r="D73" s="3"/>
      <c r="E73" s="3"/>
      <c r="F73" s="3"/>
      <c r="G73" s="3"/>
      <c r="H73" s="3"/>
      <c r="I73" s="3"/>
      <c r="J73" s="3"/>
    </row>
    <row r="74" spans="1:10" x14ac:dyDescent="0.25">
      <c r="A74" s="3"/>
      <c r="B74" s="3"/>
      <c r="C74" s="3"/>
      <c r="D74" s="3"/>
      <c r="E74" s="3"/>
      <c r="F74" s="3"/>
      <c r="G74" s="3"/>
      <c r="H74" s="3"/>
      <c r="I74" s="3"/>
      <c r="J74" s="3"/>
    </row>
    <row r="75" spans="1:10" x14ac:dyDescent="0.25">
      <c r="A75" s="3"/>
      <c r="B75" s="3"/>
      <c r="C75" s="3"/>
      <c r="D75" s="3"/>
      <c r="E75" s="3"/>
      <c r="F75" s="3"/>
      <c r="G75" s="3"/>
      <c r="H75" s="3"/>
      <c r="I75" s="3"/>
      <c r="J75" s="3"/>
    </row>
    <row r="76" spans="1:10" x14ac:dyDescent="0.25">
      <c r="A76" s="3"/>
      <c r="B76" s="3"/>
      <c r="C76" s="3"/>
      <c r="D76" s="3"/>
      <c r="E76" s="3"/>
      <c r="F76" s="3"/>
      <c r="G76" s="3"/>
      <c r="H76" s="3"/>
      <c r="I76" s="3"/>
      <c r="J76" s="3"/>
    </row>
    <row r="77" spans="1:10" x14ac:dyDescent="0.25">
      <c r="A77" s="3"/>
      <c r="B77" s="3"/>
      <c r="C77" s="3"/>
      <c r="D77" s="3"/>
      <c r="E77" s="3"/>
      <c r="F77" s="3"/>
      <c r="G77" s="3"/>
      <c r="H77" s="3"/>
      <c r="I77" s="3"/>
      <c r="J77" s="3"/>
    </row>
    <row r="78" spans="1:10" x14ac:dyDescent="0.25">
      <c r="A78" s="3"/>
      <c r="B78" s="3"/>
      <c r="C78" s="3"/>
      <c r="D78" s="3"/>
      <c r="E78" s="3"/>
      <c r="F78" s="3"/>
      <c r="G78" s="3"/>
      <c r="H78" s="3"/>
      <c r="I78" s="3"/>
      <c r="J78" s="3"/>
    </row>
    <row r="79" spans="1:10" x14ac:dyDescent="0.25">
      <c r="A79" s="3"/>
      <c r="B79" s="3"/>
      <c r="C79" s="3"/>
      <c r="D79" s="3"/>
      <c r="E79" s="3"/>
      <c r="F79" s="3"/>
      <c r="G79" s="3"/>
      <c r="H79" s="3"/>
      <c r="I79" s="3"/>
      <c r="J79" s="3"/>
    </row>
    <row r="80" spans="1:10" x14ac:dyDescent="0.25">
      <c r="A80" s="3"/>
      <c r="B80" s="3"/>
      <c r="C80" s="3"/>
      <c r="D80" s="3"/>
      <c r="E80" s="3"/>
      <c r="F80" s="3"/>
      <c r="G80" s="3"/>
      <c r="H80" s="3"/>
      <c r="I80" s="3"/>
      <c r="J80" s="3"/>
    </row>
    <row r="81" spans="1:10" x14ac:dyDescent="0.25">
      <c r="A81" s="3"/>
      <c r="B81" s="3"/>
      <c r="C81" s="3"/>
      <c r="D81" s="3"/>
      <c r="E81" s="3"/>
      <c r="F81" s="3"/>
      <c r="G81" s="3"/>
      <c r="H81" s="3"/>
      <c r="I81" s="3"/>
      <c r="J81" s="3"/>
    </row>
    <row r="82" spans="1:10" x14ac:dyDescent="0.25">
      <c r="A82" s="3"/>
      <c r="B82" s="3"/>
      <c r="C82" s="3"/>
      <c r="D82" s="3"/>
      <c r="E82" s="3"/>
      <c r="F82" s="3"/>
      <c r="G82" s="3"/>
      <c r="H82" s="3"/>
      <c r="I82" s="3"/>
      <c r="J82" s="3"/>
    </row>
    <row r="83" spans="1:10" x14ac:dyDescent="0.25">
      <c r="A83" s="3"/>
      <c r="B83" s="3"/>
      <c r="C83" s="3"/>
      <c r="D83" s="3"/>
      <c r="E83" s="3"/>
      <c r="F83" s="3"/>
      <c r="G83" s="3"/>
      <c r="H83" s="3"/>
      <c r="I83" s="3"/>
      <c r="J83" s="3"/>
    </row>
    <row r="84" spans="1:10" x14ac:dyDescent="0.25">
      <c r="A84" s="3"/>
      <c r="B84" s="3"/>
      <c r="C84" s="3"/>
      <c r="D84" s="3"/>
      <c r="E84" s="3"/>
      <c r="F84" s="3"/>
      <c r="G84" s="3"/>
      <c r="H84" s="3"/>
      <c r="I84" s="3"/>
      <c r="J84" s="3"/>
    </row>
    <row r="85" spans="1:10" x14ac:dyDescent="0.25">
      <c r="A85" s="3"/>
      <c r="B85" s="3"/>
      <c r="C85" s="3"/>
      <c r="D85" s="3"/>
      <c r="E85" s="3"/>
      <c r="F85" s="3"/>
      <c r="G85" s="3"/>
      <c r="H85" s="3"/>
      <c r="I85" s="3"/>
      <c r="J85" s="3"/>
    </row>
    <row r="86" spans="1:10" x14ac:dyDescent="0.25">
      <c r="A86" s="3"/>
      <c r="B86" s="3"/>
      <c r="C86" s="3"/>
      <c r="D86" s="3"/>
      <c r="E86" s="3"/>
      <c r="F86" s="3"/>
      <c r="G86" s="3"/>
      <c r="H86" s="3"/>
      <c r="I86" s="3"/>
      <c r="J86" s="3"/>
    </row>
    <row r="87" spans="1:10" x14ac:dyDescent="0.25">
      <c r="A87" s="3"/>
      <c r="B87" s="3"/>
      <c r="C87" s="3"/>
      <c r="D87" s="3"/>
      <c r="E87" s="3"/>
      <c r="F87" s="3"/>
      <c r="G87" s="3"/>
      <c r="H87" s="3"/>
      <c r="I87" s="3"/>
      <c r="J87" s="3"/>
    </row>
    <row r="88" spans="1:10" x14ac:dyDescent="0.25">
      <c r="A88" s="3"/>
      <c r="B88" s="3"/>
      <c r="C88" s="3"/>
      <c r="D88" s="3"/>
      <c r="E88" s="3"/>
      <c r="F88" s="3"/>
      <c r="G88" s="3"/>
      <c r="H88" s="3"/>
      <c r="I88" s="3"/>
      <c r="J88" s="3"/>
    </row>
    <row r="89" spans="1:10" x14ac:dyDescent="0.25">
      <c r="A89" s="3"/>
      <c r="B89" s="3"/>
      <c r="C89" s="3"/>
      <c r="D89" s="3"/>
      <c r="E89" s="3"/>
      <c r="F89" s="3"/>
      <c r="G89" s="3"/>
      <c r="H89" s="3"/>
      <c r="I89" s="3"/>
      <c r="J89" s="3"/>
    </row>
    <row r="90" spans="1:10" x14ac:dyDescent="0.25">
      <c r="A90" s="3"/>
      <c r="B90" s="3"/>
      <c r="C90" s="3"/>
      <c r="D90" s="3"/>
      <c r="E90" s="3"/>
      <c r="F90" s="3"/>
      <c r="G90" s="3"/>
      <c r="H90" s="3"/>
      <c r="I90" s="3"/>
      <c r="J90" s="3"/>
    </row>
    <row r="91" spans="1:10" x14ac:dyDescent="0.25">
      <c r="A91" s="3"/>
      <c r="B91" s="3"/>
      <c r="C91" s="3"/>
      <c r="D91" s="3"/>
      <c r="E91" s="3"/>
      <c r="F91" s="3"/>
      <c r="G91" s="3"/>
      <c r="H91" s="3"/>
      <c r="I91" s="3"/>
      <c r="J91" s="3"/>
    </row>
    <row r="92" spans="1:10" x14ac:dyDescent="0.25">
      <c r="A92" s="3"/>
      <c r="B92" s="3"/>
      <c r="C92" s="3"/>
      <c r="D92" s="3"/>
      <c r="E92" s="3"/>
      <c r="F92" s="3"/>
      <c r="G92" s="3"/>
      <c r="H92" s="3"/>
      <c r="I92" s="3"/>
      <c r="J92" s="3"/>
    </row>
    <row r="93" spans="1:10" x14ac:dyDescent="0.25">
      <c r="A93" s="3"/>
      <c r="B93" s="3"/>
      <c r="C93" s="3"/>
      <c r="D93" s="3"/>
      <c r="E93" s="3"/>
      <c r="F93" s="3"/>
      <c r="G93" s="3"/>
      <c r="H93" s="3"/>
      <c r="I93" s="3"/>
      <c r="J93" s="3"/>
    </row>
    <row r="94" spans="1:10" x14ac:dyDescent="0.25">
      <c r="A94" s="3"/>
      <c r="B94" s="3"/>
      <c r="C94" s="3"/>
      <c r="D94" s="3"/>
      <c r="E94" s="3"/>
      <c r="F94" s="3"/>
      <c r="G94" s="3"/>
      <c r="H94" s="3"/>
      <c r="I94" s="3"/>
      <c r="J94" s="3"/>
    </row>
    <row r="95" spans="1:10" x14ac:dyDescent="0.25">
      <c r="A95" s="3"/>
      <c r="B95" s="3"/>
      <c r="C95" s="3"/>
      <c r="D95" s="3"/>
      <c r="E95" s="3"/>
      <c r="F95" s="3"/>
      <c r="G95" s="3"/>
      <c r="H95" s="3"/>
      <c r="I95" s="3"/>
      <c r="J95" s="3"/>
    </row>
    <row r="96" spans="1:10" x14ac:dyDescent="0.25">
      <c r="A96" s="3"/>
      <c r="B96" s="3"/>
      <c r="C96" s="3"/>
      <c r="D96" s="3"/>
      <c r="E96" s="3"/>
      <c r="F96" s="3"/>
      <c r="G96" s="3"/>
      <c r="H96" s="3"/>
      <c r="I96" s="3"/>
      <c r="J96" s="3"/>
    </row>
    <row r="97" spans="1:10" x14ac:dyDescent="0.25">
      <c r="A97" s="3"/>
      <c r="B97" s="3"/>
      <c r="C97" s="3"/>
      <c r="D97" s="3"/>
      <c r="E97" s="3"/>
      <c r="F97" s="3"/>
      <c r="G97" s="3"/>
      <c r="H97" s="3"/>
      <c r="I97" s="3"/>
      <c r="J97" s="3"/>
    </row>
    <row r="98" spans="1:10" x14ac:dyDescent="0.25">
      <c r="A98" s="3"/>
      <c r="B98" s="3"/>
      <c r="C98" s="3"/>
      <c r="D98" s="3"/>
      <c r="E98" s="3"/>
      <c r="F98" s="3"/>
      <c r="G98" s="3"/>
      <c r="H98" s="3"/>
      <c r="I98" s="3"/>
      <c r="J98" s="3"/>
    </row>
    <row r="99" spans="1:10" x14ac:dyDescent="0.25">
      <c r="A99" s="3"/>
      <c r="B99" s="3"/>
      <c r="C99" s="3"/>
      <c r="D99" s="3"/>
      <c r="E99" s="3"/>
      <c r="F99" s="3"/>
      <c r="G99" s="3"/>
      <c r="H99" s="3"/>
      <c r="I99" s="3"/>
      <c r="J99" s="3"/>
    </row>
    <row r="100" spans="1:10" x14ac:dyDescent="0.25">
      <c r="A100" s="3"/>
      <c r="B100" s="3"/>
      <c r="C100" s="3"/>
      <c r="D100" s="3"/>
      <c r="E100" s="3"/>
      <c r="F100" s="3"/>
      <c r="G100" s="3"/>
      <c r="H100" s="3"/>
      <c r="I100" s="3"/>
      <c r="J100" s="3"/>
    </row>
    <row r="101" spans="1:10" x14ac:dyDescent="0.25">
      <c r="A101" s="3"/>
      <c r="B101" s="3"/>
      <c r="C101" s="3"/>
      <c r="D101" s="3"/>
      <c r="E101" s="3"/>
      <c r="F101" s="3"/>
      <c r="G101" s="3"/>
      <c r="H101" s="3"/>
      <c r="I101" s="3"/>
      <c r="J101" s="3"/>
    </row>
    <row r="102" spans="1:10" x14ac:dyDescent="0.25">
      <c r="A102" s="3"/>
      <c r="B102" s="3"/>
      <c r="C102" s="3"/>
      <c r="D102" s="3"/>
      <c r="E102" s="3"/>
      <c r="F102" s="3"/>
      <c r="G102" s="3"/>
      <c r="H102" s="3"/>
      <c r="I102" s="3"/>
      <c r="J102" s="3"/>
    </row>
    <row r="103" spans="1:10" x14ac:dyDescent="0.25">
      <c r="A103" s="3"/>
      <c r="B103" s="3"/>
      <c r="C103" s="3"/>
      <c r="D103" s="3"/>
      <c r="E103" s="3"/>
      <c r="F103" s="3"/>
      <c r="G103" s="3"/>
      <c r="H103" s="3"/>
      <c r="I103" s="3"/>
      <c r="J103" s="3"/>
    </row>
    <row r="104" spans="1:10" x14ac:dyDescent="0.25">
      <c r="A104" s="3"/>
      <c r="B104" s="3"/>
      <c r="C104" s="3"/>
      <c r="D104" s="3"/>
      <c r="E104" s="3"/>
      <c r="F104" s="3"/>
      <c r="G104" s="3"/>
      <c r="H104" s="3"/>
      <c r="I104" s="3"/>
      <c r="J104" s="3"/>
    </row>
    <row r="105" spans="1:10" x14ac:dyDescent="0.25">
      <c r="A105" s="3"/>
      <c r="B105" s="3"/>
      <c r="C105" s="3"/>
      <c r="D105" s="3"/>
      <c r="E105" s="3"/>
      <c r="F105" s="3"/>
      <c r="G105" s="3"/>
      <c r="H105" s="3"/>
      <c r="I105" s="3"/>
      <c r="J105" s="3"/>
    </row>
    <row r="106" spans="1:10" x14ac:dyDescent="0.25">
      <c r="A106" s="3"/>
      <c r="B106" s="3"/>
      <c r="C106" s="3"/>
      <c r="D106" s="3"/>
      <c r="E106" s="3"/>
      <c r="F106" s="3"/>
      <c r="G106" s="3"/>
      <c r="H106" s="3"/>
      <c r="I106" s="3"/>
      <c r="J106" s="3"/>
    </row>
    <row r="107" spans="1:10" x14ac:dyDescent="0.25">
      <c r="A107" s="3"/>
      <c r="B107" s="3"/>
      <c r="C107" s="3"/>
      <c r="D107" s="3"/>
      <c r="E107" s="3"/>
      <c r="F107" s="3"/>
      <c r="G107" s="3"/>
      <c r="H107" s="3"/>
      <c r="I107" s="3"/>
      <c r="J107" s="3"/>
    </row>
    <row r="108" spans="1:10" x14ac:dyDescent="0.25">
      <c r="A108" s="3"/>
      <c r="B108" s="3"/>
      <c r="C108" s="3"/>
      <c r="D108" s="3"/>
      <c r="E108" s="3"/>
      <c r="F108" s="3"/>
      <c r="G108" s="3"/>
      <c r="H108" s="3"/>
      <c r="I108" s="3"/>
      <c r="J108" s="3"/>
    </row>
    <row r="109" spans="1:10" x14ac:dyDescent="0.25">
      <c r="A109" s="3"/>
      <c r="B109" s="3"/>
      <c r="C109" s="3"/>
      <c r="D109" s="3"/>
      <c r="E109" s="3"/>
      <c r="F109" s="3"/>
      <c r="G109" s="3"/>
      <c r="H109" s="3"/>
      <c r="I109" s="3"/>
      <c r="J109" s="3"/>
    </row>
    <row r="110" spans="1:10" x14ac:dyDescent="0.25">
      <c r="A110" s="3"/>
      <c r="B110" s="3"/>
      <c r="C110" s="3"/>
      <c r="D110" s="3"/>
      <c r="E110" s="3"/>
      <c r="F110" s="3"/>
      <c r="G110" s="3"/>
      <c r="H110" s="3"/>
      <c r="I110" s="3"/>
      <c r="J110" s="3"/>
    </row>
    <row r="111" spans="1:10" x14ac:dyDescent="0.25">
      <c r="A111" s="3"/>
      <c r="B111" s="3"/>
      <c r="C111" s="3"/>
      <c r="D111" s="3"/>
      <c r="E111" s="3"/>
      <c r="F111" s="3"/>
      <c r="G111" s="3"/>
      <c r="H111" s="3"/>
      <c r="I111" s="3"/>
      <c r="J111" s="3"/>
    </row>
    <row r="112" spans="1:10" x14ac:dyDescent="0.25">
      <c r="A112" s="3"/>
      <c r="B112" s="3"/>
      <c r="C112" s="3"/>
      <c r="D112" s="3"/>
      <c r="E112" s="3"/>
      <c r="F112" s="3"/>
      <c r="G112" s="3"/>
      <c r="H112" s="3"/>
      <c r="I112" s="3"/>
      <c r="J112" s="3"/>
    </row>
    <row r="113" spans="1:10" x14ac:dyDescent="0.25">
      <c r="A113" s="3"/>
      <c r="B113" s="3"/>
      <c r="C113" s="3"/>
      <c r="D113" s="3"/>
      <c r="E113" s="3"/>
      <c r="F113" s="3"/>
      <c r="G113" s="3"/>
      <c r="H113" s="3"/>
      <c r="I113" s="3"/>
      <c r="J113" s="3"/>
    </row>
    <row r="114" spans="1:10" x14ac:dyDescent="0.25">
      <c r="A114" s="3"/>
      <c r="B114" s="3"/>
      <c r="C114" s="3"/>
      <c r="D114" s="3"/>
      <c r="E114" s="3"/>
      <c r="F114" s="3"/>
      <c r="G114" s="3"/>
      <c r="H114" s="3"/>
      <c r="I114" s="3"/>
      <c r="J114" s="3"/>
    </row>
    <row r="115" spans="1:10" x14ac:dyDescent="0.25">
      <c r="A115" s="3"/>
      <c r="B115" s="3"/>
      <c r="C115" s="3"/>
      <c r="D115" s="3"/>
      <c r="E115" s="3"/>
      <c r="F115" s="3"/>
      <c r="G115" s="3"/>
      <c r="H115" s="3"/>
      <c r="I115" s="3"/>
      <c r="J115" s="3"/>
    </row>
    <row r="116" spans="1:10" x14ac:dyDescent="0.25">
      <c r="A116" s="3"/>
      <c r="B116" s="3"/>
      <c r="C116" s="3"/>
      <c r="D116" s="3"/>
      <c r="E116" s="3"/>
      <c r="F116" s="3"/>
      <c r="G116" s="3"/>
      <c r="H116" s="3"/>
      <c r="I116" s="3"/>
      <c r="J116" s="3"/>
    </row>
    <row r="117" spans="1:10" x14ac:dyDescent="0.25">
      <c r="A117" s="3"/>
      <c r="B117" s="3"/>
      <c r="C117" s="3"/>
      <c r="D117" s="3"/>
      <c r="E117" s="3"/>
      <c r="F117" s="3"/>
      <c r="G117" s="3"/>
      <c r="H117" s="3"/>
      <c r="I117" s="3"/>
      <c r="J117" s="3"/>
    </row>
    <row r="118" spans="1:10" x14ac:dyDescent="0.25">
      <c r="A118" s="3"/>
      <c r="B118" s="3"/>
      <c r="C118" s="3"/>
      <c r="D118" s="3"/>
      <c r="E118" s="3"/>
      <c r="F118" s="3"/>
      <c r="G118" s="3"/>
      <c r="H118" s="3"/>
      <c r="I118" s="3"/>
      <c r="J118" s="3"/>
    </row>
    <row r="119" spans="1:10" x14ac:dyDescent="0.25">
      <c r="A119" s="3"/>
      <c r="B119" s="3"/>
      <c r="C119" s="3"/>
      <c r="D119" s="3"/>
      <c r="E119" s="3"/>
      <c r="F119" s="3"/>
      <c r="G119" s="3"/>
      <c r="H119" s="3"/>
      <c r="I119" s="3"/>
      <c r="J119" s="3"/>
    </row>
    <row r="120" spans="1:10" x14ac:dyDescent="0.25">
      <c r="A120" s="3"/>
      <c r="B120" s="3"/>
      <c r="C120" s="3"/>
      <c r="D120" s="3"/>
      <c r="E120" s="3"/>
      <c r="F120" s="3"/>
      <c r="G120" s="3"/>
      <c r="H120" s="3"/>
      <c r="I120" s="3"/>
      <c r="J120" s="3"/>
    </row>
    <row r="121" spans="1:10" x14ac:dyDescent="0.25">
      <c r="A121" s="3"/>
      <c r="B121" s="3"/>
      <c r="C121" s="3"/>
      <c r="D121" s="3"/>
      <c r="E121" s="3"/>
      <c r="F121" s="3"/>
      <c r="G121" s="3"/>
      <c r="H121" s="3"/>
      <c r="I121" s="3"/>
      <c r="J121" s="3"/>
    </row>
    <row r="122" spans="1:10" x14ac:dyDescent="0.25">
      <c r="A122" s="3"/>
      <c r="B122" s="3"/>
      <c r="C122" s="3"/>
      <c r="D122" s="3"/>
      <c r="E122" s="3"/>
      <c r="F122" s="3"/>
      <c r="G122" s="3"/>
      <c r="H122" s="3"/>
      <c r="I122" s="3"/>
      <c r="J122" s="3"/>
    </row>
    <row r="123" spans="1:10" x14ac:dyDescent="0.25">
      <c r="A123" s="3"/>
      <c r="B123" s="3"/>
      <c r="C123" s="3"/>
      <c r="D123" s="3"/>
      <c r="E123" s="3"/>
      <c r="F123" s="3"/>
      <c r="G123" s="3"/>
      <c r="H123" s="3"/>
      <c r="I123" s="3"/>
      <c r="J123" s="3"/>
    </row>
    <row r="124" spans="1:10" x14ac:dyDescent="0.25">
      <c r="A124" s="3"/>
      <c r="B124" s="3"/>
      <c r="C124" s="3"/>
      <c r="D124" s="3"/>
      <c r="E124" s="3"/>
      <c r="F124" s="3"/>
      <c r="G124" s="3"/>
      <c r="H124" s="3"/>
      <c r="I124" s="3"/>
      <c r="J124" s="3"/>
    </row>
    <row r="125" spans="1:10" x14ac:dyDescent="0.25">
      <c r="A125" s="3"/>
      <c r="B125" s="3"/>
      <c r="C125" s="3"/>
      <c r="D125" s="3"/>
      <c r="E125" s="3"/>
      <c r="F125" s="3"/>
      <c r="G125" s="3"/>
      <c r="H125" s="3"/>
      <c r="I125" s="3"/>
      <c r="J125" s="3"/>
    </row>
    <row r="126" spans="1:10" x14ac:dyDescent="0.25">
      <c r="A126" s="3"/>
      <c r="B126" s="3"/>
      <c r="C126" s="3"/>
      <c r="D126" s="3"/>
      <c r="E126" s="3"/>
      <c r="F126" s="3"/>
      <c r="G126" s="3"/>
      <c r="H126" s="3"/>
      <c r="I126" s="3"/>
      <c r="J126" s="3"/>
    </row>
    <row r="127" spans="1:10" x14ac:dyDescent="0.25">
      <c r="A127" s="3"/>
      <c r="B127" s="3"/>
      <c r="C127" s="3"/>
      <c r="D127" s="3"/>
      <c r="E127" s="3"/>
      <c r="F127" s="3"/>
      <c r="G127" s="3"/>
      <c r="H127" s="3"/>
      <c r="I127" s="3"/>
      <c r="J127" s="3"/>
    </row>
    <row r="128" spans="1:10" x14ac:dyDescent="0.25">
      <c r="A128" s="3"/>
      <c r="B128" s="3"/>
      <c r="C128" s="3"/>
      <c r="D128" s="3"/>
      <c r="E128" s="3"/>
      <c r="F128" s="3"/>
      <c r="G128" s="3"/>
      <c r="H128" s="3"/>
      <c r="I128" s="3"/>
      <c r="J128" s="3"/>
    </row>
    <row r="129" spans="1:10" x14ac:dyDescent="0.25">
      <c r="A129" s="3"/>
      <c r="B129" s="3"/>
      <c r="C129" s="3"/>
      <c r="D129" s="3"/>
      <c r="E129" s="3"/>
      <c r="F129" s="3"/>
      <c r="G129" s="3"/>
      <c r="H129" s="3"/>
      <c r="I129" s="3"/>
      <c r="J129" s="3"/>
    </row>
    <row r="130" spans="1:10" x14ac:dyDescent="0.25">
      <c r="A130" s="3"/>
      <c r="B130" s="3"/>
      <c r="C130" s="3"/>
      <c r="D130" s="3"/>
      <c r="E130" s="3"/>
      <c r="F130" s="3"/>
      <c r="G130" s="3"/>
      <c r="H130" s="3"/>
      <c r="I130" s="3"/>
      <c r="J130" s="3"/>
    </row>
    <row r="131" spans="1:10" x14ac:dyDescent="0.25">
      <c r="A131" s="3"/>
      <c r="B131" s="3"/>
      <c r="C131" s="3"/>
      <c r="D131" s="3"/>
      <c r="E131" s="3"/>
      <c r="F131" s="3"/>
      <c r="G131" s="3"/>
      <c r="H131" s="3"/>
      <c r="I131" s="3"/>
      <c r="J131" s="3"/>
    </row>
    <row r="132" spans="1:10" x14ac:dyDescent="0.25">
      <c r="A132" s="3"/>
      <c r="B132" s="3"/>
      <c r="C132" s="3"/>
      <c r="D132" s="3"/>
      <c r="E132" s="3"/>
      <c r="F132" s="3"/>
      <c r="G132" s="3"/>
      <c r="H132" s="3"/>
      <c r="I132" s="3"/>
      <c r="J132" s="3"/>
    </row>
    <row r="133" spans="1:10" x14ac:dyDescent="0.25">
      <c r="A133" s="3"/>
      <c r="B133" s="3"/>
      <c r="C133" s="3"/>
      <c r="D133" s="3"/>
      <c r="E133" s="3"/>
      <c r="F133" s="3"/>
      <c r="G133" s="3"/>
      <c r="H133" s="3"/>
      <c r="I133" s="3"/>
      <c r="J133" s="3"/>
    </row>
    <row r="134" spans="1:10" x14ac:dyDescent="0.25">
      <c r="A134" s="3"/>
      <c r="B134" s="3"/>
      <c r="C134" s="3"/>
      <c r="D134" s="3"/>
      <c r="E134" s="3"/>
      <c r="F134" s="3"/>
      <c r="G134" s="3"/>
      <c r="H134" s="3"/>
      <c r="I134" s="3"/>
      <c r="J134" s="3"/>
    </row>
    <row r="135" spans="1:10" x14ac:dyDescent="0.25">
      <c r="A135" s="3"/>
      <c r="B135" s="3"/>
      <c r="C135" s="3"/>
      <c r="D135" s="3"/>
      <c r="E135" s="3"/>
      <c r="F135" s="3"/>
      <c r="G135" s="3"/>
      <c r="H135" s="3"/>
      <c r="I135" s="3"/>
      <c r="J135" s="3"/>
    </row>
    <row r="136" spans="1:10" x14ac:dyDescent="0.25">
      <c r="A136" s="3"/>
      <c r="B136" s="3"/>
      <c r="C136" s="3"/>
      <c r="D136" s="3"/>
      <c r="E136" s="3"/>
      <c r="F136" s="3"/>
      <c r="G136" s="3"/>
      <c r="H136" s="3"/>
      <c r="I136" s="3"/>
      <c r="J136" s="3"/>
    </row>
    <row r="137" spans="1:10" x14ac:dyDescent="0.25">
      <c r="A137" s="3"/>
      <c r="B137" s="3"/>
      <c r="C137" s="3"/>
      <c r="D137" s="3"/>
      <c r="E137" s="3"/>
      <c r="F137" s="3"/>
      <c r="G137" s="3"/>
      <c r="H137" s="3"/>
      <c r="I137" s="3"/>
      <c r="J137" s="3"/>
    </row>
    <row r="138" spans="1:10" x14ac:dyDescent="0.25">
      <c r="A138" s="3"/>
      <c r="B138" s="3"/>
      <c r="C138" s="3"/>
      <c r="D138" s="3"/>
      <c r="E138" s="3"/>
      <c r="F138" s="3"/>
      <c r="G138" s="3"/>
      <c r="H138" s="3"/>
      <c r="I138" s="3"/>
      <c r="J138" s="3"/>
    </row>
    <row r="139" spans="1:10" x14ac:dyDescent="0.25">
      <c r="A139" s="3"/>
      <c r="B139" s="3"/>
      <c r="C139" s="3"/>
      <c r="D139" s="3"/>
      <c r="E139" s="3"/>
      <c r="F139" s="3"/>
      <c r="G139" s="3"/>
      <c r="H139" s="3"/>
      <c r="I139" s="3"/>
      <c r="J139" s="3"/>
    </row>
    <row r="140" spans="1:10" x14ac:dyDescent="0.25">
      <c r="A140" s="3"/>
      <c r="B140" s="3"/>
      <c r="C140" s="3"/>
      <c r="D140" s="3"/>
      <c r="E140" s="3"/>
      <c r="F140" s="3"/>
      <c r="G140" s="3"/>
      <c r="H140" s="3"/>
      <c r="I140" s="3"/>
      <c r="J140" s="3"/>
    </row>
    <row r="141" spans="1:10" x14ac:dyDescent="0.25">
      <c r="A141" s="3"/>
      <c r="B141" s="3"/>
      <c r="C141" s="3"/>
      <c r="D141" s="3"/>
      <c r="E141" s="3"/>
      <c r="F141" s="3"/>
      <c r="G141" s="3"/>
      <c r="H141" s="3"/>
      <c r="I141" s="3"/>
      <c r="J141" s="3"/>
    </row>
    <row r="142" spans="1:10" x14ac:dyDescent="0.25">
      <c r="A142" s="3"/>
      <c r="B142" s="3"/>
      <c r="C142" s="3"/>
      <c r="D142" s="3"/>
      <c r="E142" s="3"/>
      <c r="F142" s="3"/>
      <c r="G142" s="3"/>
      <c r="H142" s="3"/>
      <c r="I142" s="3"/>
      <c r="J142" s="3"/>
    </row>
    <row r="143" spans="1:10" x14ac:dyDescent="0.25">
      <c r="A143" s="3"/>
      <c r="B143" s="3"/>
      <c r="C143" s="3"/>
      <c r="D143" s="3"/>
      <c r="E143" s="3"/>
      <c r="F143" s="3"/>
      <c r="G143" s="3"/>
      <c r="H143" s="3"/>
      <c r="I143" s="3"/>
      <c r="J143" s="3"/>
    </row>
    <row r="144" spans="1:10" x14ac:dyDescent="0.25">
      <c r="A144" s="3"/>
      <c r="B144" s="3"/>
      <c r="C144" s="3"/>
      <c r="D144" s="3"/>
      <c r="E144" s="3"/>
      <c r="F144" s="3"/>
      <c r="G144" s="3"/>
      <c r="H144" s="3"/>
      <c r="I144" s="3"/>
      <c r="J144" s="3"/>
    </row>
    <row r="145" spans="1:10" x14ac:dyDescent="0.25">
      <c r="A145" s="3"/>
      <c r="B145" s="3"/>
      <c r="C145" s="3"/>
      <c r="D145" s="3"/>
      <c r="E145" s="3"/>
      <c r="F145" s="3"/>
      <c r="G145" s="3"/>
      <c r="H145" s="3"/>
      <c r="I145" s="3"/>
      <c r="J145" s="3"/>
    </row>
    <row r="146" spans="1:10" x14ac:dyDescent="0.25">
      <c r="A146" s="3"/>
      <c r="B146" s="3"/>
      <c r="C146" s="3"/>
      <c r="D146" s="3"/>
      <c r="E146" s="3"/>
      <c r="F146" s="3"/>
      <c r="G146" s="3"/>
      <c r="H146" s="3"/>
      <c r="I146" s="3"/>
      <c r="J146" s="3"/>
    </row>
    <row r="147" spans="1:10" x14ac:dyDescent="0.25">
      <c r="A147" s="3"/>
      <c r="B147" s="3"/>
      <c r="C147" s="3"/>
      <c r="D147" s="3"/>
      <c r="E147" s="3"/>
      <c r="F147" s="3"/>
      <c r="G147" s="3"/>
      <c r="H147" s="3"/>
      <c r="I147" s="3"/>
      <c r="J147" s="3"/>
    </row>
    <row r="148" spans="1:10" x14ac:dyDescent="0.25">
      <c r="A148" s="3"/>
      <c r="B148" s="3"/>
      <c r="C148" s="3"/>
      <c r="D148" s="3"/>
      <c r="E148" s="3"/>
      <c r="F148" s="3"/>
      <c r="G148" s="3"/>
      <c r="H148" s="3"/>
      <c r="I148" s="3"/>
      <c r="J148" s="3"/>
    </row>
    <row r="149" spans="1:10" x14ac:dyDescent="0.25">
      <c r="A149" s="3"/>
      <c r="B149" s="3"/>
      <c r="C149" s="3"/>
      <c r="D149" s="3"/>
      <c r="E149" s="3"/>
      <c r="F149" s="3"/>
      <c r="G149" s="3"/>
      <c r="H149" s="3"/>
      <c r="I149" s="3"/>
      <c r="J149" s="3"/>
    </row>
    <row r="150" spans="1:10" x14ac:dyDescent="0.25">
      <c r="A150" s="3"/>
      <c r="B150" s="3"/>
      <c r="C150" s="3"/>
      <c r="D150" s="3"/>
      <c r="E150" s="3"/>
      <c r="F150" s="3"/>
      <c r="G150" s="3"/>
      <c r="H150" s="3"/>
      <c r="I150" s="3"/>
      <c r="J150" s="3"/>
    </row>
    <row r="151" spans="1:10" x14ac:dyDescent="0.25">
      <c r="A151" s="3"/>
      <c r="B151" s="3"/>
      <c r="C151" s="3"/>
      <c r="D151" s="3"/>
      <c r="E151" s="3"/>
      <c r="F151" s="3"/>
      <c r="G151" s="3"/>
      <c r="H151" s="3"/>
      <c r="I151" s="3"/>
      <c r="J151" s="3"/>
    </row>
    <row r="152" spans="1:10" x14ac:dyDescent="0.25">
      <c r="A152" s="3"/>
      <c r="B152" s="3"/>
      <c r="C152" s="3"/>
      <c r="D152" s="3"/>
      <c r="E152" s="3"/>
      <c r="F152" s="3"/>
      <c r="G152" s="3"/>
      <c r="H152" s="3"/>
      <c r="I152" s="3"/>
      <c r="J152" s="3"/>
    </row>
    <row r="153" spans="1:10" x14ac:dyDescent="0.25">
      <c r="A153" s="3"/>
      <c r="B153" s="3"/>
      <c r="C153" s="3"/>
      <c r="D153" s="3"/>
      <c r="E153" s="3"/>
      <c r="F153" s="3"/>
      <c r="G153" s="3"/>
      <c r="H153" s="3"/>
      <c r="I153" s="3"/>
      <c r="J153" s="3"/>
    </row>
    <row r="154" spans="1:10" x14ac:dyDescent="0.25">
      <c r="A154" s="3"/>
      <c r="B154" s="3"/>
      <c r="C154" s="3"/>
      <c r="D154" s="3"/>
      <c r="E154" s="3"/>
      <c r="F154" s="3"/>
      <c r="G154" s="3"/>
      <c r="H154" s="3"/>
      <c r="I154" s="3"/>
      <c r="J154" s="3"/>
    </row>
    <row r="155" spans="1:10" x14ac:dyDescent="0.25">
      <c r="A155" s="3"/>
      <c r="B155" s="3"/>
      <c r="C155" s="3"/>
      <c r="D155" s="3"/>
      <c r="E155" s="3"/>
      <c r="F155" s="3"/>
      <c r="G155" s="3"/>
      <c r="H155" s="3"/>
      <c r="I155" s="3"/>
      <c r="J155" s="3"/>
    </row>
    <row r="156" spans="1:10" x14ac:dyDescent="0.25">
      <c r="A156" s="3"/>
      <c r="B156" s="3"/>
      <c r="C156" s="3"/>
      <c r="D156" s="3"/>
      <c r="E156" s="3"/>
      <c r="F156" s="3"/>
      <c r="G156" s="3"/>
      <c r="H156" s="3"/>
      <c r="I156" s="3"/>
      <c r="J156" s="3"/>
    </row>
    <row r="157" spans="1:10" x14ac:dyDescent="0.25">
      <c r="A157" s="3"/>
      <c r="B157" s="3"/>
      <c r="C157" s="3"/>
      <c r="D157" s="3"/>
      <c r="E157" s="3"/>
      <c r="F157" s="3"/>
      <c r="G157" s="3"/>
      <c r="H157" s="3"/>
      <c r="I157" s="3"/>
      <c r="J157" s="3"/>
    </row>
    <row r="158" spans="1:10" x14ac:dyDescent="0.25">
      <c r="A158" s="3"/>
      <c r="B158" s="3"/>
      <c r="C158" s="3"/>
      <c r="D158" s="3"/>
      <c r="E158" s="3"/>
      <c r="F158" s="3"/>
      <c r="G158" s="3"/>
      <c r="H158" s="3"/>
      <c r="I158" s="3"/>
      <c r="J158" s="3"/>
    </row>
    <row r="159" spans="1:10" x14ac:dyDescent="0.25">
      <c r="A159" s="3"/>
      <c r="B159" s="3"/>
      <c r="C159" s="3"/>
      <c r="D159" s="3"/>
      <c r="E159" s="3"/>
      <c r="F159" s="3"/>
      <c r="G159" s="3"/>
      <c r="H159" s="3"/>
      <c r="I159" s="3"/>
      <c r="J159" s="3"/>
    </row>
    <row r="160" spans="1:10" x14ac:dyDescent="0.25">
      <c r="A160" s="3"/>
      <c r="B160" s="3"/>
      <c r="C160" s="3"/>
      <c r="D160" s="3"/>
      <c r="E160" s="3"/>
      <c r="F160" s="3"/>
      <c r="G160" s="3"/>
      <c r="H160" s="3"/>
      <c r="I160" s="3"/>
      <c r="J160" s="3"/>
    </row>
    <row r="161" spans="1:10" x14ac:dyDescent="0.25">
      <c r="A161" s="3"/>
      <c r="B161" s="3"/>
      <c r="C161" s="3"/>
      <c r="D161" s="3"/>
      <c r="E161" s="3"/>
      <c r="F161" s="3"/>
      <c r="G161" s="3"/>
      <c r="H161" s="3"/>
      <c r="I161" s="3"/>
      <c r="J161" s="3"/>
    </row>
    <row r="162" spans="1:10" x14ac:dyDescent="0.25">
      <c r="A162" s="3"/>
      <c r="B162" s="3"/>
      <c r="C162" s="3"/>
      <c r="D162" s="3"/>
      <c r="E162" s="3"/>
      <c r="F162" s="3"/>
      <c r="G162" s="3"/>
      <c r="H162" s="3"/>
      <c r="I162" s="3"/>
      <c r="J162" s="3"/>
    </row>
    <row r="163" spans="1:10" x14ac:dyDescent="0.25">
      <c r="A163" s="3"/>
      <c r="B163" s="3"/>
      <c r="C163" s="3"/>
      <c r="D163" s="3"/>
      <c r="E163" s="3"/>
      <c r="F163" s="3"/>
      <c r="G163" s="3"/>
      <c r="H163" s="3"/>
      <c r="I163" s="3"/>
      <c r="J163" s="3"/>
    </row>
    <row r="164" spans="1:10" x14ac:dyDescent="0.25">
      <c r="A164" s="3"/>
      <c r="B164" s="3"/>
      <c r="C164" s="3"/>
      <c r="D164" s="3"/>
      <c r="E164" s="3"/>
      <c r="F164" s="3"/>
      <c r="G164" s="3"/>
      <c r="H164" s="3"/>
      <c r="I164" s="3"/>
      <c r="J164" s="3"/>
    </row>
    <row r="165" spans="1:10" x14ac:dyDescent="0.25">
      <c r="A165" s="3"/>
      <c r="B165" s="3"/>
      <c r="C165" s="3"/>
      <c r="D165" s="3"/>
      <c r="E165" s="3"/>
      <c r="F165" s="3"/>
      <c r="G165" s="3"/>
      <c r="H165" s="3"/>
      <c r="I165" s="3"/>
      <c r="J165" s="3"/>
    </row>
    <row r="166" spans="1:10" x14ac:dyDescent="0.25">
      <c r="A166" s="3"/>
      <c r="B166" s="3"/>
      <c r="C166" s="3"/>
      <c r="D166" s="3"/>
      <c r="E166" s="3"/>
      <c r="F166" s="3"/>
      <c r="G166" s="3"/>
      <c r="H166" s="3"/>
      <c r="I166" s="3"/>
      <c r="J166" s="3"/>
    </row>
    <row r="167" spans="1:10" x14ac:dyDescent="0.25">
      <c r="A167" s="3"/>
      <c r="B167" s="3"/>
      <c r="C167" s="3"/>
      <c r="D167" s="3"/>
      <c r="E167" s="3"/>
      <c r="F167" s="3"/>
      <c r="G167" s="3"/>
      <c r="H167" s="3"/>
      <c r="I167" s="3"/>
      <c r="J167" s="3"/>
    </row>
    <row r="168" spans="1:10" x14ac:dyDescent="0.25">
      <c r="A168" s="3"/>
      <c r="B168" s="3"/>
      <c r="C168" s="3"/>
      <c r="D168" s="3"/>
      <c r="E168" s="3"/>
      <c r="F168" s="3"/>
      <c r="G168" s="3"/>
      <c r="H168" s="3"/>
      <c r="I168" s="3"/>
      <c r="J168" s="3"/>
    </row>
    <row r="169" spans="1:10" x14ac:dyDescent="0.25">
      <c r="A169" s="3"/>
      <c r="B169" s="3"/>
      <c r="C169" s="3"/>
      <c r="D169" s="3"/>
      <c r="E169" s="3"/>
      <c r="F169" s="3"/>
      <c r="G169" s="3"/>
      <c r="H169" s="3"/>
      <c r="I169" s="3"/>
      <c r="J169" s="3"/>
    </row>
    <row r="170" spans="1:10" x14ac:dyDescent="0.25">
      <c r="A170" s="3"/>
      <c r="B170" s="3"/>
      <c r="C170" s="3"/>
      <c r="D170" s="3"/>
      <c r="E170" s="3"/>
      <c r="F170" s="3"/>
      <c r="G170" s="3"/>
      <c r="H170" s="3"/>
      <c r="I170" s="3"/>
      <c r="J170" s="3"/>
    </row>
    <row r="171" spans="1:10" x14ac:dyDescent="0.25">
      <c r="A171" s="3"/>
      <c r="B171" s="3"/>
      <c r="C171" s="3"/>
      <c r="D171" s="3"/>
      <c r="E171" s="3"/>
      <c r="F171" s="3"/>
      <c r="G171" s="3"/>
      <c r="H171" s="3"/>
      <c r="I171" s="3"/>
      <c r="J171" s="3"/>
    </row>
    <row r="172" spans="1:10" x14ac:dyDescent="0.25">
      <c r="A172" s="3"/>
      <c r="B172" s="3"/>
      <c r="C172" s="3"/>
      <c r="D172" s="3"/>
      <c r="E172" s="3"/>
      <c r="F172" s="3"/>
      <c r="G172" s="3"/>
      <c r="H172" s="3"/>
      <c r="I172" s="3"/>
      <c r="J172" s="3"/>
    </row>
    <row r="173" spans="1:10" x14ac:dyDescent="0.25">
      <c r="A173" s="3"/>
      <c r="B173" s="3"/>
      <c r="C173" s="3"/>
      <c r="D173" s="3"/>
      <c r="E173" s="3"/>
      <c r="F173" s="3"/>
      <c r="G173" s="3"/>
      <c r="H173" s="3"/>
      <c r="I173" s="3"/>
      <c r="J173" s="3"/>
    </row>
    <row r="174" spans="1:10" x14ac:dyDescent="0.25">
      <c r="A174" s="3"/>
      <c r="B174" s="3"/>
      <c r="C174" s="3"/>
      <c r="D174" s="3"/>
      <c r="E174" s="3"/>
      <c r="F174" s="3"/>
      <c r="G174" s="3"/>
      <c r="H174" s="3"/>
      <c r="I174" s="3"/>
      <c r="J174" s="3"/>
    </row>
    <row r="175" spans="1:10" x14ac:dyDescent="0.25">
      <c r="A175" s="3"/>
      <c r="B175" s="3"/>
      <c r="C175" s="3"/>
      <c r="D175" s="3"/>
      <c r="E175" s="3"/>
      <c r="F175" s="3"/>
      <c r="G175" s="3"/>
      <c r="H175" s="3"/>
      <c r="I175" s="3"/>
      <c r="J175" s="3"/>
    </row>
    <row r="176" spans="1:10" x14ac:dyDescent="0.25">
      <c r="A176" s="3"/>
      <c r="B176" s="3"/>
      <c r="C176" s="3"/>
      <c r="D176" s="3"/>
      <c r="E176" s="3"/>
      <c r="F176" s="3"/>
      <c r="G176" s="3"/>
      <c r="H176" s="3"/>
      <c r="I176" s="3"/>
      <c r="J176" s="3"/>
    </row>
    <row r="177" spans="1:10" x14ac:dyDescent="0.25">
      <c r="A177" s="3"/>
      <c r="B177" s="3"/>
      <c r="C177" s="3"/>
      <c r="D177" s="3"/>
      <c r="E177" s="3"/>
      <c r="F177" s="3"/>
      <c r="G177" s="3"/>
      <c r="H177" s="3"/>
      <c r="I177" s="3"/>
      <c r="J177" s="3"/>
    </row>
    <row r="178" spans="1:10" x14ac:dyDescent="0.25">
      <c r="A178" s="3"/>
      <c r="B178" s="3"/>
      <c r="C178" s="3"/>
      <c r="D178" s="3"/>
      <c r="E178" s="3"/>
      <c r="F178" s="3"/>
      <c r="G178" s="3"/>
      <c r="H178" s="3"/>
      <c r="I178" s="3"/>
      <c r="J178" s="3"/>
    </row>
    <row r="179" spans="1:10" x14ac:dyDescent="0.25">
      <c r="A179" s="3"/>
      <c r="B179" s="3"/>
      <c r="C179" s="3"/>
      <c r="D179" s="3"/>
      <c r="E179" s="3"/>
      <c r="F179" s="3"/>
      <c r="G179" s="3"/>
      <c r="H179" s="3"/>
      <c r="I179" s="3"/>
      <c r="J179" s="3"/>
    </row>
    <row r="180" spans="1:10" x14ac:dyDescent="0.25">
      <c r="A180" s="3"/>
      <c r="B180" s="3"/>
      <c r="C180" s="3"/>
      <c r="D180" s="3"/>
      <c r="E180" s="3"/>
      <c r="F180" s="3"/>
      <c r="G180" s="3"/>
      <c r="H180" s="3"/>
      <c r="I180" s="3"/>
      <c r="J180" s="3"/>
    </row>
    <row r="181" spans="1:10" x14ac:dyDescent="0.25">
      <c r="A181" s="3"/>
      <c r="B181" s="3"/>
      <c r="C181" s="3"/>
      <c r="D181" s="3"/>
      <c r="E181" s="3"/>
      <c r="F181" s="3"/>
      <c r="G181" s="3"/>
      <c r="H181" s="3"/>
      <c r="I181" s="3"/>
      <c r="J181" s="3"/>
    </row>
    <row r="182" spans="1:10" x14ac:dyDescent="0.25">
      <c r="A182" s="3"/>
      <c r="B182" s="3"/>
      <c r="C182" s="3"/>
      <c r="D182" s="3"/>
      <c r="E182" s="3"/>
      <c r="F182" s="3"/>
      <c r="G182" s="3"/>
      <c r="H182" s="3"/>
      <c r="I182" s="3"/>
      <c r="J182" s="3"/>
    </row>
    <row r="183" spans="1:10" x14ac:dyDescent="0.25">
      <c r="A183" s="3"/>
      <c r="B183" s="3"/>
      <c r="C183" s="3"/>
      <c r="D183" s="3"/>
      <c r="E183" s="3"/>
      <c r="F183" s="3"/>
      <c r="G183" s="3"/>
      <c r="H183" s="3"/>
      <c r="I183" s="3"/>
      <c r="J183" s="3"/>
    </row>
    <row r="184" spans="1:10" x14ac:dyDescent="0.25">
      <c r="A184" s="3"/>
      <c r="B184" s="3"/>
      <c r="C184" s="3"/>
      <c r="D184" s="3"/>
      <c r="E184" s="3"/>
      <c r="F184" s="3"/>
      <c r="G184" s="3"/>
      <c r="H184" s="3"/>
      <c r="I184" s="3"/>
      <c r="J184" s="3"/>
    </row>
    <row r="185" spans="1:10" x14ac:dyDescent="0.25">
      <c r="A185" s="3"/>
      <c r="B185" s="3"/>
      <c r="C185" s="3"/>
      <c r="D185" s="3"/>
      <c r="E185" s="3"/>
      <c r="F185" s="3"/>
      <c r="G185" s="3"/>
      <c r="H185" s="3"/>
      <c r="I185" s="3"/>
      <c r="J185" s="3"/>
    </row>
    <row r="186" spans="1:10" x14ac:dyDescent="0.25">
      <c r="A186" s="3"/>
      <c r="B186" s="3"/>
      <c r="C186" s="3"/>
      <c r="D186" s="3"/>
      <c r="E186" s="3"/>
      <c r="F186" s="3"/>
      <c r="G186" s="3"/>
      <c r="H186" s="3"/>
      <c r="I186" s="3"/>
      <c r="J186" s="3"/>
    </row>
    <row r="187" spans="1:10" x14ac:dyDescent="0.25">
      <c r="A187" s="3"/>
      <c r="B187" s="3"/>
      <c r="C187" s="3"/>
      <c r="D187" s="3"/>
      <c r="E187" s="3"/>
      <c r="F187" s="3"/>
      <c r="G187" s="3"/>
      <c r="H187" s="3"/>
      <c r="I187" s="3"/>
      <c r="J187" s="3"/>
    </row>
    <row r="188" spans="1:10" x14ac:dyDescent="0.25">
      <c r="A188" s="3"/>
      <c r="B188" s="3"/>
      <c r="C188" s="3"/>
      <c r="D188" s="3"/>
      <c r="E188" s="3"/>
      <c r="F188" s="3"/>
      <c r="G188" s="3"/>
      <c r="H188" s="3"/>
      <c r="I188" s="3"/>
      <c r="J188" s="3"/>
    </row>
    <row r="189" spans="1:10" x14ac:dyDescent="0.25">
      <c r="A189" s="3"/>
      <c r="B189" s="3"/>
      <c r="C189" s="3"/>
      <c r="D189" s="3"/>
      <c r="E189" s="3"/>
      <c r="F189" s="3"/>
      <c r="G189" s="3"/>
      <c r="H189" s="3"/>
      <c r="I189" s="3"/>
      <c r="J189" s="3"/>
    </row>
    <row r="190" spans="1:10" x14ac:dyDescent="0.25">
      <c r="A190" s="3"/>
      <c r="B190" s="3"/>
      <c r="C190" s="3"/>
      <c r="D190" s="3"/>
      <c r="E190" s="3"/>
      <c r="F190" s="3"/>
      <c r="G190" s="3"/>
      <c r="H190" s="3"/>
      <c r="I190" s="3"/>
      <c r="J190" s="3"/>
    </row>
    <row r="191" spans="1:10" x14ac:dyDescent="0.25">
      <c r="A191" s="3"/>
      <c r="B191" s="3"/>
      <c r="C191" s="3"/>
      <c r="D191" s="3"/>
      <c r="E191" s="3"/>
      <c r="F191" s="3"/>
      <c r="G191" s="3"/>
      <c r="H191" s="3"/>
      <c r="I191" s="3"/>
      <c r="J191" s="3"/>
    </row>
    <row r="192" spans="1:10" x14ac:dyDescent="0.25">
      <c r="A192" s="3"/>
      <c r="B192" s="3"/>
      <c r="C192" s="3"/>
      <c r="D192" s="3"/>
      <c r="E192" s="3"/>
      <c r="F192" s="3"/>
      <c r="G192" s="3"/>
      <c r="H192" s="3"/>
      <c r="I192" s="3"/>
      <c r="J192" s="3"/>
    </row>
    <row r="193" spans="1:10" x14ac:dyDescent="0.25">
      <c r="A193" s="3"/>
      <c r="B193" s="3"/>
      <c r="C193" s="3"/>
      <c r="D193" s="3"/>
      <c r="E193" s="3"/>
      <c r="F193" s="3"/>
      <c r="G193" s="3"/>
      <c r="H193" s="3"/>
      <c r="I193" s="3"/>
      <c r="J193" s="3"/>
    </row>
    <row r="194" spans="1:10" x14ac:dyDescent="0.25">
      <c r="A194" s="3"/>
      <c r="B194" s="3"/>
      <c r="C194" s="3"/>
      <c r="D194" s="3"/>
      <c r="E194" s="3"/>
      <c r="F194" s="3"/>
      <c r="G194" s="3"/>
      <c r="H194" s="3"/>
      <c r="I194" s="3"/>
      <c r="J194" s="3"/>
    </row>
    <row r="195" spans="1:10" x14ac:dyDescent="0.25">
      <c r="A195" s="3"/>
      <c r="B195" s="3"/>
      <c r="C195" s="3"/>
      <c r="D195" s="3"/>
      <c r="E195" s="3"/>
      <c r="F195" s="3"/>
      <c r="G195" s="3"/>
      <c r="H195" s="3"/>
      <c r="I195" s="3"/>
      <c r="J195" s="3"/>
    </row>
    <row r="196" spans="1:10" x14ac:dyDescent="0.25">
      <c r="A196" s="3"/>
      <c r="B196" s="3"/>
      <c r="C196" s="3"/>
      <c r="D196" s="3"/>
      <c r="E196" s="3"/>
      <c r="F196" s="3"/>
      <c r="G196" s="3"/>
      <c r="H196" s="3"/>
      <c r="I196" s="3"/>
      <c r="J196" s="3"/>
    </row>
    <row r="197" spans="1:10" x14ac:dyDescent="0.25">
      <c r="A197" s="3"/>
      <c r="B197" s="3"/>
      <c r="C197" s="3"/>
      <c r="D197" s="3"/>
      <c r="E197" s="3"/>
      <c r="F197" s="3"/>
      <c r="G197" s="3"/>
      <c r="H197" s="3"/>
      <c r="I197" s="3"/>
      <c r="J197" s="3"/>
    </row>
    <row r="198" spans="1:10" x14ac:dyDescent="0.25">
      <c r="A198" s="3"/>
      <c r="B198" s="3"/>
      <c r="C198" s="3"/>
      <c r="D198" s="3"/>
      <c r="E198" s="3"/>
      <c r="F198" s="3"/>
      <c r="G198" s="3"/>
      <c r="H198" s="3"/>
      <c r="I198" s="3"/>
      <c r="J198" s="3"/>
    </row>
    <row r="199" spans="1:10" x14ac:dyDescent="0.25">
      <c r="A199" s="3"/>
      <c r="B199" s="3"/>
      <c r="C199" s="3"/>
      <c r="D199" s="3"/>
      <c r="E199" s="3"/>
      <c r="F199" s="3"/>
      <c r="G199" s="3"/>
      <c r="H199" s="3"/>
      <c r="I199" s="3"/>
      <c r="J199" s="3"/>
    </row>
    <row r="200" spans="1:10" x14ac:dyDescent="0.25">
      <c r="A200" s="3"/>
      <c r="B200" s="3"/>
      <c r="C200" s="3"/>
      <c r="D200" s="3"/>
      <c r="E200" s="3"/>
      <c r="F200" s="3"/>
      <c r="G200" s="3"/>
      <c r="H200" s="3"/>
      <c r="I200" s="3"/>
      <c r="J200" s="3"/>
    </row>
    <row r="201" spans="1:10" x14ac:dyDescent="0.25">
      <c r="A201" s="3"/>
      <c r="B201" s="3"/>
      <c r="C201" s="3"/>
      <c r="D201" s="3"/>
      <c r="E201" s="3"/>
      <c r="F201" s="3"/>
      <c r="G201" s="3"/>
      <c r="H201" s="3"/>
      <c r="I201" s="3"/>
      <c r="J201" s="3"/>
    </row>
    <row r="202" spans="1:10" x14ac:dyDescent="0.25">
      <c r="A202" s="3"/>
      <c r="B202" s="3"/>
      <c r="C202" s="3"/>
      <c r="D202" s="3"/>
      <c r="E202" s="3"/>
      <c r="F202" s="3"/>
      <c r="G202" s="3"/>
      <c r="H202" s="3"/>
      <c r="I202" s="3"/>
      <c r="J202" s="3"/>
    </row>
    <row r="203" spans="1:10" x14ac:dyDescent="0.25">
      <c r="A203" s="3"/>
      <c r="B203" s="3"/>
      <c r="C203" s="3"/>
      <c r="D203" s="3"/>
      <c r="E203" s="3"/>
      <c r="F203" s="3"/>
      <c r="G203" s="3"/>
      <c r="H203" s="3"/>
      <c r="I203" s="3"/>
      <c r="J203" s="3"/>
    </row>
    <row r="204" spans="1:10" x14ac:dyDescent="0.25">
      <c r="A204" s="3"/>
      <c r="B204" s="3"/>
      <c r="C204" s="3"/>
      <c r="D204" s="3"/>
      <c r="E204" s="3"/>
      <c r="F204" s="3"/>
      <c r="G204" s="3"/>
      <c r="H204" s="3"/>
      <c r="I204" s="3"/>
      <c r="J204" s="3"/>
    </row>
    <row r="205" spans="1:10" x14ac:dyDescent="0.25">
      <c r="A205" s="3"/>
      <c r="B205" s="3"/>
      <c r="C205" s="3"/>
      <c r="D205" s="3"/>
      <c r="E205" s="3"/>
      <c r="F205" s="3"/>
      <c r="G205" s="3"/>
      <c r="H205" s="3"/>
      <c r="I205" s="3"/>
      <c r="J205" s="3"/>
    </row>
    <row r="206" spans="1:10" x14ac:dyDescent="0.25">
      <c r="A206" s="3"/>
      <c r="B206" s="3"/>
      <c r="C206" s="3"/>
      <c r="D206" s="3"/>
      <c r="E206" s="3"/>
      <c r="F206" s="3"/>
      <c r="G206" s="3"/>
      <c r="H206" s="3"/>
      <c r="I206" s="3"/>
      <c r="J206" s="3"/>
    </row>
    <row r="207" spans="1:10" x14ac:dyDescent="0.25">
      <c r="A207" s="3"/>
      <c r="B207" s="3"/>
      <c r="C207" s="3"/>
      <c r="D207" s="3"/>
      <c r="E207" s="3"/>
      <c r="F207" s="3"/>
      <c r="G207" s="3"/>
      <c r="H207" s="3"/>
      <c r="I207" s="3"/>
      <c r="J207" s="3"/>
    </row>
    <row r="208" spans="1:10" x14ac:dyDescent="0.25">
      <c r="A208" s="3"/>
      <c r="B208" s="3"/>
      <c r="C208" s="3"/>
      <c r="D208" s="3"/>
      <c r="E208" s="3"/>
      <c r="F208" s="3"/>
      <c r="G208" s="3"/>
      <c r="H208" s="3"/>
      <c r="I208" s="3"/>
      <c r="J208" s="3"/>
    </row>
    <row r="209" spans="1:10" x14ac:dyDescent="0.25">
      <c r="A209" s="3"/>
      <c r="B209" s="3"/>
      <c r="C209" s="3"/>
      <c r="D209" s="3"/>
      <c r="E209" s="3"/>
      <c r="F209" s="3"/>
      <c r="G209" s="3"/>
      <c r="H209" s="3"/>
      <c r="I209" s="3"/>
      <c r="J209" s="3"/>
    </row>
    <row r="210" spans="1:10" x14ac:dyDescent="0.25">
      <c r="A210" s="3"/>
      <c r="B210" s="3"/>
      <c r="C210" s="3"/>
      <c r="D210" s="3"/>
      <c r="E210" s="3"/>
      <c r="F210" s="3"/>
      <c r="G210" s="3"/>
      <c r="H210" s="3"/>
      <c r="I210" s="3"/>
      <c r="J210" s="3"/>
    </row>
    <row r="211" spans="1:10" x14ac:dyDescent="0.25">
      <c r="A211" s="3"/>
      <c r="B211" s="3"/>
      <c r="C211" s="3"/>
      <c r="D211" s="3"/>
      <c r="E211" s="3"/>
      <c r="F211" s="3"/>
      <c r="G211" s="3"/>
      <c r="H211" s="3"/>
      <c r="I211" s="3"/>
      <c r="J211" s="3"/>
    </row>
    <row r="212" spans="1:10" x14ac:dyDescent="0.25">
      <c r="A212" s="3"/>
      <c r="B212" s="3"/>
      <c r="C212" s="3"/>
      <c r="D212" s="3"/>
      <c r="E212" s="3"/>
      <c r="F212" s="3"/>
      <c r="G212" s="3"/>
      <c r="H212" s="3"/>
      <c r="I212" s="3"/>
      <c r="J212" s="3"/>
    </row>
    <row r="213" spans="1:10" x14ac:dyDescent="0.25">
      <c r="A213" s="3"/>
      <c r="B213" s="3"/>
      <c r="C213" s="3"/>
      <c r="D213" s="3"/>
      <c r="E213" s="3"/>
      <c r="F213" s="3"/>
      <c r="G213" s="3"/>
      <c r="H213" s="3"/>
      <c r="I213" s="3"/>
      <c r="J213" s="3"/>
    </row>
    <row r="214" spans="1:10" x14ac:dyDescent="0.25">
      <c r="A214" s="3"/>
      <c r="B214" s="3"/>
      <c r="C214" s="3"/>
      <c r="D214" s="3"/>
      <c r="E214" s="3"/>
      <c r="F214" s="3"/>
      <c r="G214" s="3"/>
      <c r="H214" s="3"/>
      <c r="I214" s="3"/>
      <c r="J214" s="3"/>
    </row>
    <row r="215" spans="1:10" x14ac:dyDescent="0.25">
      <c r="A215" s="3"/>
      <c r="B215" s="3"/>
      <c r="C215" s="3"/>
      <c r="D215" s="3"/>
      <c r="E215" s="3"/>
      <c r="F215" s="3"/>
      <c r="G215" s="3"/>
      <c r="H215" s="3"/>
      <c r="I215" s="3"/>
      <c r="J215" s="3"/>
    </row>
    <row r="216" spans="1:10" x14ac:dyDescent="0.25">
      <c r="A216" s="3"/>
      <c r="B216" s="3"/>
      <c r="C216" s="3"/>
      <c r="D216" s="3"/>
      <c r="E216" s="3"/>
      <c r="F216" s="3"/>
      <c r="G216" s="3"/>
      <c r="H216" s="3"/>
      <c r="I216" s="3"/>
      <c r="J216" s="3"/>
    </row>
    <row r="217" spans="1:10" x14ac:dyDescent="0.25">
      <c r="A217" s="3"/>
      <c r="B217" s="3"/>
      <c r="C217" s="3"/>
      <c r="D217" s="3"/>
      <c r="E217" s="3"/>
      <c r="F217" s="3"/>
      <c r="G217" s="3"/>
      <c r="H217" s="3"/>
      <c r="I217" s="3"/>
      <c r="J217" s="3"/>
    </row>
    <row r="218" spans="1:10" x14ac:dyDescent="0.25">
      <c r="A218" s="3"/>
      <c r="B218" s="3"/>
      <c r="C218" s="3"/>
      <c r="D218" s="3"/>
      <c r="E218" s="3"/>
      <c r="F218" s="3"/>
      <c r="G218" s="3"/>
      <c r="H218" s="3"/>
      <c r="I218" s="3"/>
      <c r="J218" s="3"/>
    </row>
    <row r="219" spans="1:10" x14ac:dyDescent="0.25">
      <c r="A219" s="3"/>
      <c r="B219" s="3"/>
      <c r="C219" s="3"/>
      <c r="D219" s="3"/>
      <c r="E219" s="3"/>
      <c r="F219" s="3"/>
      <c r="G219" s="3"/>
      <c r="H219" s="3"/>
      <c r="I219" s="3"/>
      <c r="J219" s="3"/>
    </row>
    <row r="220" spans="1:10" x14ac:dyDescent="0.25">
      <c r="A220" s="3"/>
      <c r="B220" s="3"/>
      <c r="C220" s="3"/>
      <c r="D220" s="3"/>
      <c r="E220" s="3"/>
      <c r="F220" s="3"/>
      <c r="G220" s="3"/>
      <c r="H220" s="3"/>
      <c r="I220" s="3"/>
      <c r="J220" s="3"/>
    </row>
    <row r="221" spans="1:10" x14ac:dyDescent="0.25">
      <c r="A221" s="3"/>
      <c r="B221" s="3"/>
      <c r="C221" s="3"/>
      <c r="D221" s="3"/>
      <c r="E221" s="3"/>
      <c r="F221" s="3"/>
      <c r="G221" s="3"/>
      <c r="H221" s="3"/>
      <c r="I221" s="3"/>
      <c r="J221" s="3"/>
    </row>
    <row r="222" spans="1:10" x14ac:dyDescent="0.25">
      <c r="A222" s="3"/>
      <c r="B222" s="3"/>
      <c r="C222" s="3"/>
      <c r="D222" s="3"/>
      <c r="E222" s="3"/>
      <c r="F222" s="3"/>
      <c r="G222" s="3"/>
      <c r="H222" s="3"/>
      <c r="I222" s="3"/>
      <c r="J222" s="3"/>
    </row>
    <row r="223" spans="1:10" x14ac:dyDescent="0.25">
      <c r="A223" s="3"/>
      <c r="B223" s="3"/>
      <c r="C223" s="3"/>
      <c r="D223" s="3"/>
      <c r="E223" s="3"/>
      <c r="F223" s="3"/>
      <c r="G223" s="3"/>
      <c r="H223" s="3"/>
      <c r="I223" s="3"/>
      <c r="J223" s="3"/>
    </row>
    <row r="224" spans="1:10" x14ac:dyDescent="0.25">
      <c r="A224" s="3"/>
      <c r="B224" s="3"/>
      <c r="C224" s="3"/>
      <c r="D224" s="3"/>
      <c r="E224" s="3"/>
      <c r="F224" s="3"/>
      <c r="G224" s="3"/>
      <c r="H224" s="3"/>
      <c r="I224" s="3"/>
      <c r="J224" s="3"/>
    </row>
    <row r="225" spans="1:10" x14ac:dyDescent="0.25">
      <c r="A225" s="3"/>
      <c r="B225" s="3"/>
      <c r="C225" s="3"/>
      <c r="D225" s="3"/>
      <c r="E225" s="3"/>
      <c r="F225" s="3"/>
      <c r="G225" s="3"/>
      <c r="H225" s="3"/>
      <c r="I225" s="3"/>
      <c r="J225" s="3"/>
    </row>
    <row r="226" spans="1:10" x14ac:dyDescent="0.25">
      <c r="A226" s="3"/>
      <c r="B226" s="3"/>
      <c r="C226" s="3"/>
      <c r="D226" s="3"/>
      <c r="E226" s="3"/>
      <c r="F226" s="3"/>
      <c r="G226" s="3"/>
      <c r="H226" s="3"/>
      <c r="I226" s="3"/>
      <c r="J226" s="3"/>
    </row>
    <row r="227" spans="1:10" x14ac:dyDescent="0.25">
      <c r="A227" s="3"/>
      <c r="B227" s="3"/>
      <c r="C227" s="3"/>
      <c r="D227" s="3"/>
      <c r="E227" s="3"/>
      <c r="F227" s="3"/>
      <c r="G227" s="3"/>
      <c r="H227" s="3"/>
      <c r="I227" s="3"/>
      <c r="J227" s="3"/>
    </row>
    <row r="228" spans="1:10" x14ac:dyDescent="0.25">
      <c r="A228" s="3"/>
      <c r="B228" s="3"/>
      <c r="C228" s="3"/>
      <c r="D228" s="3"/>
      <c r="E228" s="3"/>
      <c r="F228" s="3"/>
      <c r="G228" s="3"/>
      <c r="H228" s="3"/>
      <c r="I228" s="3"/>
      <c r="J228" s="3"/>
    </row>
    <row r="229" spans="1:10" x14ac:dyDescent="0.25">
      <c r="A229" s="3"/>
      <c r="B229" s="3"/>
      <c r="C229" s="3"/>
      <c r="D229" s="3"/>
      <c r="E229" s="3"/>
      <c r="F229" s="3"/>
      <c r="G229" s="3"/>
      <c r="H229" s="3"/>
      <c r="I229" s="3"/>
      <c r="J229" s="3"/>
    </row>
    <row r="230" spans="1:10" x14ac:dyDescent="0.25">
      <c r="A230" s="3"/>
      <c r="B230" s="3"/>
      <c r="C230" s="3"/>
      <c r="D230" s="3"/>
      <c r="E230" s="3"/>
      <c r="F230" s="3"/>
      <c r="G230" s="3"/>
      <c r="H230" s="3"/>
      <c r="I230" s="3"/>
      <c r="J230" s="3"/>
    </row>
    <row r="231" spans="1:10" x14ac:dyDescent="0.25">
      <c r="A231" s="3"/>
      <c r="B231" s="3"/>
      <c r="C231" s="3"/>
      <c r="D231" s="3"/>
      <c r="E231" s="3"/>
      <c r="F231" s="3"/>
      <c r="G231" s="3"/>
      <c r="H231" s="3"/>
      <c r="I231" s="3"/>
      <c r="J231" s="3"/>
    </row>
    <row r="232" spans="1:10" x14ac:dyDescent="0.25">
      <c r="A232" s="3"/>
      <c r="B232" s="3"/>
      <c r="C232" s="3"/>
      <c r="D232" s="3"/>
      <c r="E232" s="3"/>
      <c r="F232" s="3"/>
      <c r="G232" s="3"/>
      <c r="H232" s="3"/>
      <c r="I232" s="3"/>
      <c r="J232" s="3"/>
    </row>
    <row r="233" spans="1:10" x14ac:dyDescent="0.25">
      <c r="A233" s="3"/>
      <c r="B233" s="3"/>
      <c r="C233" s="3"/>
      <c r="D233" s="3"/>
      <c r="E233" s="3"/>
      <c r="F233" s="3"/>
      <c r="G233" s="3"/>
      <c r="H233" s="3"/>
      <c r="I233" s="3"/>
      <c r="J233" s="3"/>
    </row>
    <row r="234" spans="1:10" x14ac:dyDescent="0.25">
      <c r="A234" s="3"/>
      <c r="B234" s="3"/>
      <c r="C234" s="3"/>
      <c r="D234" s="3"/>
      <c r="E234" s="3"/>
      <c r="F234" s="3"/>
      <c r="G234" s="3"/>
      <c r="H234" s="3"/>
      <c r="I234" s="3"/>
      <c r="J234" s="3"/>
    </row>
    <row r="235" spans="1:10" x14ac:dyDescent="0.25">
      <c r="A235" s="3"/>
      <c r="B235" s="3"/>
      <c r="C235" s="3"/>
      <c r="D235" s="3"/>
      <c r="E235" s="3"/>
      <c r="F235" s="3"/>
      <c r="G235" s="3"/>
      <c r="H235" s="3"/>
      <c r="I235" s="3"/>
      <c r="J235" s="3"/>
    </row>
    <row r="236" spans="1:10" x14ac:dyDescent="0.25">
      <c r="A236" s="3"/>
      <c r="B236" s="3"/>
      <c r="C236" s="3"/>
      <c r="D236" s="3"/>
      <c r="E236" s="3"/>
      <c r="F236" s="3"/>
      <c r="G236" s="3"/>
      <c r="H236" s="3"/>
      <c r="I236" s="3"/>
      <c r="J236" s="3"/>
    </row>
    <row r="237" spans="1:10" x14ac:dyDescent="0.25">
      <c r="A237" s="3"/>
      <c r="B237" s="3"/>
      <c r="C237" s="3"/>
      <c r="D237" s="3"/>
      <c r="E237" s="3"/>
      <c r="F237" s="3"/>
      <c r="G237" s="3"/>
      <c r="H237" s="3"/>
      <c r="I237" s="3"/>
      <c r="J237" s="3"/>
    </row>
    <row r="238" spans="1:10" x14ac:dyDescent="0.25">
      <c r="A238" s="3"/>
      <c r="B238" s="3"/>
      <c r="C238" s="3"/>
      <c r="D238" s="3"/>
      <c r="E238" s="3"/>
      <c r="F238" s="3"/>
      <c r="G238" s="3"/>
      <c r="H238" s="3"/>
      <c r="I238" s="3"/>
      <c r="J238" s="3"/>
    </row>
    <row r="239" spans="1:10" x14ac:dyDescent="0.25">
      <c r="A239" s="3"/>
      <c r="B239" s="3"/>
      <c r="C239" s="3"/>
      <c r="D239" s="3"/>
      <c r="E239" s="3"/>
      <c r="F239" s="3"/>
      <c r="G239" s="3"/>
      <c r="H239" s="3"/>
      <c r="I239" s="3"/>
      <c r="J239" s="3"/>
    </row>
    <row r="240" spans="1:10" x14ac:dyDescent="0.25">
      <c r="A240" s="3"/>
      <c r="B240" s="3"/>
      <c r="C240" s="3"/>
      <c r="D240" s="3"/>
      <c r="E240" s="3"/>
      <c r="F240" s="3"/>
      <c r="G240" s="3"/>
      <c r="H240" s="3"/>
      <c r="I240" s="3"/>
      <c r="J240" s="3"/>
    </row>
    <row r="241" spans="1:10" x14ac:dyDescent="0.25">
      <c r="A241" s="3"/>
      <c r="B241" s="3"/>
      <c r="C241" s="3"/>
      <c r="D241" s="3"/>
      <c r="E241" s="3"/>
      <c r="F241" s="3"/>
      <c r="G241" s="3"/>
      <c r="H241" s="3"/>
      <c r="I241" s="3"/>
      <c r="J241" s="3"/>
    </row>
    <row r="242" spans="1:10" x14ac:dyDescent="0.25">
      <c r="A242" s="3"/>
      <c r="B242" s="3"/>
      <c r="C242" s="3"/>
      <c r="D242" s="3"/>
      <c r="E242" s="3"/>
      <c r="F242" s="3"/>
      <c r="G242" s="3"/>
      <c r="H242" s="3"/>
      <c r="I242" s="3"/>
      <c r="J242" s="3"/>
    </row>
    <row r="243" spans="1:10" x14ac:dyDescent="0.25">
      <c r="A243" s="3"/>
      <c r="B243" s="3"/>
      <c r="C243" s="3"/>
      <c r="D243" s="3"/>
      <c r="E243" s="3"/>
      <c r="F243" s="3"/>
      <c r="G243" s="3"/>
      <c r="H243" s="3"/>
      <c r="I243" s="3"/>
      <c r="J243" s="3"/>
    </row>
    <row r="244" spans="1:10" x14ac:dyDescent="0.25">
      <c r="A244" s="3"/>
      <c r="B244" s="3"/>
      <c r="C244" s="3"/>
      <c r="D244" s="3"/>
      <c r="E244" s="3"/>
      <c r="F244" s="3"/>
      <c r="G244" s="3"/>
      <c r="H244" s="3"/>
      <c r="I244" s="3"/>
      <c r="J244" s="3"/>
    </row>
    <row r="245" spans="1:10" x14ac:dyDescent="0.25">
      <c r="A245" s="3"/>
      <c r="B245" s="3"/>
      <c r="C245" s="3"/>
      <c r="D245" s="3"/>
      <c r="E245" s="3"/>
      <c r="F245" s="3"/>
      <c r="G245" s="3"/>
      <c r="H245" s="3"/>
      <c r="I245" s="3"/>
      <c r="J245" s="3"/>
    </row>
    <row r="246" spans="1:10" x14ac:dyDescent="0.25">
      <c r="A246" s="3"/>
      <c r="B246" s="3"/>
      <c r="C246" s="3"/>
      <c r="D246" s="3"/>
      <c r="E246" s="3"/>
      <c r="F246" s="3"/>
      <c r="G246" s="3"/>
      <c r="H246" s="3"/>
      <c r="I246" s="3"/>
      <c r="J246" s="3"/>
    </row>
    <row r="247" spans="1:10" x14ac:dyDescent="0.25">
      <c r="A247" s="3"/>
      <c r="B247" s="3"/>
      <c r="C247" s="3"/>
      <c r="D247" s="3"/>
      <c r="E247" s="3"/>
      <c r="F247" s="3"/>
      <c r="G247" s="3"/>
      <c r="H247" s="3"/>
      <c r="I247" s="3"/>
      <c r="J247" s="3"/>
    </row>
    <row r="248" spans="1:10" x14ac:dyDescent="0.25">
      <c r="A248" s="3"/>
      <c r="B248" s="3"/>
      <c r="C248" s="3"/>
      <c r="D248" s="3"/>
      <c r="E248" s="3"/>
      <c r="F248" s="3"/>
      <c r="G248" s="3"/>
      <c r="H248" s="3"/>
      <c r="I248" s="3"/>
      <c r="J248" s="3"/>
    </row>
    <row r="249" spans="1:10" x14ac:dyDescent="0.25">
      <c r="A249" s="3"/>
      <c r="B249" s="3"/>
      <c r="C249" s="3"/>
      <c r="D249" s="3"/>
      <c r="E249" s="3"/>
      <c r="F249" s="3"/>
      <c r="G249" s="3"/>
      <c r="H249" s="3"/>
      <c r="I249" s="3"/>
      <c r="J249" s="3"/>
    </row>
    <row r="250" spans="1:10" x14ac:dyDescent="0.25">
      <c r="A250" s="3"/>
      <c r="B250" s="3"/>
      <c r="C250" s="3"/>
      <c r="D250" s="3"/>
      <c r="E250" s="3"/>
      <c r="F250" s="3"/>
      <c r="G250" s="3"/>
      <c r="H250" s="3"/>
      <c r="I250" s="3"/>
      <c r="J250" s="3"/>
    </row>
    <row r="251" spans="1:10" x14ac:dyDescent="0.25">
      <c r="A251" s="3"/>
      <c r="B251" s="3"/>
      <c r="C251" s="3"/>
      <c r="D251" s="3"/>
      <c r="E251" s="3"/>
      <c r="F251" s="3"/>
      <c r="G251" s="3"/>
      <c r="H251" s="3"/>
      <c r="I251" s="3"/>
      <c r="J251" s="3"/>
    </row>
    <row r="252" spans="1:10" x14ac:dyDescent="0.25">
      <c r="A252" s="3"/>
      <c r="B252" s="3"/>
      <c r="C252" s="3"/>
      <c r="D252" s="3"/>
      <c r="E252" s="3"/>
      <c r="F252" s="3"/>
      <c r="G252" s="3"/>
      <c r="H252" s="3"/>
      <c r="I252" s="3"/>
      <c r="J252" s="3"/>
    </row>
    <row r="253" spans="1:10" x14ac:dyDescent="0.25">
      <c r="A253" s="3"/>
      <c r="B253" s="3"/>
      <c r="C253" s="3"/>
      <c r="D253" s="3"/>
      <c r="E253" s="3"/>
      <c r="F253" s="3"/>
      <c r="G253" s="3"/>
      <c r="H253" s="3"/>
      <c r="I253" s="3"/>
      <c r="J253" s="3"/>
    </row>
    <row r="254" spans="1:10" x14ac:dyDescent="0.25">
      <c r="A254" s="3"/>
      <c r="B254" s="3"/>
      <c r="C254" s="3"/>
      <c r="D254" s="3"/>
      <c r="E254" s="3"/>
      <c r="F254" s="3"/>
      <c r="G254" s="3"/>
      <c r="H254" s="3"/>
      <c r="I254" s="3"/>
      <c r="J254" s="3"/>
    </row>
    <row r="255" spans="1:10" x14ac:dyDescent="0.25">
      <c r="A255" s="3"/>
      <c r="B255" s="3"/>
      <c r="C255" s="3"/>
      <c r="D255" s="3"/>
      <c r="E255" s="3"/>
      <c r="F255" s="3"/>
      <c r="G255" s="3"/>
      <c r="H255" s="3"/>
      <c r="I255" s="3"/>
      <c r="J255" s="3"/>
    </row>
    <row r="256" spans="1:10" x14ac:dyDescent="0.25">
      <c r="A256" s="3"/>
      <c r="B256" s="3"/>
      <c r="C256" s="3"/>
      <c r="D256" s="3"/>
      <c r="E256" s="3"/>
      <c r="F256" s="3"/>
      <c r="G256" s="3"/>
      <c r="H256" s="3"/>
      <c r="I256" s="3"/>
      <c r="J256" s="3"/>
    </row>
    <row r="257" spans="1:10" x14ac:dyDescent="0.25">
      <c r="A257" s="3"/>
      <c r="B257" s="3"/>
      <c r="C257" s="3"/>
      <c r="D257" s="3"/>
      <c r="E257" s="3"/>
      <c r="F257" s="3"/>
      <c r="G257" s="3"/>
      <c r="H257" s="3"/>
      <c r="I257" s="3"/>
      <c r="J257" s="3"/>
    </row>
    <row r="258" spans="1:10" x14ac:dyDescent="0.25">
      <c r="A258" s="3"/>
      <c r="B258" s="3"/>
      <c r="C258" s="3"/>
      <c r="D258" s="3"/>
      <c r="E258" s="3"/>
      <c r="F258" s="3"/>
      <c r="G258" s="3"/>
      <c r="H258" s="3"/>
      <c r="I258" s="3"/>
      <c r="J258" s="3"/>
    </row>
    <row r="259" spans="1:10" x14ac:dyDescent="0.25">
      <c r="A259" s="3"/>
      <c r="B259" s="3"/>
      <c r="C259" s="3"/>
      <c r="D259" s="3"/>
      <c r="E259" s="3"/>
      <c r="F259" s="3"/>
      <c r="G259" s="3"/>
      <c r="H259" s="3"/>
      <c r="I259" s="3"/>
      <c r="J259" s="3"/>
    </row>
    <row r="260" spans="1:10" x14ac:dyDescent="0.25">
      <c r="A260" s="3"/>
      <c r="B260" s="3"/>
      <c r="C260" s="3"/>
      <c r="D260" s="3"/>
      <c r="E260" s="3"/>
      <c r="F260" s="3"/>
      <c r="G260" s="3"/>
      <c r="H260" s="3"/>
      <c r="I260" s="3"/>
      <c r="J260" s="3"/>
    </row>
    <row r="261" spans="1:10" x14ac:dyDescent="0.25">
      <c r="A261" s="3"/>
      <c r="B261" s="3"/>
      <c r="C261" s="3"/>
      <c r="D261" s="3"/>
      <c r="E261" s="3"/>
      <c r="F261" s="3"/>
      <c r="G261" s="3"/>
      <c r="H261" s="3"/>
      <c r="I261" s="3"/>
      <c r="J261" s="3"/>
    </row>
    <row r="262" spans="1:10" x14ac:dyDescent="0.25">
      <c r="A262" s="3"/>
      <c r="B262" s="3"/>
      <c r="C262" s="3"/>
      <c r="D262" s="3"/>
      <c r="E262" s="3"/>
      <c r="F262" s="3"/>
      <c r="G262" s="3"/>
      <c r="H262" s="3"/>
      <c r="I262" s="3"/>
      <c r="J262" s="3"/>
    </row>
    <row r="263" spans="1:10" x14ac:dyDescent="0.25">
      <c r="A263" s="3"/>
      <c r="B263" s="3"/>
      <c r="C263" s="3"/>
      <c r="D263" s="3"/>
      <c r="E263" s="3"/>
      <c r="F263" s="3"/>
      <c r="G263" s="3"/>
      <c r="H263" s="3"/>
      <c r="I263" s="3"/>
      <c r="J263" s="3"/>
    </row>
    <row r="264" spans="1:10" x14ac:dyDescent="0.25">
      <c r="A264" s="3"/>
      <c r="B264" s="3"/>
      <c r="C264" s="3"/>
      <c r="D264" s="3"/>
      <c r="E264" s="3"/>
      <c r="F264" s="3"/>
      <c r="G264" s="3"/>
      <c r="H264" s="3"/>
      <c r="I264" s="3"/>
      <c r="J264" s="3"/>
    </row>
    <row r="265" spans="1:10" x14ac:dyDescent="0.25">
      <c r="A265" s="3"/>
      <c r="B265" s="3"/>
      <c r="C265" s="3"/>
      <c r="D265" s="3"/>
      <c r="E265" s="3"/>
      <c r="F265" s="3"/>
      <c r="G265" s="3"/>
      <c r="H265" s="3"/>
      <c r="I265" s="3"/>
      <c r="J265" s="3"/>
    </row>
    <row r="266" spans="1:10" x14ac:dyDescent="0.25">
      <c r="A266" s="3"/>
      <c r="B266" s="3"/>
      <c r="C266" s="3"/>
      <c r="D266" s="3"/>
      <c r="E266" s="3"/>
      <c r="F266" s="3"/>
      <c r="G266" s="3"/>
      <c r="H266" s="3"/>
      <c r="I266" s="3"/>
      <c r="J266" s="3"/>
    </row>
    <row r="267" spans="1:10" x14ac:dyDescent="0.25">
      <c r="A267" s="3"/>
      <c r="B267" s="3"/>
      <c r="C267" s="3"/>
      <c r="D267" s="3"/>
      <c r="E267" s="3"/>
      <c r="F267" s="3"/>
      <c r="G267" s="3"/>
      <c r="H267" s="3"/>
      <c r="I267" s="3"/>
      <c r="J267" s="3"/>
    </row>
    <row r="268" spans="1:10" x14ac:dyDescent="0.25">
      <c r="A268" s="3"/>
      <c r="B268" s="3"/>
      <c r="C268" s="3"/>
      <c r="D268" s="3"/>
      <c r="E268" s="3"/>
      <c r="F268" s="3"/>
      <c r="G268" s="3"/>
      <c r="H268" s="3"/>
      <c r="I268" s="3"/>
      <c r="J268" s="3"/>
    </row>
    <row r="269" spans="1:10" x14ac:dyDescent="0.25">
      <c r="A269" s="3"/>
      <c r="B269" s="3"/>
      <c r="C269" s="3"/>
      <c r="D269" s="3"/>
      <c r="E269" s="3"/>
      <c r="F269" s="3"/>
      <c r="G269" s="3"/>
      <c r="H269" s="3"/>
      <c r="I269" s="3"/>
      <c r="J269" s="3"/>
    </row>
    <row r="270" spans="1:10" x14ac:dyDescent="0.25">
      <c r="A270" s="3"/>
      <c r="B270" s="3"/>
      <c r="C270" s="3"/>
      <c r="D270" s="3"/>
      <c r="E270" s="3"/>
      <c r="F270" s="3"/>
      <c r="G270" s="3"/>
      <c r="H270" s="3"/>
      <c r="I270" s="3"/>
      <c r="J270" s="3"/>
    </row>
    <row r="271" spans="1:10" x14ac:dyDescent="0.25">
      <c r="A271" s="3"/>
      <c r="B271" s="3"/>
      <c r="C271" s="3"/>
      <c r="D271" s="3"/>
      <c r="E271" s="3"/>
      <c r="F271" s="3"/>
      <c r="G271" s="3"/>
      <c r="H271" s="3"/>
      <c r="I271" s="3"/>
      <c r="J271" s="3"/>
    </row>
    <row r="272" spans="1:10" x14ac:dyDescent="0.25">
      <c r="A272" s="3"/>
      <c r="B272" s="3"/>
      <c r="C272" s="3"/>
      <c r="D272" s="3"/>
      <c r="E272" s="3"/>
      <c r="F272" s="3"/>
      <c r="G272" s="3"/>
      <c r="H272" s="3"/>
      <c r="I272" s="3"/>
      <c r="J272" s="3"/>
    </row>
    <row r="273" spans="1:10" x14ac:dyDescent="0.25">
      <c r="A273" s="3"/>
      <c r="B273" s="3"/>
      <c r="C273" s="3"/>
      <c r="D273" s="3"/>
      <c r="E273" s="3"/>
      <c r="F273" s="3"/>
      <c r="G273" s="3"/>
      <c r="H273" s="3"/>
      <c r="I273" s="3"/>
      <c r="J273" s="3"/>
    </row>
    <row r="274" spans="1:10" x14ac:dyDescent="0.25">
      <c r="A274" s="3"/>
      <c r="B274" s="3"/>
      <c r="C274" s="3"/>
      <c r="D274" s="3"/>
      <c r="E274" s="3"/>
      <c r="F274" s="3"/>
      <c r="G274" s="3"/>
      <c r="H274" s="3"/>
      <c r="I274" s="3"/>
      <c r="J274" s="3"/>
    </row>
    <row r="275" spans="1:10" x14ac:dyDescent="0.25">
      <c r="A275" s="3"/>
      <c r="B275" s="3"/>
      <c r="C275" s="3"/>
      <c r="D275" s="3"/>
      <c r="E275" s="3"/>
      <c r="F275" s="3"/>
      <c r="G275" s="3"/>
      <c r="H275" s="3"/>
      <c r="I275" s="3"/>
      <c r="J275" s="3"/>
    </row>
    <row r="276" spans="1:10" x14ac:dyDescent="0.25">
      <c r="A276" s="3"/>
      <c r="B276" s="3"/>
      <c r="C276" s="3"/>
      <c r="D276" s="3"/>
      <c r="E276" s="3"/>
      <c r="F276" s="3"/>
      <c r="G276" s="3"/>
      <c r="H276" s="3"/>
      <c r="I276" s="3"/>
      <c r="J276" s="3"/>
    </row>
    <row r="277" spans="1:10" x14ac:dyDescent="0.25">
      <c r="A277" s="3"/>
      <c r="B277" s="3"/>
      <c r="C277" s="3"/>
      <c r="D277" s="3"/>
      <c r="E277" s="3"/>
      <c r="F277" s="3"/>
      <c r="G277" s="3"/>
      <c r="H277" s="3"/>
      <c r="I277" s="3"/>
      <c r="J277" s="3"/>
    </row>
    <row r="278" spans="1:10" x14ac:dyDescent="0.25">
      <c r="A278" s="3"/>
      <c r="B278" s="3"/>
      <c r="C278" s="3"/>
      <c r="D278" s="3"/>
      <c r="E278" s="3"/>
      <c r="F278" s="3"/>
      <c r="G278" s="3"/>
      <c r="H278" s="3"/>
      <c r="I278" s="3"/>
      <c r="J278" s="3"/>
    </row>
    <row r="279" spans="1:10" x14ac:dyDescent="0.25">
      <c r="A279" s="3"/>
      <c r="B279" s="3"/>
      <c r="C279" s="3"/>
      <c r="D279" s="3"/>
      <c r="E279" s="3"/>
      <c r="F279" s="3"/>
      <c r="G279" s="3"/>
      <c r="H279" s="3"/>
      <c r="I279" s="3"/>
      <c r="J279" s="3"/>
    </row>
    <row r="280" spans="1:10" x14ac:dyDescent="0.25">
      <c r="A280" s="3"/>
      <c r="B280" s="3"/>
      <c r="C280" s="3"/>
      <c r="D280" s="3"/>
      <c r="E280" s="3"/>
      <c r="F280" s="3"/>
      <c r="G280" s="3"/>
      <c r="H280" s="3"/>
      <c r="I280" s="3"/>
      <c r="J280" s="3"/>
    </row>
    <row r="281" spans="1:10" x14ac:dyDescent="0.25">
      <c r="A281" s="3"/>
      <c r="B281" s="3"/>
      <c r="C281" s="3"/>
      <c r="D281" s="3"/>
      <c r="E281" s="3"/>
      <c r="F281" s="3"/>
      <c r="G281" s="3"/>
      <c r="H281" s="3"/>
      <c r="I281" s="3"/>
      <c r="J281" s="3"/>
    </row>
    <row r="282" spans="1:10" x14ac:dyDescent="0.25">
      <c r="A282" s="3"/>
      <c r="B282" s="3"/>
      <c r="C282" s="3"/>
      <c r="D282" s="3"/>
      <c r="E282" s="3"/>
      <c r="F282" s="3"/>
      <c r="G282" s="3"/>
      <c r="H282" s="3"/>
      <c r="I282" s="3"/>
      <c r="J282" s="3"/>
    </row>
    <row r="283" spans="1:10" x14ac:dyDescent="0.25">
      <c r="A283" s="3"/>
      <c r="B283" s="3"/>
      <c r="C283" s="3"/>
      <c r="D283" s="3"/>
      <c r="E283" s="3"/>
      <c r="F283" s="3"/>
      <c r="G283" s="3"/>
      <c r="H283" s="3"/>
      <c r="I283" s="3"/>
      <c r="J283" s="3"/>
    </row>
    <row r="284" spans="1:10" x14ac:dyDescent="0.25">
      <c r="A284" s="3"/>
      <c r="B284" s="3"/>
      <c r="C284" s="3"/>
      <c r="D284" s="3"/>
      <c r="E284" s="3"/>
      <c r="F284" s="3"/>
      <c r="G284" s="3"/>
      <c r="H284" s="3"/>
      <c r="I284" s="3"/>
      <c r="J284" s="3"/>
    </row>
    <row r="285" spans="1:10" x14ac:dyDescent="0.25">
      <c r="A285" s="3"/>
      <c r="B285" s="3"/>
      <c r="C285" s="3"/>
      <c r="D285" s="3"/>
      <c r="E285" s="3"/>
      <c r="F285" s="3"/>
      <c r="G285" s="3"/>
      <c r="H285" s="3"/>
      <c r="I285" s="3"/>
      <c r="J285" s="3"/>
    </row>
    <row r="286" spans="1:10" x14ac:dyDescent="0.25">
      <c r="A286" s="3"/>
      <c r="B286" s="3"/>
      <c r="C286" s="3"/>
      <c r="D286" s="3"/>
      <c r="E286" s="3"/>
      <c r="F286" s="3"/>
      <c r="G286" s="3"/>
      <c r="H286" s="3"/>
      <c r="I286" s="3"/>
      <c r="J286" s="3"/>
    </row>
    <row r="287" spans="1:10" x14ac:dyDescent="0.25">
      <c r="A287" s="3"/>
      <c r="B287" s="3"/>
      <c r="C287" s="3"/>
      <c r="D287" s="3"/>
      <c r="E287" s="3"/>
      <c r="F287" s="3"/>
      <c r="G287" s="3"/>
      <c r="H287" s="3"/>
      <c r="I287" s="3"/>
      <c r="J287" s="3"/>
    </row>
    <row r="288" spans="1:10" x14ac:dyDescent="0.25">
      <c r="A288" s="3"/>
      <c r="B288" s="3"/>
      <c r="C288" s="3"/>
      <c r="D288" s="3"/>
      <c r="E288" s="3"/>
      <c r="F288" s="3"/>
      <c r="G288" s="3"/>
      <c r="H288" s="3"/>
      <c r="I288" s="3"/>
      <c r="J288" s="3"/>
    </row>
    <row r="289" spans="1:10" x14ac:dyDescent="0.25">
      <c r="A289" s="3"/>
      <c r="B289" s="3"/>
      <c r="C289" s="3"/>
      <c r="D289" s="3"/>
      <c r="E289" s="3"/>
      <c r="F289" s="3"/>
      <c r="G289" s="3"/>
      <c r="H289" s="3"/>
      <c r="I289" s="3"/>
      <c r="J289" s="3"/>
    </row>
    <row r="290" spans="1:10" x14ac:dyDescent="0.25">
      <c r="A290" s="3"/>
      <c r="B290" s="3"/>
      <c r="C290" s="3"/>
      <c r="D290" s="3"/>
      <c r="E290" s="3"/>
      <c r="F290" s="3"/>
      <c r="G290" s="3"/>
      <c r="H290" s="3"/>
      <c r="I290" s="3"/>
      <c r="J290" s="3"/>
    </row>
    <row r="291" spans="1:10" x14ac:dyDescent="0.25">
      <c r="A291" s="3"/>
      <c r="B291" s="3"/>
      <c r="C291" s="3"/>
      <c r="D291" s="3"/>
      <c r="E291" s="3"/>
      <c r="F291" s="3"/>
      <c r="G291" s="3"/>
      <c r="H291" s="3"/>
      <c r="I291" s="3"/>
      <c r="J291" s="3"/>
    </row>
    <row r="292" spans="1:10" x14ac:dyDescent="0.25">
      <c r="A292" s="3"/>
      <c r="B292" s="3"/>
      <c r="C292" s="3"/>
      <c r="D292" s="3"/>
      <c r="E292" s="3"/>
      <c r="F292" s="3"/>
      <c r="G292" s="3"/>
      <c r="H292" s="3"/>
      <c r="I292" s="3"/>
      <c r="J292" s="3"/>
    </row>
    <row r="293" spans="1:10" x14ac:dyDescent="0.25">
      <c r="A293" s="3"/>
      <c r="B293" s="3"/>
      <c r="C293" s="3"/>
      <c r="D293" s="3"/>
      <c r="E293" s="3"/>
      <c r="F293" s="3"/>
      <c r="G293" s="3"/>
      <c r="H293" s="3"/>
      <c r="I293" s="3"/>
      <c r="J293" s="3"/>
    </row>
    <row r="294" spans="1:10" x14ac:dyDescent="0.25">
      <c r="A294" s="3"/>
      <c r="B294" s="3"/>
      <c r="C294" s="3"/>
      <c r="D294" s="3"/>
      <c r="E294" s="3"/>
      <c r="F294" s="3"/>
      <c r="G294" s="3"/>
      <c r="H294" s="3"/>
      <c r="I294" s="3"/>
      <c r="J294" s="3"/>
    </row>
    <row r="295" spans="1:10" x14ac:dyDescent="0.25">
      <c r="A295" s="3"/>
      <c r="B295" s="3"/>
      <c r="C295" s="3"/>
      <c r="D295" s="3"/>
      <c r="E295" s="3"/>
      <c r="F295" s="3"/>
      <c r="G295" s="3"/>
      <c r="H295" s="3"/>
      <c r="I295" s="3"/>
      <c r="J295" s="3"/>
    </row>
    <row r="296" spans="1:10" x14ac:dyDescent="0.25">
      <c r="A296" s="3"/>
      <c r="B296" s="3"/>
      <c r="C296" s="3"/>
      <c r="D296" s="3"/>
      <c r="E296" s="3"/>
      <c r="F296" s="3"/>
      <c r="G296" s="3"/>
      <c r="H296" s="3"/>
      <c r="I296" s="3"/>
      <c r="J296" s="3"/>
    </row>
    <row r="297" spans="1:10" x14ac:dyDescent="0.25">
      <c r="A297" s="3"/>
      <c r="B297" s="3"/>
      <c r="C297" s="3"/>
      <c r="D297" s="3"/>
      <c r="E297" s="3"/>
      <c r="F297" s="3"/>
      <c r="G297" s="3"/>
      <c r="H297" s="3"/>
      <c r="I297" s="3"/>
      <c r="J297" s="3"/>
    </row>
    <row r="298" spans="1:10" x14ac:dyDescent="0.25">
      <c r="A298" s="3"/>
      <c r="B298" s="3"/>
      <c r="C298" s="3"/>
      <c r="D298" s="3"/>
      <c r="E298" s="3"/>
      <c r="F298" s="3"/>
      <c r="G298" s="3"/>
      <c r="H298" s="3"/>
      <c r="I298" s="3"/>
      <c r="J298" s="3"/>
    </row>
    <row r="299" spans="1:10" x14ac:dyDescent="0.25">
      <c r="A299" s="3"/>
      <c r="B299" s="3"/>
      <c r="C299" s="3"/>
      <c r="D299" s="3"/>
      <c r="E299" s="3"/>
      <c r="F299" s="3"/>
      <c r="G299" s="3"/>
      <c r="H299" s="3"/>
      <c r="I299" s="3"/>
      <c r="J299" s="3"/>
    </row>
    <row r="300" spans="1:10" x14ac:dyDescent="0.25">
      <c r="A300" s="3"/>
      <c r="B300" s="3"/>
      <c r="C300" s="3"/>
      <c r="D300" s="3"/>
      <c r="E300" s="3"/>
      <c r="F300" s="3"/>
      <c r="G300" s="3"/>
      <c r="H300" s="3"/>
      <c r="I300" s="3"/>
      <c r="J300" s="3"/>
    </row>
    <row r="301" spans="1:10" x14ac:dyDescent="0.25">
      <c r="A301" s="3"/>
      <c r="B301" s="3"/>
      <c r="C301" s="3"/>
      <c r="D301" s="3"/>
      <c r="E301" s="3"/>
      <c r="F301" s="3"/>
      <c r="G301" s="3"/>
      <c r="H301" s="3"/>
      <c r="I301" s="3"/>
      <c r="J301" s="3"/>
    </row>
    <row r="302" spans="1:10" x14ac:dyDescent="0.25">
      <c r="A302" s="3"/>
      <c r="B302" s="3"/>
      <c r="C302" s="3"/>
      <c r="D302" s="3"/>
      <c r="E302" s="3"/>
      <c r="F302" s="3"/>
      <c r="G302" s="3"/>
      <c r="H302" s="3"/>
      <c r="I302" s="3"/>
      <c r="J302" s="3"/>
    </row>
    <row r="303" spans="1:10" x14ac:dyDescent="0.25">
      <c r="A303" s="3"/>
      <c r="B303" s="3"/>
      <c r="C303" s="3"/>
      <c r="D303" s="3"/>
      <c r="E303" s="3"/>
      <c r="F303" s="3"/>
      <c r="G303" s="3"/>
      <c r="H303" s="3"/>
      <c r="I303" s="3"/>
      <c r="J303" s="3"/>
    </row>
    <row r="304" spans="1:10" x14ac:dyDescent="0.25">
      <c r="A304" s="3"/>
      <c r="B304" s="3"/>
      <c r="C304" s="3"/>
      <c r="D304" s="3"/>
      <c r="E304" s="3"/>
      <c r="F304" s="3"/>
      <c r="G304" s="3"/>
      <c r="H304" s="3"/>
      <c r="I304" s="3"/>
      <c r="J304" s="3"/>
    </row>
    <row r="305" spans="1:10" x14ac:dyDescent="0.25">
      <c r="A305" s="3"/>
      <c r="B305" s="3"/>
      <c r="C305" s="3"/>
      <c r="D305" s="3"/>
      <c r="E305" s="3"/>
      <c r="F305" s="3"/>
      <c r="G305" s="3"/>
      <c r="H305" s="3"/>
      <c r="I305" s="3"/>
      <c r="J305" s="3"/>
    </row>
    <row r="306" spans="1:10" x14ac:dyDescent="0.25">
      <c r="A306" s="3"/>
      <c r="B306" s="3"/>
      <c r="C306" s="3"/>
      <c r="D306" s="3"/>
      <c r="E306" s="3"/>
      <c r="F306" s="3"/>
      <c r="G306" s="3"/>
      <c r="H306" s="3"/>
      <c r="I306" s="3"/>
      <c r="J306" s="3"/>
    </row>
    <row r="307" spans="1:10" x14ac:dyDescent="0.25">
      <c r="A307" s="3"/>
      <c r="B307" s="3"/>
      <c r="C307" s="3"/>
      <c r="D307" s="3"/>
      <c r="E307" s="3"/>
      <c r="F307" s="3"/>
      <c r="G307" s="3"/>
      <c r="H307" s="3"/>
      <c r="I307" s="3"/>
      <c r="J307" s="3"/>
    </row>
    <row r="308" spans="1:10" x14ac:dyDescent="0.25">
      <c r="A308" s="3"/>
      <c r="B308" s="3"/>
      <c r="C308" s="3"/>
      <c r="D308" s="3"/>
      <c r="E308" s="3"/>
      <c r="F308" s="3"/>
      <c r="G308" s="3"/>
      <c r="H308" s="3"/>
      <c r="I308" s="3"/>
      <c r="J308" s="3"/>
    </row>
    <row r="309" spans="1:10" x14ac:dyDescent="0.25">
      <c r="A309" s="3"/>
      <c r="B309" s="3"/>
      <c r="C309" s="3"/>
      <c r="D309" s="3"/>
      <c r="E309" s="3"/>
      <c r="F309" s="3"/>
      <c r="G309" s="3"/>
      <c r="H309" s="3"/>
      <c r="I309" s="3"/>
      <c r="J309" s="3"/>
    </row>
    <row r="310" spans="1:10" x14ac:dyDescent="0.25">
      <c r="A310" s="3"/>
      <c r="B310" s="3"/>
      <c r="C310" s="3"/>
      <c r="D310" s="3"/>
      <c r="E310" s="3"/>
      <c r="F310" s="3"/>
      <c r="G310" s="3"/>
      <c r="H310" s="3"/>
      <c r="I310" s="3"/>
      <c r="J310" s="3"/>
    </row>
    <row r="311" spans="1:10" x14ac:dyDescent="0.25">
      <c r="A311" s="3"/>
      <c r="B311" s="3"/>
      <c r="C311" s="3"/>
      <c r="D311" s="3"/>
      <c r="E311" s="3"/>
      <c r="F311" s="3"/>
      <c r="G311" s="3"/>
      <c r="H311" s="3"/>
      <c r="I311" s="3"/>
      <c r="J311" s="3"/>
    </row>
    <row r="312" spans="1:10" x14ac:dyDescent="0.25">
      <c r="A312" s="3"/>
      <c r="B312" s="3"/>
      <c r="C312" s="3"/>
      <c r="D312" s="3"/>
      <c r="E312" s="3"/>
      <c r="F312" s="3"/>
      <c r="G312" s="3"/>
      <c r="H312" s="3"/>
      <c r="I312" s="3"/>
      <c r="J312" s="3"/>
    </row>
    <row r="313" spans="1:10" x14ac:dyDescent="0.25">
      <c r="A313" s="3"/>
      <c r="B313" s="3"/>
      <c r="C313" s="3"/>
      <c r="D313" s="3"/>
      <c r="E313" s="3"/>
      <c r="F313" s="3"/>
      <c r="G313" s="3"/>
      <c r="H313" s="3"/>
      <c r="I313" s="3"/>
      <c r="J313" s="3"/>
    </row>
    <row r="314" spans="1:10" x14ac:dyDescent="0.25">
      <c r="A314" s="3"/>
      <c r="B314" s="3"/>
      <c r="C314" s="3"/>
      <c r="D314" s="3"/>
      <c r="E314" s="3"/>
      <c r="F314" s="3"/>
      <c r="G314" s="3"/>
      <c r="H314" s="3"/>
      <c r="I314" s="3"/>
      <c r="J314" s="3"/>
    </row>
    <row r="315" spans="1:10" x14ac:dyDescent="0.25">
      <c r="A315" s="3"/>
      <c r="B315" s="3"/>
      <c r="C315" s="3"/>
      <c r="D315" s="3"/>
      <c r="E315" s="3"/>
      <c r="F315" s="3"/>
      <c r="G315" s="3"/>
      <c r="H315" s="3"/>
      <c r="I315" s="3"/>
      <c r="J315" s="3"/>
    </row>
    <row r="316" spans="1:10" x14ac:dyDescent="0.25">
      <c r="A316" s="3"/>
      <c r="B316" s="3"/>
      <c r="C316" s="3"/>
      <c r="D316" s="3"/>
      <c r="E316" s="3"/>
      <c r="F316" s="3"/>
      <c r="G316" s="3"/>
      <c r="H316" s="3"/>
      <c r="I316" s="3"/>
      <c r="J316" s="3"/>
    </row>
    <row r="317" spans="1:10" x14ac:dyDescent="0.25">
      <c r="A317" s="3"/>
      <c r="B317" s="3"/>
      <c r="C317" s="3"/>
      <c r="D317" s="3"/>
      <c r="E317" s="3"/>
      <c r="F317" s="3"/>
      <c r="G317" s="3"/>
      <c r="H317" s="3"/>
      <c r="I317" s="3"/>
      <c r="J317" s="3"/>
    </row>
    <row r="318" spans="1:10" x14ac:dyDescent="0.25">
      <c r="A318" s="3"/>
      <c r="B318" s="3"/>
      <c r="C318" s="3"/>
      <c r="D318" s="3"/>
      <c r="E318" s="3"/>
      <c r="F318" s="3"/>
      <c r="G318" s="3"/>
      <c r="H318" s="3"/>
      <c r="I318" s="3"/>
      <c r="J318" s="3"/>
    </row>
    <row r="319" spans="1:10" x14ac:dyDescent="0.25">
      <c r="A319" s="3"/>
      <c r="B319" s="3"/>
      <c r="C319" s="3"/>
      <c r="D319" s="3"/>
      <c r="E319" s="3"/>
      <c r="F319" s="3"/>
      <c r="G319" s="3"/>
      <c r="H319" s="3"/>
      <c r="I319" s="3"/>
      <c r="J319" s="3"/>
    </row>
    <row r="320" spans="1:10" x14ac:dyDescent="0.25">
      <c r="A320" s="3"/>
      <c r="B320" s="3"/>
      <c r="C320" s="3"/>
      <c r="D320" s="3"/>
      <c r="E320" s="3"/>
      <c r="F320" s="3"/>
      <c r="G320" s="3"/>
      <c r="H320" s="3"/>
      <c r="I320" s="3"/>
      <c r="J320" s="3"/>
    </row>
    <row r="321" spans="1:10" x14ac:dyDescent="0.25">
      <c r="A321" s="3"/>
      <c r="B321" s="3"/>
      <c r="C321" s="3"/>
      <c r="D321" s="3"/>
      <c r="E321" s="3"/>
      <c r="F321" s="3"/>
      <c r="G321" s="3"/>
      <c r="H321" s="3"/>
      <c r="I321" s="3"/>
      <c r="J321" s="3"/>
    </row>
    <row r="322" spans="1:10" x14ac:dyDescent="0.25">
      <c r="A322" s="3"/>
      <c r="B322" s="3"/>
      <c r="C322" s="3"/>
      <c r="D322" s="3"/>
      <c r="E322" s="3"/>
      <c r="F322" s="3"/>
      <c r="G322" s="3"/>
      <c r="H322" s="3"/>
      <c r="I322" s="3"/>
      <c r="J322" s="3"/>
    </row>
    <row r="323" spans="1:10" x14ac:dyDescent="0.25">
      <c r="A323" s="3"/>
      <c r="B323" s="3"/>
      <c r="C323" s="3"/>
      <c r="D323" s="3"/>
      <c r="E323" s="3"/>
      <c r="F323" s="3"/>
      <c r="G323" s="3"/>
      <c r="H323" s="3"/>
      <c r="I323" s="3"/>
      <c r="J323" s="3"/>
    </row>
    <row r="324" spans="1:10" x14ac:dyDescent="0.25">
      <c r="A324" s="3"/>
      <c r="B324" s="3"/>
      <c r="C324" s="3"/>
      <c r="D324" s="3"/>
      <c r="E324" s="3"/>
      <c r="F324" s="3"/>
      <c r="G324" s="3"/>
      <c r="H324" s="3"/>
      <c r="I324" s="3"/>
      <c r="J324" s="3"/>
    </row>
    <row r="325" spans="1:10" x14ac:dyDescent="0.25">
      <c r="A325" s="3"/>
      <c r="B325" s="3"/>
      <c r="C325" s="3"/>
      <c r="D325" s="3"/>
      <c r="E325" s="3"/>
      <c r="F325" s="3"/>
      <c r="G325" s="3"/>
      <c r="H325" s="3"/>
      <c r="I325" s="3"/>
      <c r="J325" s="3"/>
    </row>
    <row r="326" spans="1:10" x14ac:dyDescent="0.25">
      <c r="A326" s="3"/>
      <c r="B326" s="3"/>
      <c r="C326" s="3"/>
      <c r="D326" s="3"/>
      <c r="E326" s="3"/>
      <c r="F326" s="3"/>
      <c r="G326" s="3"/>
      <c r="H326" s="3"/>
      <c r="I326" s="3"/>
      <c r="J326" s="3"/>
    </row>
    <row r="327" spans="1:10" x14ac:dyDescent="0.25">
      <c r="A327" s="3"/>
      <c r="B327" s="3"/>
      <c r="C327" s="3"/>
      <c r="D327" s="3"/>
      <c r="E327" s="3"/>
      <c r="F327" s="3"/>
      <c r="G327" s="3"/>
      <c r="H327" s="3"/>
      <c r="I327" s="3"/>
      <c r="J327" s="3"/>
    </row>
    <row r="328" spans="1:10" x14ac:dyDescent="0.25">
      <c r="A328" s="3"/>
      <c r="B328" s="3"/>
      <c r="C328" s="3"/>
      <c r="D328" s="3"/>
      <c r="E328" s="3"/>
      <c r="F328" s="3"/>
      <c r="G328" s="3"/>
      <c r="H328" s="3"/>
      <c r="I328" s="3"/>
      <c r="J328" s="3"/>
    </row>
    <row r="329" spans="1:10" x14ac:dyDescent="0.25">
      <c r="A329" s="3"/>
      <c r="B329" s="3"/>
      <c r="C329" s="3"/>
      <c r="D329" s="3"/>
      <c r="E329" s="3"/>
      <c r="F329" s="3"/>
      <c r="G329" s="3"/>
      <c r="H329" s="3"/>
      <c r="I329" s="3"/>
      <c r="J329" s="3"/>
    </row>
    <row r="330" spans="1:10" x14ac:dyDescent="0.25">
      <c r="A330" s="3"/>
      <c r="B330" s="3"/>
      <c r="C330" s="3"/>
      <c r="D330" s="3"/>
      <c r="E330" s="3"/>
      <c r="F330" s="3"/>
      <c r="G330" s="3"/>
      <c r="H330" s="3"/>
      <c r="I330" s="3"/>
      <c r="J330" s="3"/>
    </row>
    <row r="331" spans="1:10" x14ac:dyDescent="0.25">
      <c r="A331" s="3"/>
      <c r="B331" s="3"/>
      <c r="C331" s="3"/>
      <c r="D331" s="3"/>
      <c r="E331" s="3"/>
      <c r="F331" s="3"/>
      <c r="G331" s="3"/>
      <c r="H331" s="3"/>
      <c r="I331" s="3"/>
      <c r="J331" s="3"/>
    </row>
    <row r="332" spans="1:10" x14ac:dyDescent="0.25">
      <c r="A332" s="3"/>
      <c r="B332" s="3"/>
      <c r="C332" s="3"/>
      <c r="D332" s="3"/>
      <c r="E332" s="3"/>
      <c r="F332" s="3"/>
      <c r="G332" s="3"/>
      <c r="H332" s="3"/>
      <c r="I332" s="3"/>
      <c r="J332" s="3"/>
    </row>
    <row r="333" spans="1:10" x14ac:dyDescent="0.25">
      <c r="A333" s="3"/>
      <c r="B333" s="3"/>
      <c r="C333" s="3"/>
      <c r="D333" s="3"/>
      <c r="E333" s="3"/>
      <c r="F333" s="3"/>
      <c r="G333" s="3"/>
      <c r="H333" s="3"/>
      <c r="I333" s="3"/>
      <c r="J333" s="3"/>
    </row>
    <row r="334" spans="1:10" x14ac:dyDescent="0.25">
      <c r="A334" s="3"/>
      <c r="B334" s="3"/>
      <c r="C334" s="3"/>
      <c r="D334" s="3"/>
      <c r="E334" s="3"/>
      <c r="F334" s="3"/>
      <c r="G334" s="3"/>
      <c r="H334" s="3"/>
      <c r="I334" s="3"/>
      <c r="J334" s="3"/>
    </row>
    <row r="335" spans="1:10" x14ac:dyDescent="0.25">
      <c r="A335" s="3"/>
      <c r="B335" s="3"/>
      <c r="C335" s="3"/>
      <c r="D335" s="3"/>
      <c r="E335" s="3"/>
      <c r="F335" s="3"/>
      <c r="G335" s="3"/>
      <c r="H335" s="3"/>
      <c r="I335" s="3"/>
      <c r="J335" s="3"/>
    </row>
    <row r="336" spans="1:10" x14ac:dyDescent="0.25">
      <c r="A336" s="3"/>
      <c r="B336" s="3"/>
      <c r="C336" s="3"/>
      <c r="D336" s="3"/>
      <c r="E336" s="3"/>
      <c r="F336" s="3"/>
      <c r="G336" s="3"/>
      <c r="H336" s="3"/>
      <c r="I336" s="3"/>
      <c r="J336" s="3"/>
    </row>
    <row r="337" spans="1:10" x14ac:dyDescent="0.25">
      <c r="A337" s="3"/>
      <c r="B337" s="3"/>
      <c r="C337" s="3"/>
      <c r="D337" s="3"/>
      <c r="E337" s="3"/>
      <c r="F337" s="3"/>
      <c r="G337" s="3"/>
      <c r="H337" s="3"/>
      <c r="I337" s="3"/>
      <c r="J337" s="3"/>
    </row>
    <row r="338" spans="1:10" x14ac:dyDescent="0.25">
      <c r="A338" s="3"/>
      <c r="B338" s="3"/>
      <c r="C338" s="3"/>
      <c r="D338" s="3"/>
      <c r="E338" s="3"/>
      <c r="F338" s="3"/>
      <c r="G338" s="3"/>
      <c r="H338" s="3"/>
      <c r="I338" s="3"/>
      <c r="J338" s="3"/>
    </row>
    <row r="339" spans="1:10" x14ac:dyDescent="0.25">
      <c r="A339" s="3"/>
      <c r="B339" s="3"/>
      <c r="C339" s="3"/>
      <c r="D339" s="3"/>
      <c r="E339" s="3"/>
      <c r="F339" s="3"/>
      <c r="G339" s="3"/>
      <c r="H339" s="3"/>
      <c r="I339" s="3"/>
      <c r="J339" s="3"/>
    </row>
    <row r="340" spans="1:10" x14ac:dyDescent="0.25">
      <c r="A340" s="3"/>
      <c r="B340" s="3"/>
      <c r="C340" s="3"/>
      <c r="D340" s="3"/>
      <c r="E340" s="3"/>
      <c r="F340" s="3"/>
      <c r="G340" s="3"/>
      <c r="H340" s="3"/>
      <c r="I340" s="3"/>
      <c r="J340" s="3"/>
    </row>
    <row r="341" spans="1:10" x14ac:dyDescent="0.25">
      <c r="A341" s="3"/>
      <c r="B341" s="3"/>
      <c r="C341" s="3"/>
      <c r="D341" s="3"/>
      <c r="E341" s="3"/>
      <c r="F341" s="3"/>
      <c r="G341" s="3"/>
      <c r="H341" s="3"/>
      <c r="I341" s="3"/>
      <c r="J341" s="3"/>
    </row>
    <row r="342" spans="1:10" x14ac:dyDescent="0.25">
      <c r="A342" s="3"/>
      <c r="B342" s="3"/>
      <c r="C342" s="3"/>
      <c r="D342" s="3"/>
      <c r="E342" s="3"/>
      <c r="F342" s="3"/>
      <c r="G342" s="3"/>
      <c r="H342" s="3"/>
      <c r="I342" s="3"/>
      <c r="J342" s="3"/>
    </row>
    <row r="343" spans="1:10" x14ac:dyDescent="0.25">
      <c r="A343" s="3"/>
      <c r="B343" s="3"/>
      <c r="C343" s="3"/>
      <c r="D343" s="3"/>
      <c r="E343" s="3"/>
      <c r="F343" s="3"/>
      <c r="G343" s="3"/>
      <c r="H343" s="3"/>
      <c r="I343" s="3"/>
      <c r="J343" s="3"/>
    </row>
    <row r="344" spans="1:10" x14ac:dyDescent="0.25">
      <c r="A344" s="3"/>
      <c r="B344" s="3"/>
      <c r="C344" s="3"/>
      <c r="D344" s="3"/>
      <c r="E344" s="3"/>
      <c r="F344" s="3"/>
      <c r="G344" s="3"/>
      <c r="H344" s="3"/>
      <c r="I344" s="3"/>
      <c r="J344" s="3"/>
    </row>
    <row r="345" spans="1:10" x14ac:dyDescent="0.25">
      <c r="A345" s="3"/>
      <c r="B345" s="3"/>
      <c r="C345" s="3"/>
      <c r="D345" s="3"/>
      <c r="E345" s="3"/>
      <c r="F345" s="3"/>
      <c r="G345" s="3"/>
      <c r="H345" s="3"/>
      <c r="I345" s="3"/>
      <c r="J345" s="3"/>
    </row>
    <row r="346" spans="1:10" x14ac:dyDescent="0.25">
      <c r="A346" s="3"/>
      <c r="B346" s="3"/>
      <c r="C346" s="3"/>
      <c r="D346" s="3"/>
      <c r="E346" s="3"/>
      <c r="F346" s="3"/>
      <c r="G346" s="3"/>
      <c r="H346" s="3"/>
      <c r="I346" s="3"/>
      <c r="J346" s="3"/>
    </row>
    <row r="347" spans="1:10" x14ac:dyDescent="0.25">
      <c r="A347" s="3"/>
      <c r="B347" s="3"/>
      <c r="C347" s="3"/>
      <c r="D347" s="3"/>
      <c r="E347" s="3"/>
      <c r="F347" s="3"/>
      <c r="G347" s="3"/>
      <c r="H347" s="3"/>
      <c r="I347" s="3"/>
      <c r="J347" s="3"/>
    </row>
    <row r="348" spans="1:10" x14ac:dyDescent="0.25">
      <c r="A348" s="3"/>
      <c r="B348" s="3"/>
      <c r="C348" s="3"/>
      <c r="D348" s="3"/>
      <c r="E348" s="3"/>
      <c r="F348" s="3"/>
      <c r="G348" s="3"/>
      <c r="H348" s="3"/>
      <c r="I348" s="3"/>
      <c r="J348" s="3"/>
    </row>
    <row r="349" spans="1:10" x14ac:dyDescent="0.25">
      <c r="A349" s="3"/>
      <c r="B349" s="3"/>
      <c r="C349" s="3"/>
      <c r="D349" s="3"/>
      <c r="E349" s="3"/>
      <c r="F349" s="3"/>
      <c r="G349" s="3"/>
      <c r="H349" s="3"/>
      <c r="I349" s="3"/>
      <c r="J349" s="3"/>
    </row>
    <row r="350" spans="1:10" x14ac:dyDescent="0.25">
      <c r="A350" s="3"/>
      <c r="B350" s="3"/>
      <c r="C350" s="3"/>
      <c r="D350" s="3"/>
      <c r="E350" s="3"/>
      <c r="F350" s="3"/>
      <c r="G350" s="3"/>
      <c r="H350" s="3"/>
      <c r="I350" s="3"/>
      <c r="J350" s="3"/>
    </row>
    <row r="351" spans="1:10" x14ac:dyDescent="0.25">
      <c r="A351" s="3"/>
      <c r="B351" s="3"/>
      <c r="C351" s="3"/>
      <c r="D351" s="3"/>
      <c r="E351" s="3"/>
      <c r="F351" s="3"/>
      <c r="G351" s="3"/>
      <c r="H351" s="3"/>
      <c r="I351" s="3"/>
      <c r="J351" s="3"/>
    </row>
    <row r="352" spans="1:10" x14ac:dyDescent="0.25">
      <c r="A352" s="3"/>
      <c r="B352" s="3"/>
      <c r="C352" s="3"/>
      <c r="D352" s="3"/>
      <c r="E352" s="3"/>
      <c r="F352" s="3"/>
      <c r="G352" s="3"/>
      <c r="H352" s="3"/>
      <c r="I352" s="3"/>
      <c r="J352" s="3"/>
    </row>
    <row r="353" spans="1:10" x14ac:dyDescent="0.25">
      <c r="A353" s="3"/>
      <c r="B353" s="3"/>
      <c r="C353" s="3"/>
      <c r="D353" s="3"/>
      <c r="E353" s="3"/>
      <c r="F353" s="3"/>
      <c r="G353" s="3"/>
      <c r="H353" s="3"/>
      <c r="I353" s="3"/>
      <c r="J353" s="3"/>
    </row>
    <row r="354" spans="1:10" x14ac:dyDescent="0.25">
      <c r="A354" s="3"/>
      <c r="B354" s="3"/>
      <c r="C354" s="3"/>
      <c r="D354" s="3"/>
      <c r="E354" s="3"/>
      <c r="F354" s="3"/>
      <c r="G354" s="3"/>
      <c r="H354" s="3"/>
      <c r="I354" s="3"/>
      <c r="J354" s="3"/>
    </row>
    <row r="355" spans="1:10" x14ac:dyDescent="0.25">
      <c r="A355" s="3"/>
      <c r="B355" s="3"/>
      <c r="C355" s="3"/>
      <c r="D355" s="3"/>
      <c r="E355" s="3"/>
      <c r="F355" s="3"/>
      <c r="G355" s="3"/>
      <c r="H355" s="3"/>
      <c r="I355" s="3"/>
      <c r="J355" s="3"/>
    </row>
    <row r="356" spans="1:10" x14ac:dyDescent="0.25">
      <c r="A356" s="3"/>
      <c r="B356" s="3"/>
      <c r="C356" s="3"/>
      <c r="D356" s="3"/>
      <c r="E356" s="3"/>
      <c r="F356" s="3"/>
      <c r="G356" s="3"/>
      <c r="H356" s="3"/>
      <c r="I356" s="3"/>
      <c r="J356" s="3"/>
    </row>
    <row r="357" spans="1:10" x14ac:dyDescent="0.25">
      <c r="A357" s="3"/>
      <c r="B357" s="3"/>
      <c r="C357" s="3"/>
      <c r="D357" s="3"/>
      <c r="E357" s="3"/>
      <c r="F357" s="3"/>
      <c r="G357" s="3"/>
      <c r="H357" s="3"/>
      <c r="I357" s="3"/>
      <c r="J357" s="3"/>
    </row>
    <row r="358" spans="1:10" x14ac:dyDescent="0.25">
      <c r="A358" s="3"/>
      <c r="B358" s="3"/>
      <c r="C358" s="3"/>
      <c r="D358" s="3"/>
      <c r="E358" s="3"/>
      <c r="F358" s="3"/>
      <c r="G358" s="3"/>
      <c r="H358" s="3"/>
      <c r="I358" s="3"/>
      <c r="J358" s="3"/>
    </row>
    <row r="359" spans="1:10" x14ac:dyDescent="0.25">
      <c r="A359" s="3"/>
      <c r="B359" s="3"/>
      <c r="C359" s="3"/>
      <c r="D359" s="3"/>
      <c r="E359" s="3"/>
      <c r="F359" s="3"/>
      <c r="G359" s="3"/>
      <c r="H359" s="3"/>
      <c r="I359" s="3"/>
      <c r="J359" s="3"/>
    </row>
    <row r="360" spans="1:10" x14ac:dyDescent="0.25">
      <c r="A360" s="3"/>
      <c r="B360" s="3"/>
      <c r="C360" s="3"/>
      <c r="D360" s="3"/>
      <c r="E360" s="3"/>
      <c r="F360" s="3"/>
      <c r="G360" s="3"/>
      <c r="H360" s="3"/>
      <c r="I360" s="3"/>
      <c r="J360" s="3"/>
    </row>
    <row r="361" spans="1:10" x14ac:dyDescent="0.25">
      <c r="A361" s="3"/>
      <c r="B361" s="3"/>
      <c r="C361" s="3"/>
      <c r="D361" s="3"/>
      <c r="E361" s="3"/>
      <c r="F361" s="3"/>
      <c r="G361" s="3"/>
      <c r="H361" s="3"/>
      <c r="I361" s="3"/>
      <c r="J361" s="3"/>
    </row>
    <row r="362" spans="1:10" x14ac:dyDescent="0.25">
      <c r="A362" s="3"/>
      <c r="B362" s="3"/>
      <c r="C362" s="3"/>
      <c r="D362" s="3"/>
      <c r="E362" s="3"/>
      <c r="F362" s="3"/>
      <c r="G362" s="3"/>
      <c r="H362" s="3"/>
      <c r="I362" s="3"/>
      <c r="J362" s="3"/>
    </row>
    <row r="363" spans="1:10" x14ac:dyDescent="0.25">
      <c r="A363" s="3"/>
      <c r="B363" s="3"/>
      <c r="C363" s="3"/>
      <c r="D363" s="3"/>
      <c r="E363" s="3"/>
      <c r="F363" s="3"/>
      <c r="G363" s="3"/>
      <c r="H363" s="3"/>
      <c r="I363" s="3"/>
      <c r="J363" s="3"/>
    </row>
    <row r="364" spans="1:10" x14ac:dyDescent="0.25">
      <c r="A364" s="3"/>
      <c r="B364" s="3"/>
      <c r="C364" s="3"/>
      <c r="D364" s="3"/>
      <c r="E364" s="3"/>
      <c r="F364" s="3"/>
      <c r="G364" s="3"/>
      <c r="H364" s="3"/>
      <c r="I364" s="3"/>
      <c r="J364" s="3"/>
    </row>
    <row r="365" spans="1:10" x14ac:dyDescent="0.25">
      <c r="A365" s="3"/>
      <c r="B365" s="3"/>
      <c r="C365" s="3"/>
      <c r="D365" s="3"/>
      <c r="E365" s="3"/>
      <c r="F365" s="3"/>
      <c r="G365" s="3"/>
      <c r="H365" s="3"/>
      <c r="I365" s="3"/>
      <c r="J365" s="3"/>
    </row>
    <row r="366" spans="1:10" x14ac:dyDescent="0.25">
      <c r="A366" s="3"/>
      <c r="B366" s="3"/>
      <c r="C366" s="3"/>
      <c r="D366" s="3"/>
      <c r="E366" s="3"/>
      <c r="F366" s="3"/>
      <c r="G366" s="3"/>
      <c r="H366" s="3"/>
      <c r="I366" s="3"/>
      <c r="J366" s="3"/>
    </row>
    <row r="367" spans="1:10" x14ac:dyDescent="0.25">
      <c r="A367" s="3"/>
      <c r="B367" s="3"/>
      <c r="C367" s="3"/>
      <c r="D367" s="3"/>
      <c r="E367" s="3"/>
      <c r="F367" s="3"/>
      <c r="G367" s="3"/>
      <c r="H367" s="3"/>
      <c r="I367" s="3"/>
      <c r="J367" s="3"/>
    </row>
    <row r="368" spans="1:10" x14ac:dyDescent="0.25">
      <c r="A368" s="3"/>
      <c r="B368" s="3"/>
      <c r="C368" s="3"/>
      <c r="D368" s="3"/>
      <c r="E368" s="3"/>
      <c r="F368" s="3"/>
      <c r="G368" s="3"/>
      <c r="H368" s="3"/>
      <c r="I368" s="3"/>
      <c r="J368" s="3"/>
    </row>
    <row r="369" spans="1:10" x14ac:dyDescent="0.25">
      <c r="A369" s="3"/>
      <c r="B369" s="3"/>
      <c r="C369" s="3"/>
      <c r="D369" s="3"/>
      <c r="E369" s="3"/>
      <c r="F369" s="3"/>
      <c r="G369" s="3"/>
      <c r="H369" s="3"/>
      <c r="I369" s="3"/>
      <c r="J369" s="3"/>
    </row>
    <row r="370" spans="1:10" x14ac:dyDescent="0.25">
      <c r="A370" s="3"/>
      <c r="B370" s="3"/>
      <c r="C370" s="3"/>
      <c r="D370" s="3"/>
      <c r="E370" s="3"/>
      <c r="F370" s="3"/>
      <c r="G370" s="3"/>
      <c r="H370" s="3"/>
      <c r="I370" s="3"/>
      <c r="J370" s="3"/>
    </row>
    <row r="371" spans="1:10" x14ac:dyDescent="0.25">
      <c r="A371" s="3"/>
      <c r="B371" s="3"/>
      <c r="C371" s="3"/>
      <c r="D371" s="3"/>
      <c r="E371" s="3"/>
      <c r="F371" s="3"/>
      <c r="G371" s="3"/>
      <c r="H371" s="3"/>
      <c r="I371" s="3"/>
      <c r="J371" s="3"/>
    </row>
    <row r="372" spans="1:10" x14ac:dyDescent="0.25">
      <c r="A372" s="3"/>
      <c r="B372" s="3"/>
      <c r="C372" s="3"/>
      <c r="D372" s="3"/>
      <c r="E372" s="3"/>
      <c r="F372" s="3"/>
      <c r="G372" s="3"/>
      <c r="H372" s="3"/>
      <c r="I372" s="3"/>
      <c r="J372" s="3"/>
    </row>
    <row r="373" spans="1:10" x14ac:dyDescent="0.25">
      <c r="A373" s="3"/>
      <c r="B373" s="3"/>
      <c r="C373" s="3"/>
      <c r="D373" s="3"/>
      <c r="E373" s="3"/>
      <c r="F373" s="3"/>
      <c r="G373" s="3"/>
      <c r="H373" s="3"/>
      <c r="I373" s="3"/>
      <c r="J373" s="3"/>
    </row>
    <row r="374" spans="1:10" x14ac:dyDescent="0.25">
      <c r="A374" s="3"/>
      <c r="B374" s="3"/>
      <c r="C374" s="3"/>
      <c r="D374" s="3"/>
      <c r="E374" s="3"/>
      <c r="F374" s="3"/>
      <c r="G374" s="3"/>
      <c r="H374" s="3"/>
      <c r="I374" s="3"/>
      <c r="J374" s="3"/>
    </row>
    <row r="375" spans="1:10" x14ac:dyDescent="0.25">
      <c r="A375" s="3"/>
      <c r="B375" s="3"/>
      <c r="C375" s="3"/>
      <c r="D375" s="3"/>
      <c r="E375" s="3"/>
      <c r="F375" s="3"/>
      <c r="G375" s="3"/>
      <c r="H375" s="3"/>
      <c r="I375" s="3"/>
      <c r="J375" s="3"/>
    </row>
    <row r="376" spans="1:10" x14ac:dyDescent="0.25">
      <c r="A376" s="3"/>
      <c r="B376" s="3"/>
      <c r="C376" s="3"/>
      <c r="D376" s="3"/>
      <c r="E376" s="3"/>
      <c r="F376" s="3"/>
      <c r="G376" s="3"/>
      <c r="H376" s="3"/>
      <c r="I376" s="3"/>
      <c r="J376" s="3"/>
    </row>
    <row r="377" spans="1:10" x14ac:dyDescent="0.25">
      <c r="A377" s="3"/>
      <c r="B377" s="3"/>
      <c r="C377" s="3"/>
      <c r="D377" s="3"/>
      <c r="E377" s="3"/>
      <c r="F377" s="3"/>
      <c r="G377" s="3"/>
      <c r="H377" s="3"/>
      <c r="I377" s="3"/>
      <c r="J377" s="3"/>
    </row>
    <row r="378" spans="1:10" x14ac:dyDescent="0.25">
      <c r="A378" s="3"/>
      <c r="B378" s="3"/>
      <c r="C378" s="3"/>
      <c r="D378" s="3"/>
      <c r="E378" s="3"/>
      <c r="F378" s="3"/>
      <c r="G378" s="3"/>
      <c r="H378" s="3"/>
      <c r="I378" s="3"/>
      <c r="J378" s="3"/>
    </row>
    <row r="379" spans="1:10" x14ac:dyDescent="0.25">
      <c r="A379" s="3"/>
      <c r="B379" s="3"/>
      <c r="C379" s="3"/>
      <c r="D379" s="3"/>
      <c r="E379" s="3"/>
      <c r="F379" s="3"/>
      <c r="G379" s="3"/>
      <c r="H379" s="3"/>
      <c r="I379" s="3"/>
      <c r="J379" s="3"/>
    </row>
    <row r="380" spans="1:10" x14ac:dyDescent="0.25">
      <c r="A380" s="3"/>
      <c r="B380" s="3"/>
      <c r="C380" s="3"/>
      <c r="D380" s="3"/>
      <c r="E380" s="3"/>
      <c r="F380" s="3"/>
      <c r="G380" s="3"/>
      <c r="H380" s="3"/>
      <c r="I380" s="3"/>
      <c r="J380" s="3"/>
    </row>
    <row r="381" spans="1:10" x14ac:dyDescent="0.25">
      <c r="A381" s="3"/>
      <c r="B381" s="3"/>
      <c r="C381" s="3"/>
      <c r="D381" s="3"/>
      <c r="E381" s="3"/>
      <c r="F381" s="3"/>
      <c r="G381" s="3"/>
      <c r="H381" s="3"/>
      <c r="I381" s="3"/>
      <c r="J381" s="3"/>
    </row>
    <row r="382" spans="1:10" x14ac:dyDescent="0.25">
      <c r="A382" s="3"/>
      <c r="B382" s="3"/>
      <c r="C382" s="3"/>
      <c r="D382" s="3"/>
      <c r="E382" s="3"/>
      <c r="F382" s="3"/>
      <c r="G382" s="3"/>
      <c r="H382" s="3"/>
      <c r="I382" s="3"/>
      <c r="J382" s="3"/>
    </row>
    <row r="383" spans="1:10" x14ac:dyDescent="0.25">
      <c r="A383" s="3"/>
      <c r="B383" s="3"/>
      <c r="C383" s="3"/>
      <c r="D383" s="3"/>
      <c r="E383" s="3"/>
      <c r="F383" s="3"/>
      <c r="G383" s="3"/>
      <c r="H383" s="3"/>
      <c r="I383" s="3"/>
      <c r="J383" s="3"/>
    </row>
    <row r="384" spans="1:10" x14ac:dyDescent="0.25">
      <c r="A384" s="3"/>
      <c r="B384" s="3"/>
      <c r="C384" s="3"/>
      <c r="D384" s="3"/>
      <c r="E384" s="3"/>
      <c r="F384" s="3"/>
      <c r="G384" s="3"/>
      <c r="H384" s="3"/>
      <c r="I384" s="3"/>
      <c r="J384" s="3"/>
    </row>
    <row r="385" spans="1:10" x14ac:dyDescent="0.25">
      <c r="A385" s="3"/>
      <c r="B385" s="3"/>
      <c r="C385" s="3"/>
      <c r="D385" s="3"/>
      <c r="E385" s="3"/>
      <c r="F385" s="3"/>
      <c r="G385" s="3"/>
      <c r="H385" s="3"/>
      <c r="I385" s="3"/>
      <c r="J385" s="3"/>
    </row>
    <row r="386" spans="1:10" x14ac:dyDescent="0.25">
      <c r="A386" s="3"/>
      <c r="B386" s="3"/>
      <c r="C386" s="3"/>
      <c r="D386" s="3"/>
      <c r="E386" s="3"/>
      <c r="F386" s="3"/>
      <c r="G386" s="3"/>
      <c r="H386" s="3"/>
      <c r="I386" s="3"/>
      <c r="J386" s="3"/>
    </row>
    <row r="387" spans="1:10" x14ac:dyDescent="0.25">
      <c r="A387" s="3"/>
      <c r="B387" s="3"/>
      <c r="C387" s="3"/>
      <c r="D387" s="3"/>
      <c r="E387" s="3"/>
      <c r="F387" s="3"/>
      <c r="G387" s="3"/>
      <c r="H387" s="3"/>
      <c r="I387" s="3"/>
      <c r="J387" s="3"/>
    </row>
    <row r="388" spans="1:10" x14ac:dyDescent="0.25">
      <c r="A388" s="3"/>
      <c r="B388" s="3"/>
      <c r="C388" s="3"/>
      <c r="D388" s="3"/>
      <c r="E388" s="3"/>
      <c r="F388" s="3"/>
      <c r="G388" s="3"/>
      <c r="H388" s="3"/>
      <c r="I388" s="3"/>
      <c r="J388" s="3"/>
    </row>
    <row r="389" spans="1:10" x14ac:dyDescent="0.25">
      <c r="A389" s="3"/>
      <c r="B389" s="3"/>
      <c r="C389" s="3"/>
      <c r="D389" s="3"/>
      <c r="E389" s="3"/>
      <c r="F389" s="3"/>
      <c r="G389" s="3"/>
      <c r="H389" s="3"/>
      <c r="I389" s="3"/>
      <c r="J389" s="3"/>
    </row>
    <row r="390" spans="1:10" x14ac:dyDescent="0.25">
      <c r="A390" s="3"/>
      <c r="B390" s="3"/>
      <c r="C390" s="3"/>
      <c r="D390" s="3"/>
      <c r="E390" s="3"/>
      <c r="F390" s="3"/>
      <c r="G390" s="3"/>
      <c r="H390" s="3"/>
      <c r="I390" s="3"/>
      <c r="J390" s="3"/>
    </row>
    <row r="391" spans="1:10" x14ac:dyDescent="0.25">
      <c r="A391" s="3"/>
      <c r="B391" s="3"/>
      <c r="C391" s="3"/>
      <c r="D391" s="3"/>
      <c r="E391" s="3"/>
      <c r="F391" s="3"/>
      <c r="G391" s="3"/>
      <c r="H391" s="3"/>
      <c r="I391" s="3"/>
      <c r="J391" s="3"/>
    </row>
    <row r="392" spans="1:10" x14ac:dyDescent="0.25">
      <c r="A392" s="3"/>
      <c r="B392" s="3"/>
      <c r="C392" s="3"/>
      <c r="D392" s="3"/>
      <c r="E392" s="3"/>
      <c r="F392" s="3"/>
      <c r="G392" s="3"/>
      <c r="H392" s="3"/>
      <c r="I392" s="3"/>
      <c r="J392" s="3"/>
    </row>
    <row r="393" spans="1:10" x14ac:dyDescent="0.25">
      <c r="A393" s="3"/>
      <c r="B393" s="3"/>
      <c r="C393" s="3"/>
      <c r="D393" s="3"/>
      <c r="E393" s="3"/>
      <c r="F393" s="3"/>
      <c r="G393" s="3"/>
      <c r="H393" s="3"/>
      <c r="I393" s="3"/>
      <c r="J393" s="3"/>
    </row>
    <row r="394" spans="1:10" x14ac:dyDescent="0.25">
      <c r="A394" s="3"/>
      <c r="B394" s="3"/>
      <c r="C394" s="3"/>
      <c r="D394" s="3"/>
      <c r="E394" s="3"/>
      <c r="F394" s="3"/>
      <c r="G394" s="3"/>
      <c r="H394" s="3"/>
      <c r="I394" s="3"/>
      <c r="J394" s="3"/>
    </row>
    <row r="395" spans="1:10" x14ac:dyDescent="0.25">
      <c r="A395" s="3"/>
      <c r="B395" s="3"/>
      <c r="C395" s="3"/>
      <c r="D395" s="3"/>
      <c r="E395" s="3"/>
      <c r="F395" s="3"/>
      <c r="G395" s="3"/>
      <c r="H395" s="3"/>
      <c r="I395" s="3"/>
      <c r="J395" s="3"/>
    </row>
    <row r="396" spans="1:10" x14ac:dyDescent="0.25">
      <c r="A396" s="3"/>
      <c r="B396" s="3"/>
      <c r="C396" s="3"/>
      <c r="D396" s="3"/>
      <c r="E396" s="3"/>
      <c r="F396" s="3"/>
      <c r="G396" s="3"/>
      <c r="H396" s="3"/>
      <c r="I396" s="3"/>
      <c r="J396" s="3"/>
    </row>
    <row r="397" spans="1:10" x14ac:dyDescent="0.25">
      <c r="A397" s="3"/>
      <c r="B397" s="3"/>
      <c r="C397" s="3"/>
      <c r="D397" s="3"/>
      <c r="E397" s="3"/>
      <c r="F397" s="3"/>
      <c r="G397" s="3"/>
      <c r="H397" s="3"/>
      <c r="I397" s="3"/>
      <c r="J397" s="3"/>
    </row>
    <row r="398" spans="1:10" x14ac:dyDescent="0.25">
      <c r="A398" s="3"/>
      <c r="B398" s="3"/>
      <c r="C398" s="3"/>
      <c r="D398" s="3"/>
      <c r="E398" s="3"/>
      <c r="F398" s="3"/>
      <c r="G398" s="3"/>
      <c r="H398" s="3"/>
      <c r="I398" s="3"/>
      <c r="J398" s="3"/>
    </row>
    <row r="399" spans="1:10" x14ac:dyDescent="0.25">
      <c r="A399" s="3"/>
      <c r="B399" s="3"/>
      <c r="C399" s="3"/>
      <c r="D399" s="3"/>
      <c r="E399" s="3"/>
      <c r="F399" s="3"/>
      <c r="G399" s="3"/>
      <c r="H399" s="3"/>
      <c r="I399" s="3"/>
      <c r="J399" s="3"/>
    </row>
    <row r="400" spans="1:10" x14ac:dyDescent="0.25">
      <c r="A400" s="3"/>
      <c r="B400" s="3"/>
      <c r="C400" s="3"/>
      <c r="D400" s="3"/>
      <c r="E400" s="3"/>
      <c r="F400" s="3"/>
      <c r="G400" s="3"/>
      <c r="H400" s="3"/>
      <c r="I400" s="3"/>
      <c r="J400" s="3"/>
    </row>
    <row r="401" spans="1:10" x14ac:dyDescent="0.25">
      <c r="A401" s="3"/>
      <c r="B401" s="3"/>
      <c r="C401" s="3"/>
      <c r="D401" s="3"/>
      <c r="E401" s="3"/>
      <c r="F401" s="3"/>
      <c r="G401" s="3"/>
      <c r="H401" s="3"/>
      <c r="I401" s="3"/>
      <c r="J401" s="3"/>
    </row>
    <row r="402" spans="1:10" x14ac:dyDescent="0.25">
      <c r="A402" s="3"/>
      <c r="B402" s="3"/>
      <c r="C402" s="3"/>
      <c r="D402" s="3"/>
      <c r="E402" s="3"/>
      <c r="F402" s="3"/>
      <c r="G402" s="3"/>
      <c r="H402" s="3"/>
      <c r="I402" s="3"/>
      <c r="J402" s="3"/>
    </row>
    <row r="403" spans="1:10" x14ac:dyDescent="0.25">
      <c r="A403" s="3"/>
      <c r="B403" s="3"/>
      <c r="C403" s="3"/>
      <c r="D403" s="3"/>
      <c r="E403" s="3"/>
      <c r="F403" s="3"/>
      <c r="G403" s="3"/>
      <c r="H403" s="3"/>
      <c r="I403" s="3"/>
      <c r="J403" s="3"/>
    </row>
    <row r="404" spans="1:10" x14ac:dyDescent="0.25">
      <c r="A404" s="3"/>
      <c r="B404" s="3"/>
      <c r="C404" s="3"/>
      <c r="D404" s="3"/>
      <c r="E404" s="3"/>
      <c r="F404" s="3"/>
      <c r="G404" s="3"/>
      <c r="H404" s="3"/>
      <c r="I404" s="3"/>
      <c r="J404" s="3"/>
    </row>
    <row r="405" spans="1:10" x14ac:dyDescent="0.25">
      <c r="A405" s="3"/>
      <c r="B405" s="3"/>
      <c r="C405" s="3"/>
      <c r="D405" s="3"/>
      <c r="E405" s="3"/>
      <c r="F405" s="3"/>
      <c r="G405" s="3"/>
      <c r="H405" s="3"/>
      <c r="I405" s="3"/>
      <c r="J405" s="3"/>
    </row>
    <row r="406" spans="1:10" x14ac:dyDescent="0.25">
      <c r="A406" s="3"/>
      <c r="B406" s="3"/>
      <c r="C406" s="3"/>
      <c r="D406" s="3"/>
      <c r="E406" s="3"/>
      <c r="F406" s="3"/>
      <c r="G406" s="3"/>
      <c r="H406" s="3"/>
      <c r="I406" s="3"/>
      <c r="J406" s="3"/>
    </row>
    <row r="407" spans="1:10" x14ac:dyDescent="0.25">
      <c r="A407" s="3"/>
      <c r="B407" s="3"/>
      <c r="C407" s="3"/>
      <c r="D407" s="3"/>
      <c r="E407" s="3"/>
      <c r="F407" s="3"/>
      <c r="G407" s="3"/>
      <c r="H407" s="3"/>
      <c r="I407" s="3"/>
      <c r="J407" s="3"/>
    </row>
    <row r="408" spans="1:10" x14ac:dyDescent="0.25">
      <c r="A408" s="3"/>
      <c r="B408" s="3"/>
      <c r="C408" s="3"/>
      <c r="D408" s="3"/>
      <c r="E408" s="3"/>
      <c r="F408" s="3"/>
      <c r="G408" s="3"/>
      <c r="H408" s="3"/>
      <c r="I408" s="3"/>
      <c r="J408" s="3"/>
    </row>
    <row r="409" spans="1:10" x14ac:dyDescent="0.25">
      <c r="A409" s="3"/>
      <c r="B409" s="3"/>
      <c r="C409" s="3"/>
      <c r="D409" s="3"/>
      <c r="E409" s="3"/>
      <c r="F409" s="3"/>
      <c r="G409" s="3"/>
      <c r="H409" s="3"/>
      <c r="I409" s="3"/>
      <c r="J409" s="3"/>
    </row>
    <row r="410" spans="1:10" x14ac:dyDescent="0.25">
      <c r="A410" s="3"/>
      <c r="B410" s="3"/>
      <c r="C410" s="3"/>
      <c r="D410" s="3"/>
      <c r="E410" s="3"/>
      <c r="F410" s="3"/>
      <c r="G410" s="3"/>
      <c r="H410" s="3"/>
      <c r="I410" s="3"/>
      <c r="J410" s="3"/>
    </row>
    <row r="411" spans="1:10" x14ac:dyDescent="0.25">
      <c r="A411" s="3"/>
      <c r="B411" s="3"/>
      <c r="C411" s="3"/>
      <c r="D411" s="3"/>
      <c r="E411" s="3"/>
      <c r="F411" s="3"/>
      <c r="G411" s="3"/>
      <c r="H411" s="3"/>
      <c r="I411" s="3"/>
      <c r="J411" s="3"/>
    </row>
    <row r="412" spans="1:10" x14ac:dyDescent="0.25">
      <c r="A412" s="3"/>
      <c r="B412" s="3"/>
      <c r="C412" s="3"/>
      <c r="D412" s="3"/>
      <c r="E412" s="3"/>
      <c r="F412" s="3"/>
      <c r="G412" s="3"/>
      <c r="H412" s="3"/>
      <c r="I412" s="3"/>
      <c r="J412" s="3"/>
    </row>
    <row r="413" spans="1:10" x14ac:dyDescent="0.25">
      <c r="A413" s="3"/>
      <c r="B413" s="3"/>
      <c r="C413" s="3"/>
      <c r="D413" s="3"/>
      <c r="E413" s="3"/>
      <c r="F413" s="3"/>
      <c r="G413" s="3"/>
      <c r="H413" s="3"/>
      <c r="I413" s="3"/>
      <c r="J413" s="3"/>
    </row>
    <row r="414" spans="1:10" x14ac:dyDescent="0.25">
      <c r="A414" s="3"/>
      <c r="B414" s="3"/>
      <c r="C414" s="3"/>
      <c r="D414" s="3"/>
      <c r="E414" s="3"/>
      <c r="F414" s="3"/>
      <c r="G414" s="3"/>
      <c r="H414" s="3"/>
      <c r="I414" s="3"/>
      <c r="J414" s="3"/>
    </row>
    <row r="415" spans="1:10" x14ac:dyDescent="0.25">
      <c r="A415" s="3"/>
      <c r="B415" s="3"/>
      <c r="C415" s="3"/>
      <c r="D415" s="3"/>
      <c r="E415" s="3"/>
      <c r="F415" s="3"/>
      <c r="G415" s="3"/>
      <c r="H415" s="3"/>
      <c r="I415" s="3"/>
      <c r="J415" s="3"/>
    </row>
    <row r="416" spans="1:10" x14ac:dyDescent="0.25">
      <c r="A416" s="3"/>
      <c r="B416" s="3"/>
      <c r="C416" s="3"/>
      <c r="D416" s="3"/>
      <c r="E416" s="3"/>
      <c r="F416" s="3"/>
      <c r="G416" s="3"/>
      <c r="H416" s="3"/>
      <c r="I416" s="3"/>
      <c r="J416" s="3"/>
    </row>
    <row r="417" spans="1:10" x14ac:dyDescent="0.25">
      <c r="A417" s="3"/>
      <c r="B417" s="3"/>
      <c r="C417" s="3"/>
      <c r="D417" s="3"/>
      <c r="E417" s="3"/>
      <c r="F417" s="3"/>
      <c r="G417" s="3"/>
      <c r="H417" s="3"/>
      <c r="I417" s="3"/>
      <c r="J417" s="3"/>
    </row>
    <row r="418" spans="1:10" x14ac:dyDescent="0.25">
      <c r="A418" s="3"/>
      <c r="B418" s="3"/>
      <c r="C418" s="3"/>
      <c r="D418" s="3"/>
      <c r="E418" s="3"/>
      <c r="F418" s="3"/>
      <c r="G418" s="3"/>
      <c r="H418" s="3"/>
      <c r="I418" s="3"/>
      <c r="J418" s="3"/>
    </row>
    <row r="419" spans="1:10" x14ac:dyDescent="0.25">
      <c r="A419" s="3"/>
      <c r="B419" s="3"/>
      <c r="C419" s="3"/>
      <c r="D419" s="3"/>
      <c r="E419" s="3"/>
      <c r="F419" s="3"/>
      <c r="G419" s="3"/>
      <c r="H419" s="3"/>
      <c r="I419" s="3"/>
      <c r="J419" s="3"/>
    </row>
    <row r="420" spans="1:10" x14ac:dyDescent="0.25">
      <c r="A420" s="3"/>
      <c r="B420" s="3"/>
      <c r="C420" s="3"/>
      <c r="D420" s="3"/>
      <c r="E420" s="3"/>
      <c r="F420" s="3"/>
      <c r="G420" s="3"/>
      <c r="H420" s="3"/>
      <c r="I420" s="3"/>
      <c r="J420" s="3"/>
    </row>
    <row r="421" spans="1:10" x14ac:dyDescent="0.25">
      <c r="A421" s="3"/>
      <c r="B421" s="3"/>
      <c r="C421" s="3"/>
      <c r="D421" s="3"/>
      <c r="E421" s="3"/>
      <c r="F421" s="3"/>
      <c r="G421" s="3"/>
      <c r="H421" s="3"/>
      <c r="I421" s="3"/>
      <c r="J421" s="3"/>
    </row>
    <row r="422" spans="1:10" x14ac:dyDescent="0.25">
      <c r="A422" s="3"/>
      <c r="B422" s="3"/>
      <c r="C422" s="3"/>
      <c r="D422" s="3"/>
      <c r="E422" s="3"/>
      <c r="F422" s="3"/>
      <c r="G422" s="3"/>
      <c r="H422" s="3"/>
      <c r="I422" s="3"/>
      <c r="J422" s="3"/>
    </row>
    <row r="423" spans="1:10" x14ac:dyDescent="0.25">
      <c r="A423" s="3"/>
      <c r="B423" s="3"/>
      <c r="C423" s="3"/>
      <c r="D423" s="3"/>
      <c r="E423" s="3"/>
      <c r="F423" s="3"/>
      <c r="G423" s="3"/>
      <c r="H423" s="3"/>
      <c r="I423" s="3"/>
      <c r="J423" s="3"/>
    </row>
    <row r="424" spans="1:10" x14ac:dyDescent="0.25">
      <c r="A424" s="3"/>
      <c r="B424" s="3"/>
      <c r="C424" s="3"/>
      <c r="D424" s="3"/>
      <c r="E424" s="3"/>
      <c r="F424" s="3"/>
      <c r="G424" s="3"/>
      <c r="H424" s="3"/>
      <c r="I424" s="3"/>
      <c r="J424" s="3"/>
    </row>
    <row r="425" spans="1:10" x14ac:dyDescent="0.25">
      <c r="A425" s="3"/>
      <c r="B425" s="3"/>
      <c r="C425" s="3"/>
      <c r="D425" s="3"/>
      <c r="E425" s="3"/>
      <c r="F425" s="3"/>
      <c r="G425" s="3"/>
      <c r="H425" s="3"/>
      <c r="I425" s="3"/>
      <c r="J425" s="3"/>
    </row>
    <row r="426" spans="1:10" x14ac:dyDescent="0.25">
      <c r="A426" s="3"/>
      <c r="B426" s="3"/>
      <c r="C426" s="3"/>
      <c r="D426" s="3"/>
      <c r="E426" s="3"/>
      <c r="F426" s="3"/>
      <c r="G426" s="3"/>
      <c r="H426" s="3"/>
      <c r="I426" s="3"/>
      <c r="J426" s="3"/>
    </row>
    <row r="427" spans="1:10" x14ac:dyDescent="0.25">
      <c r="A427" s="3"/>
      <c r="B427" s="3"/>
      <c r="C427" s="3"/>
      <c r="D427" s="3"/>
      <c r="E427" s="3"/>
      <c r="F427" s="3"/>
      <c r="G427" s="3"/>
      <c r="H427" s="3"/>
      <c r="I427" s="3"/>
      <c r="J427" s="3"/>
    </row>
    <row r="428" spans="1:10" x14ac:dyDescent="0.25">
      <c r="A428" s="3"/>
      <c r="B428" s="3"/>
      <c r="C428" s="3"/>
      <c r="D428" s="3"/>
      <c r="E428" s="3"/>
      <c r="F428" s="3"/>
      <c r="G428" s="3"/>
      <c r="H428" s="3"/>
      <c r="I428" s="3"/>
      <c r="J428" s="3"/>
    </row>
    <row r="429" spans="1:10" x14ac:dyDescent="0.25">
      <c r="A429" s="3"/>
      <c r="B429" s="3"/>
      <c r="C429" s="3"/>
      <c r="D429" s="3"/>
      <c r="E429" s="3"/>
      <c r="F429" s="3"/>
      <c r="G429" s="3"/>
      <c r="H429" s="3"/>
      <c r="I429" s="3"/>
      <c r="J429" s="3"/>
    </row>
    <row r="430" spans="1:10" x14ac:dyDescent="0.25">
      <c r="A430" s="3"/>
      <c r="B430" s="3"/>
      <c r="C430" s="3"/>
      <c r="D430" s="3"/>
      <c r="E430" s="3"/>
      <c r="F430" s="3"/>
      <c r="G430" s="3"/>
      <c r="H430" s="3"/>
      <c r="I430" s="3"/>
      <c r="J430" s="3"/>
    </row>
    <row r="431" spans="1:10" x14ac:dyDescent="0.25">
      <c r="A431" s="3"/>
      <c r="B431" s="3"/>
      <c r="C431" s="3"/>
      <c r="D431" s="3"/>
      <c r="E431" s="3"/>
      <c r="F431" s="3"/>
      <c r="G431" s="3"/>
      <c r="H431" s="3"/>
      <c r="I431" s="3"/>
      <c r="J431" s="3"/>
    </row>
    <row r="432" spans="1:10" x14ac:dyDescent="0.25">
      <c r="A432" s="3"/>
      <c r="B432" s="3"/>
      <c r="C432" s="3"/>
      <c r="D432" s="3"/>
      <c r="E432" s="3"/>
      <c r="F432" s="3"/>
      <c r="G432" s="3"/>
      <c r="H432" s="3"/>
      <c r="I432" s="3"/>
      <c r="J432" s="3"/>
    </row>
    <row r="433" spans="1:10" x14ac:dyDescent="0.25">
      <c r="A433" s="3"/>
      <c r="B433" s="3"/>
      <c r="C433" s="3"/>
      <c r="D433" s="3"/>
      <c r="E433" s="3"/>
      <c r="F433" s="3"/>
      <c r="G433" s="3"/>
      <c r="H433" s="3"/>
      <c r="I433" s="3"/>
      <c r="J433" s="3"/>
    </row>
    <row r="434" spans="1:10" x14ac:dyDescent="0.25">
      <c r="A434" s="3"/>
      <c r="B434" s="3"/>
      <c r="C434" s="3"/>
      <c r="D434" s="3"/>
      <c r="E434" s="3"/>
      <c r="F434" s="3"/>
      <c r="G434" s="3"/>
      <c r="H434" s="3"/>
      <c r="I434" s="3"/>
      <c r="J434" s="3"/>
    </row>
    <row r="435" spans="1:10" x14ac:dyDescent="0.25">
      <c r="A435" s="3"/>
      <c r="B435" s="3"/>
      <c r="C435" s="3"/>
      <c r="D435" s="3"/>
      <c r="E435" s="3"/>
      <c r="F435" s="3"/>
      <c r="G435" s="3"/>
      <c r="H435" s="3"/>
      <c r="I435" s="3"/>
      <c r="J435" s="3"/>
    </row>
    <row r="436" spans="1:10" x14ac:dyDescent="0.25">
      <c r="A436" s="3"/>
      <c r="B436" s="3"/>
      <c r="C436" s="3"/>
      <c r="D436" s="3"/>
      <c r="E436" s="3"/>
      <c r="F436" s="3"/>
      <c r="G436" s="3"/>
      <c r="H436" s="3"/>
      <c r="I436" s="3"/>
      <c r="J436" s="3"/>
    </row>
    <row r="437" spans="1:10" x14ac:dyDescent="0.25">
      <c r="A437" s="3"/>
      <c r="B437" s="3"/>
      <c r="C437" s="3"/>
      <c r="D437" s="3"/>
      <c r="E437" s="3"/>
      <c r="F437" s="3"/>
      <c r="G437" s="3"/>
      <c r="H437" s="3"/>
      <c r="I437" s="3"/>
      <c r="J437" s="3"/>
    </row>
    <row r="438" spans="1:10" x14ac:dyDescent="0.25">
      <c r="A438" s="3"/>
      <c r="B438" s="3"/>
      <c r="C438" s="3"/>
      <c r="D438" s="3"/>
      <c r="E438" s="3"/>
      <c r="F438" s="3"/>
      <c r="G438" s="3"/>
      <c r="H438" s="3"/>
      <c r="I438" s="3"/>
      <c r="J438" s="3"/>
    </row>
    <row r="439" spans="1:10" x14ac:dyDescent="0.25">
      <c r="A439" s="3"/>
      <c r="B439" s="3"/>
      <c r="C439" s="3"/>
      <c r="D439" s="3"/>
      <c r="E439" s="3"/>
      <c r="F439" s="3"/>
      <c r="G439" s="3"/>
      <c r="H439" s="3"/>
      <c r="I439" s="3"/>
      <c r="J439" s="3"/>
    </row>
    <row r="440" spans="1:10" x14ac:dyDescent="0.25">
      <c r="A440" s="3"/>
      <c r="B440" s="3"/>
      <c r="C440" s="3"/>
      <c r="D440" s="3"/>
      <c r="E440" s="3"/>
      <c r="F440" s="3"/>
      <c r="G440" s="3"/>
      <c r="H440" s="3"/>
      <c r="I440" s="3"/>
      <c r="J440" s="3"/>
    </row>
    <row r="441" spans="1:10" x14ac:dyDescent="0.25">
      <c r="A441" s="3"/>
      <c r="B441" s="3"/>
      <c r="C441" s="3"/>
      <c r="D441" s="3"/>
      <c r="E441" s="3"/>
      <c r="F441" s="3"/>
      <c r="G441" s="3"/>
      <c r="H441" s="3"/>
      <c r="I441" s="3"/>
      <c r="J441" s="3"/>
    </row>
    <row r="442" spans="1:10" x14ac:dyDescent="0.25">
      <c r="A442" s="3"/>
      <c r="B442" s="3"/>
      <c r="C442" s="3"/>
      <c r="D442" s="3"/>
      <c r="E442" s="3"/>
      <c r="F442" s="3"/>
      <c r="G442" s="3"/>
      <c r="H442" s="3"/>
      <c r="I442" s="3"/>
      <c r="J442" s="3"/>
    </row>
    <row r="443" spans="1:10" x14ac:dyDescent="0.25">
      <c r="A443" s="3"/>
      <c r="B443" s="3"/>
      <c r="C443" s="3"/>
      <c r="D443" s="3"/>
      <c r="E443" s="3"/>
      <c r="F443" s="3"/>
      <c r="G443" s="3"/>
      <c r="H443" s="3"/>
      <c r="I443" s="3"/>
      <c r="J443" s="3"/>
    </row>
    <row r="444" spans="1:10" x14ac:dyDescent="0.25">
      <c r="A444" s="3"/>
      <c r="B444" s="3"/>
      <c r="C444" s="3"/>
      <c r="D444" s="3"/>
      <c r="E444" s="3"/>
      <c r="F444" s="3"/>
      <c r="G444" s="3"/>
      <c r="H444" s="3"/>
      <c r="I444" s="3"/>
      <c r="J444" s="3"/>
    </row>
    <row r="445" spans="1:10" x14ac:dyDescent="0.25">
      <c r="A445" s="3"/>
      <c r="B445" s="3"/>
      <c r="C445" s="3"/>
      <c r="D445" s="3"/>
      <c r="E445" s="3"/>
      <c r="F445" s="3"/>
      <c r="G445" s="3"/>
      <c r="H445" s="3"/>
      <c r="I445" s="3"/>
      <c r="J445" s="3"/>
    </row>
    <row r="446" spans="1:10" x14ac:dyDescent="0.25">
      <c r="A446" s="3"/>
      <c r="B446" s="3"/>
      <c r="C446" s="3"/>
      <c r="D446" s="3"/>
      <c r="E446" s="3"/>
      <c r="F446" s="3"/>
      <c r="G446" s="3"/>
      <c r="H446" s="3"/>
      <c r="I446" s="3"/>
      <c r="J446" s="3"/>
    </row>
    <row r="447" spans="1:10" x14ac:dyDescent="0.25">
      <c r="A447" s="3"/>
      <c r="B447" s="3"/>
      <c r="C447" s="3"/>
      <c r="D447" s="3"/>
      <c r="E447" s="3"/>
      <c r="F447" s="3"/>
      <c r="G447" s="3"/>
      <c r="H447" s="3"/>
      <c r="I447" s="3"/>
      <c r="J447" s="3"/>
    </row>
    <row r="448" spans="1:10" x14ac:dyDescent="0.25">
      <c r="A448" s="3"/>
      <c r="B448" s="3"/>
      <c r="C448" s="3"/>
      <c r="D448" s="3"/>
      <c r="E448" s="3"/>
      <c r="F448" s="3"/>
      <c r="G448" s="3"/>
      <c r="H448" s="3"/>
      <c r="I448" s="3"/>
      <c r="J448" s="3"/>
    </row>
    <row r="449" spans="1:10" x14ac:dyDescent="0.25">
      <c r="A449" s="3"/>
      <c r="B449" s="3"/>
      <c r="C449" s="3"/>
      <c r="D449" s="3"/>
      <c r="E449" s="3"/>
      <c r="F449" s="3"/>
      <c r="G449" s="3"/>
      <c r="H449" s="3"/>
      <c r="I449" s="3"/>
      <c r="J449" s="3"/>
    </row>
    <row r="450" spans="1:10" x14ac:dyDescent="0.25">
      <c r="A450" s="3"/>
      <c r="B450" s="3"/>
      <c r="C450" s="3"/>
      <c r="D450" s="3"/>
      <c r="E450" s="3"/>
      <c r="F450" s="3"/>
      <c r="G450" s="3"/>
      <c r="H450" s="3"/>
      <c r="I450" s="3"/>
      <c r="J450" s="3"/>
    </row>
    <row r="451" spans="1:10" x14ac:dyDescent="0.25">
      <c r="A451" s="3"/>
      <c r="B451" s="3"/>
      <c r="C451" s="3"/>
      <c r="D451" s="3"/>
      <c r="E451" s="3"/>
      <c r="F451" s="3"/>
      <c r="G451" s="3"/>
      <c r="H451" s="3"/>
      <c r="I451" s="3"/>
      <c r="J451" s="3"/>
    </row>
    <row r="452" spans="1:10" x14ac:dyDescent="0.25">
      <c r="A452" s="3"/>
      <c r="B452" s="3"/>
      <c r="C452" s="3"/>
      <c r="D452" s="3"/>
      <c r="E452" s="3"/>
      <c r="F452" s="3"/>
      <c r="G452" s="3"/>
      <c r="H452" s="3"/>
      <c r="I452" s="3"/>
      <c r="J452" s="3"/>
    </row>
    <row r="453" spans="1:10" x14ac:dyDescent="0.25">
      <c r="A453" s="3"/>
      <c r="B453" s="3"/>
      <c r="C453" s="3"/>
      <c r="D453" s="3"/>
      <c r="E453" s="3"/>
      <c r="F453" s="3"/>
      <c r="G453" s="3"/>
      <c r="H453" s="3"/>
      <c r="I453" s="3"/>
      <c r="J453" s="3"/>
    </row>
    <row r="454" spans="1:10" x14ac:dyDescent="0.25">
      <c r="A454" s="3"/>
      <c r="B454" s="3"/>
      <c r="C454" s="3"/>
      <c r="D454" s="3"/>
      <c r="E454" s="3"/>
      <c r="F454" s="3"/>
      <c r="G454" s="3"/>
      <c r="H454" s="3"/>
      <c r="I454" s="3"/>
      <c r="J454" s="3"/>
    </row>
    <row r="455" spans="1:10" x14ac:dyDescent="0.25">
      <c r="A455" s="3"/>
      <c r="B455" s="3"/>
      <c r="C455" s="3"/>
      <c r="D455" s="3"/>
      <c r="E455" s="3"/>
      <c r="F455" s="3"/>
      <c r="G455" s="3"/>
      <c r="H455" s="3"/>
      <c r="I455" s="3"/>
      <c r="J455" s="3"/>
    </row>
    <row r="456" spans="1:10" x14ac:dyDescent="0.25">
      <c r="A456" s="3"/>
      <c r="B456" s="3"/>
      <c r="C456" s="3"/>
      <c r="D456" s="3"/>
      <c r="E456" s="3"/>
      <c r="F456" s="3"/>
      <c r="G456" s="3"/>
      <c r="H456" s="3"/>
      <c r="I456" s="3"/>
      <c r="J456" s="3"/>
    </row>
    <row r="457" spans="1:10" x14ac:dyDescent="0.25">
      <c r="A457" s="3"/>
      <c r="B457" s="3"/>
      <c r="C457" s="3"/>
      <c r="D457" s="3"/>
      <c r="E457" s="3"/>
      <c r="F457" s="3"/>
      <c r="G457" s="3"/>
      <c r="H457" s="3"/>
      <c r="I457" s="3"/>
      <c r="J457" s="3"/>
    </row>
    <row r="458" spans="1:10" x14ac:dyDescent="0.25">
      <c r="A458" s="3"/>
      <c r="B458" s="3"/>
      <c r="C458" s="3"/>
      <c r="D458" s="3"/>
      <c r="E458" s="3"/>
      <c r="F458" s="3"/>
      <c r="G458" s="3"/>
      <c r="H458" s="3"/>
      <c r="I458" s="3"/>
      <c r="J458" s="3"/>
    </row>
    <row r="459" spans="1:10" x14ac:dyDescent="0.25">
      <c r="A459" s="3"/>
      <c r="B459" s="3"/>
      <c r="C459" s="3"/>
      <c r="D459" s="3"/>
      <c r="E459" s="3"/>
      <c r="F459" s="3"/>
      <c r="G459" s="3"/>
      <c r="H459" s="3"/>
      <c r="I459" s="3"/>
      <c r="J459" s="3"/>
    </row>
    <row r="460" spans="1:10" x14ac:dyDescent="0.25">
      <c r="A460" s="3"/>
      <c r="B460" s="3"/>
      <c r="C460" s="3"/>
      <c r="D460" s="3"/>
      <c r="E460" s="3"/>
      <c r="F460" s="3"/>
      <c r="G460" s="3"/>
      <c r="H460" s="3"/>
      <c r="I460" s="3"/>
      <c r="J460" s="3"/>
    </row>
    <row r="461" spans="1:10" x14ac:dyDescent="0.25">
      <c r="A461" s="3"/>
      <c r="B461" s="3"/>
      <c r="C461" s="3"/>
      <c r="D461" s="3"/>
      <c r="E461" s="3"/>
      <c r="F461" s="3"/>
      <c r="G461" s="3"/>
      <c r="H461" s="3"/>
      <c r="I461" s="3"/>
      <c r="J461" s="3"/>
    </row>
    <row r="462" spans="1:10" x14ac:dyDescent="0.25">
      <c r="A462" s="3"/>
      <c r="B462" s="3"/>
      <c r="C462" s="3"/>
      <c r="D462" s="3"/>
      <c r="E462" s="3"/>
      <c r="F462" s="3"/>
      <c r="G462" s="3"/>
      <c r="H462" s="3"/>
      <c r="I462" s="3"/>
      <c r="J462" s="3"/>
    </row>
    <row r="463" spans="1:10" x14ac:dyDescent="0.25">
      <c r="A463" s="3"/>
      <c r="B463" s="3"/>
      <c r="C463" s="3"/>
      <c r="D463" s="3"/>
      <c r="E463" s="3"/>
      <c r="F463" s="3"/>
      <c r="G463" s="3"/>
      <c r="H463" s="3"/>
      <c r="I463" s="3"/>
      <c r="J463" s="3"/>
    </row>
    <row r="464" spans="1:10" x14ac:dyDescent="0.25">
      <c r="A464" s="3"/>
      <c r="B464" s="3"/>
      <c r="C464" s="3"/>
      <c r="D464" s="3"/>
      <c r="E464" s="3"/>
      <c r="F464" s="3"/>
      <c r="G464" s="3"/>
      <c r="H464" s="3"/>
      <c r="I464" s="3"/>
      <c r="J464" s="3"/>
    </row>
    <row r="465" spans="1:10" x14ac:dyDescent="0.25">
      <c r="A465" s="3"/>
      <c r="B465" s="3"/>
      <c r="C465" s="3"/>
      <c r="D465" s="3"/>
      <c r="E465" s="3"/>
      <c r="F465" s="3"/>
      <c r="G465" s="3"/>
      <c r="H465" s="3"/>
      <c r="I465" s="3"/>
      <c r="J465" s="3"/>
    </row>
    <row r="466" spans="1:10" x14ac:dyDescent="0.25">
      <c r="A466" s="3"/>
      <c r="B466" s="3"/>
      <c r="C466" s="3"/>
      <c r="D466" s="3"/>
      <c r="E466" s="3"/>
      <c r="F466" s="3"/>
      <c r="G466" s="3"/>
      <c r="H466" s="3"/>
      <c r="I466" s="3"/>
      <c r="J466" s="3"/>
    </row>
    <row r="467" spans="1:10" x14ac:dyDescent="0.25">
      <c r="A467" s="3"/>
      <c r="B467" s="3"/>
      <c r="C467" s="3"/>
      <c r="D467" s="3"/>
      <c r="E467" s="3"/>
      <c r="F467" s="3"/>
      <c r="G467" s="3"/>
      <c r="H467" s="3"/>
      <c r="I467" s="3"/>
      <c r="J467" s="3"/>
    </row>
    <row r="468" spans="1:10" x14ac:dyDescent="0.25">
      <c r="A468" s="3"/>
      <c r="B468" s="3"/>
      <c r="C468" s="3"/>
      <c r="D468" s="3"/>
      <c r="E468" s="3"/>
      <c r="F468" s="3"/>
      <c r="G468" s="3"/>
      <c r="H468" s="3"/>
      <c r="I468" s="3"/>
      <c r="J468" s="3"/>
    </row>
    <row r="469" spans="1:10" x14ac:dyDescent="0.25">
      <c r="A469" s="3"/>
      <c r="B469" s="3"/>
      <c r="C469" s="3"/>
      <c r="D469" s="3"/>
      <c r="E469" s="3"/>
      <c r="F469" s="3"/>
      <c r="G469" s="3"/>
      <c r="H469" s="3"/>
      <c r="I469" s="3"/>
      <c r="J469" s="3"/>
    </row>
    <row r="470" spans="1:10" x14ac:dyDescent="0.25">
      <c r="A470" s="3"/>
      <c r="B470" s="3"/>
      <c r="C470" s="3"/>
      <c r="D470" s="3"/>
      <c r="E470" s="3"/>
      <c r="F470" s="3"/>
      <c r="G470" s="3"/>
      <c r="H470" s="3"/>
      <c r="I470" s="3"/>
      <c r="J470" s="3"/>
    </row>
    <row r="471" spans="1:10" x14ac:dyDescent="0.25">
      <c r="A471" s="3"/>
      <c r="B471" s="3"/>
      <c r="C471" s="3"/>
      <c r="D471" s="3"/>
      <c r="E471" s="3"/>
      <c r="F471" s="3"/>
      <c r="G471" s="3"/>
      <c r="H471" s="3"/>
      <c r="I471" s="3"/>
      <c r="J471" s="3"/>
    </row>
    <row r="472" spans="1:10" x14ac:dyDescent="0.25">
      <c r="A472" s="3"/>
      <c r="B472" s="3"/>
      <c r="C472" s="3"/>
      <c r="D472" s="3"/>
      <c r="E472" s="3"/>
      <c r="F472" s="3"/>
      <c r="G472" s="3"/>
      <c r="H472" s="3"/>
      <c r="I472" s="3"/>
      <c r="J472" s="3"/>
    </row>
    <row r="473" spans="1:10" x14ac:dyDescent="0.25">
      <c r="A473" s="3"/>
      <c r="B473" s="3"/>
      <c r="C473" s="3"/>
      <c r="D473" s="3"/>
      <c r="E473" s="3"/>
      <c r="F473" s="3"/>
      <c r="G473" s="3"/>
      <c r="H473" s="3"/>
      <c r="I473" s="3"/>
      <c r="J473" s="3"/>
    </row>
    <row r="474" spans="1:10" x14ac:dyDescent="0.25">
      <c r="A474" s="3"/>
      <c r="B474" s="3"/>
      <c r="C474" s="3"/>
      <c r="D474" s="3"/>
      <c r="E474" s="3"/>
      <c r="F474" s="3"/>
      <c r="G474" s="3"/>
      <c r="H474" s="3"/>
      <c r="I474" s="3"/>
      <c r="J474" s="3"/>
    </row>
    <row r="475" spans="1:10" x14ac:dyDescent="0.25">
      <c r="A475" s="3"/>
      <c r="B475" s="3"/>
      <c r="C475" s="3"/>
      <c r="D475" s="3"/>
      <c r="E475" s="3"/>
      <c r="F475" s="3"/>
      <c r="G475" s="3"/>
      <c r="H475" s="3"/>
      <c r="I475" s="3"/>
      <c r="J475" s="3"/>
    </row>
    <row r="476" spans="1:10" x14ac:dyDescent="0.25">
      <c r="A476" s="3"/>
      <c r="B476" s="3"/>
      <c r="C476" s="3"/>
      <c r="D476" s="3"/>
      <c r="E476" s="3"/>
      <c r="F476" s="3"/>
      <c r="G476" s="3"/>
      <c r="H476" s="3"/>
      <c r="I476" s="3"/>
      <c r="J476" s="3"/>
    </row>
    <row r="477" spans="1:10" x14ac:dyDescent="0.25">
      <c r="A477" s="3"/>
      <c r="B477" s="3"/>
      <c r="C477" s="3"/>
      <c r="D477" s="3"/>
      <c r="E477" s="3"/>
      <c r="F477" s="3"/>
      <c r="G477" s="3"/>
      <c r="H477" s="3"/>
      <c r="I477" s="3"/>
      <c r="J477" s="3"/>
    </row>
    <row r="478" spans="1:10" x14ac:dyDescent="0.25">
      <c r="A478" s="3"/>
      <c r="B478" s="3"/>
      <c r="C478" s="3"/>
      <c r="D478" s="3"/>
      <c r="E478" s="3"/>
      <c r="F478" s="3"/>
      <c r="G478" s="3"/>
      <c r="H478" s="3"/>
      <c r="I478" s="3"/>
      <c r="J478" s="3"/>
    </row>
    <row r="479" spans="1:10" x14ac:dyDescent="0.25">
      <c r="A479" s="3"/>
      <c r="B479" s="3"/>
      <c r="C479" s="3"/>
      <c r="D479" s="3"/>
      <c r="E479" s="3"/>
      <c r="F479" s="3"/>
      <c r="G479" s="3"/>
      <c r="H479" s="3"/>
      <c r="I479" s="3"/>
      <c r="J479" s="3"/>
    </row>
    <row r="480" spans="1:10" x14ac:dyDescent="0.25">
      <c r="A480" s="3"/>
      <c r="B480" s="3"/>
      <c r="C480" s="3"/>
      <c r="D480" s="3"/>
      <c r="E480" s="3"/>
      <c r="F480" s="3"/>
      <c r="G480" s="3"/>
      <c r="H480" s="3"/>
      <c r="I480" s="3"/>
      <c r="J480" s="3"/>
    </row>
    <row r="481" spans="1:10" x14ac:dyDescent="0.25">
      <c r="A481" s="3"/>
      <c r="B481" s="3"/>
      <c r="C481" s="3"/>
      <c r="D481" s="3"/>
      <c r="E481" s="3"/>
      <c r="F481" s="3"/>
      <c r="G481" s="3"/>
      <c r="H481" s="3"/>
      <c r="I481" s="3"/>
      <c r="J481" s="3"/>
    </row>
    <row r="482" spans="1:10" x14ac:dyDescent="0.25">
      <c r="A482" s="3"/>
      <c r="B482" s="3"/>
      <c r="C482" s="3"/>
      <c r="D482" s="3"/>
      <c r="E482" s="3"/>
      <c r="F482" s="3"/>
      <c r="G482" s="3"/>
      <c r="H482" s="3"/>
      <c r="I482" s="3"/>
      <c r="J482" s="3"/>
    </row>
    <row r="483" spans="1:10" x14ac:dyDescent="0.25">
      <c r="A483" s="3"/>
      <c r="B483" s="3"/>
      <c r="C483" s="3"/>
      <c r="D483" s="3"/>
      <c r="E483" s="3"/>
      <c r="F483" s="3"/>
      <c r="G483" s="3"/>
      <c r="H483" s="3"/>
      <c r="I483" s="3"/>
      <c r="J483" s="3"/>
    </row>
    <row r="484" spans="1:10" x14ac:dyDescent="0.25">
      <c r="A484" s="3"/>
      <c r="B484" s="3"/>
      <c r="C484" s="3"/>
      <c r="D484" s="3"/>
      <c r="E484" s="3"/>
      <c r="F484" s="3"/>
      <c r="G484" s="3"/>
      <c r="H484" s="3"/>
      <c r="I484" s="3"/>
      <c r="J484" s="3"/>
    </row>
    <row r="485" spans="1:10" x14ac:dyDescent="0.25">
      <c r="A485" s="3"/>
      <c r="B485" s="3"/>
      <c r="C485" s="3"/>
      <c r="D485" s="3"/>
      <c r="E485" s="3"/>
      <c r="F485" s="3"/>
      <c r="G485" s="3"/>
      <c r="H485" s="3"/>
      <c r="I485" s="3"/>
      <c r="J485" s="3"/>
    </row>
    <row r="486" spans="1:10" x14ac:dyDescent="0.25">
      <c r="A486" s="3"/>
      <c r="B486" s="3"/>
      <c r="C486" s="3"/>
      <c r="D486" s="3"/>
      <c r="E486" s="3"/>
      <c r="F486" s="3"/>
      <c r="G486" s="3"/>
      <c r="H486" s="3"/>
      <c r="I486" s="3"/>
      <c r="J486" s="3"/>
    </row>
    <row r="487" spans="1:10" x14ac:dyDescent="0.25">
      <c r="A487" s="3"/>
      <c r="B487" s="3"/>
      <c r="C487" s="3"/>
      <c r="D487" s="3"/>
      <c r="E487" s="3"/>
      <c r="F487" s="3"/>
      <c r="G487" s="3"/>
      <c r="H487" s="3"/>
      <c r="I487" s="3"/>
      <c r="J487" s="3"/>
    </row>
    <row r="488" spans="1:10" x14ac:dyDescent="0.25">
      <c r="A488" s="3"/>
      <c r="B488" s="3"/>
      <c r="C488" s="3"/>
      <c r="D488" s="3"/>
      <c r="E488" s="3"/>
      <c r="F488" s="3"/>
      <c r="G488" s="3"/>
      <c r="H488" s="3"/>
      <c r="I488" s="3"/>
      <c r="J488" s="3"/>
    </row>
    <row r="489" spans="1:10" x14ac:dyDescent="0.25">
      <c r="A489" s="3"/>
      <c r="B489" s="3"/>
      <c r="C489" s="3"/>
      <c r="D489" s="3"/>
      <c r="E489" s="3"/>
      <c r="F489" s="3"/>
      <c r="G489" s="3"/>
      <c r="H489" s="3"/>
      <c r="I489" s="3"/>
      <c r="J489" s="3"/>
    </row>
    <row r="490" spans="1:10" x14ac:dyDescent="0.25">
      <c r="A490" s="3"/>
      <c r="B490" s="3"/>
      <c r="C490" s="3"/>
      <c r="D490" s="3"/>
      <c r="E490" s="3"/>
      <c r="F490" s="3"/>
      <c r="G490" s="3"/>
      <c r="H490" s="3"/>
      <c r="I490" s="3"/>
      <c r="J490" s="3"/>
    </row>
    <row r="491" spans="1:10" x14ac:dyDescent="0.25">
      <c r="A491" s="3"/>
      <c r="B491" s="3"/>
      <c r="C491" s="3"/>
      <c r="D491" s="3"/>
      <c r="E491" s="3"/>
      <c r="F491" s="3"/>
      <c r="G491" s="3"/>
      <c r="H491" s="3"/>
      <c r="I491" s="3"/>
      <c r="J491" s="3"/>
    </row>
    <row r="492" spans="1:10" x14ac:dyDescent="0.25">
      <c r="A492" s="3"/>
      <c r="B492" s="3"/>
      <c r="C492" s="3"/>
      <c r="D492" s="3"/>
      <c r="E492" s="3"/>
      <c r="F492" s="3"/>
      <c r="G492" s="3"/>
      <c r="H492" s="3"/>
      <c r="I492" s="3"/>
      <c r="J492" s="3"/>
    </row>
    <row r="493" spans="1:10" x14ac:dyDescent="0.25">
      <c r="A493" s="3"/>
      <c r="B493" s="3"/>
      <c r="C493" s="3"/>
      <c r="D493" s="3"/>
      <c r="E493" s="3"/>
      <c r="F493" s="3"/>
      <c r="G493" s="3"/>
      <c r="H493" s="3"/>
      <c r="I493" s="3"/>
      <c r="J493" s="3"/>
    </row>
    <row r="494" spans="1:10" x14ac:dyDescent="0.25">
      <c r="A494" s="3"/>
      <c r="B494" s="3"/>
      <c r="C494" s="3"/>
      <c r="D494" s="3"/>
      <c r="E494" s="3"/>
      <c r="F494" s="3"/>
      <c r="G494" s="3"/>
      <c r="H494" s="3"/>
      <c r="I494" s="3"/>
      <c r="J494" s="3"/>
    </row>
    <row r="495" spans="1:10" x14ac:dyDescent="0.25">
      <c r="A495" s="3"/>
      <c r="B495" s="3"/>
      <c r="C495" s="3"/>
      <c r="D495" s="3"/>
      <c r="E495" s="3"/>
      <c r="F495" s="3"/>
      <c r="G495" s="3"/>
      <c r="H495" s="3"/>
      <c r="I495" s="3"/>
      <c r="J495" s="3"/>
    </row>
    <row r="496" spans="1:10" x14ac:dyDescent="0.25">
      <c r="A496" s="3"/>
      <c r="B496" s="3"/>
      <c r="C496" s="3"/>
      <c r="D496" s="3"/>
      <c r="E496" s="3"/>
      <c r="F496" s="3"/>
      <c r="G496" s="3"/>
      <c r="H496" s="3"/>
      <c r="I496" s="3"/>
      <c r="J496" s="3"/>
    </row>
    <row r="497" spans="1:10" x14ac:dyDescent="0.25">
      <c r="A497" s="3"/>
      <c r="B497" s="3"/>
      <c r="C497" s="3"/>
      <c r="D497" s="3"/>
      <c r="E497" s="3"/>
      <c r="F497" s="3"/>
      <c r="G497" s="3"/>
      <c r="H497" s="3"/>
      <c r="I497" s="3"/>
      <c r="J497" s="3"/>
    </row>
    <row r="498" spans="1:10" x14ac:dyDescent="0.25">
      <c r="A498" s="3"/>
      <c r="B498" s="3"/>
      <c r="C498" s="3"/>
      <c r="D498" s="3"/>
      <c r="E498" s="3"/>
      <c r="F498" s="3"/>
      <c r="G498" s="3"/>
      <c r="H498" s="3"/>
      <c r="I498" s="3"/>
      <c r="J498" s="3"/>
    </row>
    <row r="499" spans="1:10" x14ac:dyDescent="0.25">
      <c r="A499" s="3"/>
      <c r="B499" s="3"/>
      <c r="C499" s="3"/>
      <c r="D499" s="3"/>
      <c r="E499" s="3"/>
      <c r="F499" s="3"/>
      <c r="G499" s="3"/>
      <c r="H499" s="3"/>
      <c r="I499" s="3"/>
      <c r="J499" s="3"/>
    </row>
    <row r="500" spans="1:10" x14ac:dyDescent="0.25">
      <c r="A500" s="3"/>
      <c r="B500" s="3"/>
      <c r="C500" s="3"/>
      <c r="D500" s="3"/>
      <c r="E500" s="3"/>
      <c r="F500" s="3"/>
      <c r="G500" s="3"/>
      <c r="H500" s="3"/>
      <c r="I500" s="3"/>
      <c r="J500" s="3"/>
    </row>
    <row r="501" spans="1:10" x14ac:dyDescent="0.25">
      <c r="A501" s="3"/>
      <c r="B501" s="3"/>
      <c r="C501" s="3"/>
      <c r="D501" s="3"/>
      <c r="E501" s="3"/>
      <c r="F501" s="3"/>
      <c r="G501" s="3"/>
      <c r="H501" s="3"/>
      <c r="I501" s="3"/>
      <c r="J501" s="3"/>
    </row>
    <row r="502" spans="1:10" x14ac:dyDescent="0.25">
      <c r="A502" s="3"/>
      <c r="B502" s="3"/>
      <c r="C502" s="3"/>
      <c r="D502" s="3"/>
      <c r="E502" s="3"/>
      <c r="F502" s="3"/>
      <c r="G502" s="3"/>
      <c r="H502" s="3"/>
      <c r="I502" s="3"/>
      <c r="J502" s="3"/>
    </row>
    <row r="503" spans="1:10" x14ac:dyDescent="0.25">
      <c r="A503" s="3"/>
      <c r="B503" s="3"/>
      <c r="C503" s="3"/>
      <c r="D503" s="3"/>
      <c r="E503" s="3"/>
      <c r="F503" s="3"/>
      <c r="G503" s="3"/>
      <c r="H503" s="3"/>
      <c r="I503" s="3"/>
      <c r="J503" s="3"/>
    </row>
    <row r="504" spans="1:10" x14ac:dyDescent="0.25">
      <c r="A504" s="3"/>
      <c r="B504" s="3"/>
      <c r="C504" s="3"/>
      <c r="D504" s="3"/>
      <c r="E504" s="3"/>
      <c r="F504" s="3"/>
      <c r="G504" s="3"/>
      <c r="H504" s="3"/>
      <c r="I504" s="3"/>
      <c r="J504" s="3"/>
    </row>
    <row r="505" spans="1:10" x14ac:dyDescent="0.25">
      <c r="A505" s="3"/>
      <c r="B505" s="3"/>
      <c r="C505" s="3"/>
      <c r="D505" s="3"/>
      <c r="E505" s="3"/>
      <c r="F505" s="3"/>
      <c r="G505" s="3"/>
      <c r="H505" s="3"/>
      <c r="I505" s="3"/>
      <c r="J505" s="3"/>
    </row>
    <row r="506" spans="1:10" x14ac:dyDescent="0.25">
      <c r="A506" s="3"/>
      <c r="B506" s="3"/>
      <c r="C506" s="3"/>
      <c r="D506" s="3"/>
      <c r="E506" s="3"/>
      <c r="F506" s="3"/>
      <c r="G506" s="3"/>
      <c r="H506" s="3"/>
      <c r="I506" s="3"/>
      <c r="J506" s="3"/>
    </row>
    <row r="507" spans="1:10" x14ac:dyDescent="0.25">
      <c r="A507" s="3"/>
      <c r="B507" s="3"/>
      <c r="C507" s="3"/>
      <c r="D507" s="3"/>
      <c r="E507" s="3"/>
      <c r="F507" s="3"/>
      <c r="G507" s="3"/>
      <c r="H507" s="3"/>
      <c r="I507" s="3"/>
      <c r="J507" s="3"/>
    </row>
    <row r="508" spans="1:10" x14ac:dyDescent="0.25">
      <c r="A508" s="3"/>
      <c r="B508" s="3"/>
      <c r="C508" s="3"/>
      <c r="D508" s="3"/>
      <c r="E508" s="3"/>
      <c r="F508" s="3"/>
      <c r="G508" s="3"/>
      <c r="H508" s="3"/>
      <c r="I508" s="3"/>
      <c r="J508" s="3"/>
    </row>
    <row r="509" spans="1:10" x14ac:dyDescent="0.25">
      <c r="A509" s="3"/>
      <c r="B509" s="3"/>
      <c r="C509" s="3"/>
      <c r="D509" s="3"/>
      <c r="E509" s="3"/>
      <c r="F509" s="3"/>
      <c r="G509" s="3"/>
      <c r="H509" s="3"/>
      <c r="I509" s="3"/>
      <c r="J509" s="3"/>
    </row>
    <row r="510" spans="1:10" x14ac:dyDescent="0.25">
      <c r="A510" s="3"/>
      <c r="B510" s="3"/>
      <c r="C510" s="3"/>
      <c r="D510" s="3"/>
      <c r="E510" s="3"/>
      <c r="F510" s="3"/>
      <c r="G510" s="3"/>
      <c r="H510" s="3"/>
      <c r="I510" s="3"/>
      <c r="J510" s="3"/>
    </row>
    <row r="511" spans="1:10" x14ac:dyDescent="0.25">
      <c r="A511" s="3"/>
      <c r="B511" s="3"/>
      <c r="C511" s="3"/>
      <c r="D511" s="3"/>
      <c r="E511" s="3"/>
      <c r="F511" s="3"/>
      <c r="G511" s="3"/>
      <c r="H511" s="3"/>
      <c r="I511" s="3"/>
      <c r="J511" s="3"/>
    </row>
    <row r="512" spans="1:10" x14ac:dyDescent="0.25">
      <c r="A512" s="3"/>
      <c r="B512" s="3"/>
      <c r="C512" s="3"/>
      <c r="D512" s="3"/>
      <c r="E512" s="3"/>
      <c r="F512" s="3"/>
      <c r="G512" s="3"/>
      <c r="H512" s="3"/>
      <c r="I512" s="3"/>
      <c r="J512" s="3"/>
    </row>
    <row r="513" spans="1:10" x14ac:dyDescent="0.25">
      <c r="A513" s="3"/>
      <c r="B513" s="3"/>
      <c r="C513" s="3"/>
      <c r="D513" s="3"/>
      <c r="E513" s="3"/>
      <c r="F513" s="3"/>
      <c r="G513" s="3"/>
      <c r="H513" s="3"/>
      <c r="I513" s="3"/>
      <c r="J513" s="3"/>
    </row>
    <row r="514" spans="1:10" x14ac:dyDescent="0.25">
      <c r="A514" s="3"/>
      <c r="B514" s="3"/>
      <c r="C514" s="3"/>
      <c r="D514" s="3"/>
      <c r="E514" s="3"/>
      <c r="F514" s="3"/>
      <c r="G514" s="3"/>
      <c r="H514" s="3"/>
      <c r="I514" s="3"/>
      <c r="J514" s="3"/>
    </row>
    <row r="515" spans="1:10" x14ac:dyDescent="0.25">
      <c r="A515" s="3"/>
      <c r="B515" s="3"/>
      <c r="C515" s="3"/>
      <c r="D515" s="3"/>
      <c r="E515" s="3"/>
      <c r="F515" s="3"/>
      <c r="G515" s="3"/>
      <c r="H515" s="3"/>
      <c r="I515" s="3"/>
      <c r="J515" s="3"/>
    </row>
    <row r="516" spans="1:10" x14ac:dyDescent="0.25">
      <c r="A516" s="3"/>
      <c r="B516" s="3"/>
      <c r="C516" s="3"/>
      <c r="D516" s="3"/>
      <c r="E516" s="3"/>
      <c r="F516" s="3"/>
      <c r="G516" s="3"/>
      <c r="H516" s="3"/>
      <c r="I516" s="3"/>
      <c r="J516" s="3"/>
    </row>
    <row r="517" spans="1:10" x14ac:dyDescent="0.25">
      <c r="A517" s="3"/>
      <c r="B517" s="3"/>
      <c r="C517" s="3"/>
      <c r="D517" s="3"/>
      <c r="E517" s="3"/>
      <c r="F517" s="3"/>
      <c r="G517" s="3"/>
      <c r="H517" s="3"/>
      <c r="I517" s="3"/>
      <c r="J517" s="3"/>
    </row>
    <row r="518" spans="1:10" x14ac:dyDescent="0.25">
      <c r="A518" s="3"/>
      <c r="B518" s="3"/>
      <c r="C518" s="3"/>
      <c r="D518" s="3"/>
      <c r="E518" s="3"/>
      <c r="F518" s="3"/>
      <c r="G518" s="3"/>
      <c r="H518" s="3"/>
      <c r="I518" s="3"/>
      <c r="J518" s="3"/>
    </row>
    <row r="519" spans="1:10" x14ac:dyDescent="0.25">
      <c r="A519" s="3"/>
      <c r="B519" s="3"/>
      <c r="C519" s="3"/>
      <c r="D519" s="3"/>
      <c r="E519" s="3"/>
      <c r="F519" s="3"/>
      <c r="G519" s="3"/>
      <c r="H519" s="3"/>
      <c r="I519" s="3"/>
      <c r="J519" s="3"/>
    </row>
    <row r="520" spans="1:10" x14ac:dyDescent="0.25">
      <c r="A520" s="3"/>
      <c r="B520" s="3"/>
      <c r="C520" s="3"/>
      <c r="D520" s="3"/>
      <c r="E520" s="3"/>
      <c r="F520" s="3"/>
      <c r="G520" s="3"/>
      <c r="H520" s="3"/>
      <c r="I520" s="3"/>
      <c r="J520" s="3"/>
    </row>
    <row r="521" spans="1:10" x14ac:dyDescent="0.25">
      <c r="A521" s="3"/>
      <c r="B521" s="3"/>
      <c r="C521" s="3"/>
      <c r="D521" s="3"/>
      <c r="E521" s="3"/>
      <c r="F521" s="3"/>
      <c r="G521" s="3"/>
      <c r="H521" s="3"/>
      <c r="I521" s="3"/>
      <c r="J521" s="3"/>
    </row>
    <row r="522" spans="1:10" x14ac:dyDescent="0.25">
      <c r="A522" s="3"/>
      <c r="B522" s="3"/>
      <c r="C522" s="3"/>
      <c r="D522" s="3"/>
      <c r="E522" s="3"/>
      <c r="F522" s="3"/>
      <c r="G522" s="3"/>
      <c r="H522" s="3"/>
      <c r="I522" s="3"/>
      <c r="J522" s="3"/>
    </row>
    <row r="523" spans="1:10" x14ac:dyDescent="0.25">
      <c r="A523" s="3"/>
      <c r="B523" s="3"/>
      <c r="C523" s="3"/>
      <c r="D523" s="3"/>
      <c r="E523" s="3"/>
      <c r="F523" s="3"/>
      <c r="G523" s="3"/>
      <c r="H523" s="3"/>
      <c r="I523" s="3"/>
      <c r="J523" s="3"/>
    </row>
    <row r="524" spans="1:10" x14ac:dyDescent="0.25">
      <c r="A524" s="3"/>
      <c r="B524" s="3"/>
      <c r="C524" s="3"/>
      <c r="D524" s="3"/>
      <c r="E524" s="3"/>
      <c r="F524" s="3"/>
      <c r="G524" s="3"/>
      <c r="H524" s="3"/>
      <c r="I524" s="3"/>
      <c r="J524" s="3"/>
    </row>
    <row r="525" spans="1:10" x14ac:dyDescent="0.25">
      <c r="A525" s="3"/>
      <c r="B525" s="3"/>
      <c r="C525" s="3"/>
      <c r="D525" s="3"/>
      <c r="E525" s="3"/>
      <c r="F525" s="3"/>
      <c r="G525" s="3"/>
      <c r="H525" s="3"/>
      <c r="I525" s="3"/>
      <c r="J525" s="3"/>
    </row>
    <row r="526" spans="1:10" x14ac:dyDescent="0.25">
      <c r="A526" s="3"/>
      <c r="B526" s="3"/>
      <c r="C526" s="3"/>
      <c r="D526" s="3"/>
      <c r="E526" s="3"/>
      <c r="F526" s="3"/>
      <c r="G526" s="3"/>
      <c r="H526" s="3"/>
      <c r="I526" s="3"/>
      <c r="J526" s="3"/>
    </row>
    <row r="527" spans="1:10" x14ac:dyDescent="0.25">
      <c r="A527" s="3"/>
      <c r="B527" s="3"/>
      <c r="C527" s="3"/>
      <c r="D527" s="3"/>
      <c r="E527" s="3"/>
      <c r="F527" s="3"/>
      <c r="G527" s="3"/>
      <c r="H527" s="3"/>
      <c r="I527" s="3"/>
      <c r="J527" s="3"/>
    </row>
    <row r="528" spans="1:10" x14ac:dyDescent="0.25">
      <c r="A528" s="3"/>
      <c r="B528" s="3"/>
      <c r="C528" s="3"/>
      <c r="D528" s="3"/>
      <c r="E528" s="3"/>
      <c r="F528" s="3"/>
      <c r="G528" s="3"/>
      <c r="H528" s="3"/>
      <c r="I528" s="3"/>
      <c r="J528" s="3"/>
    </row>
    <row r="529" spans="1:10" x14ac:dyDescent="0.25">
      <c r="A529" s="3"/>
      <c r="B529" s="3"/>
      <c r="C529" s="3"/>
      <c r="D529" s="3"/>
      <c r="E529" s="3"/>
      <c r="F529" s="3"/>
      <c r="G529" s="3"/>
      <c r="H529" s="3"/>
      <c r="I529" s="3"/>
      <c r="J529" s="3"/>
    </row>
    <row r="530" spans="1:10" x14ac:dyDescent="0.25">
      <c r="A530" s="3"/>
      <c r="B530" s="3"/>
      <c r="C530" s="3"/>
      <c r="D530" s="3"/>
      <c r="E530" s="3"/>
      <c r="F530" s="3"/>
      <c r="G530" s="3"/>
      <c r="H530" s="3"/>
      <c r="I530" s="3"/>
      <c r="J530" s="3"/>
    </row>
    <row r="531" spans="1:10" x14ac:dyDescent="0.25">
      <c r="A531" s="3"/>
      <c r="B531" s="3"/>
      <c r="C531" s="3"/>
      <c r="D531" s="3"/>
      <c r="E531" s="3"/>
      <c r="F531" s="3"/>
      <c r="G531" s="3"/>
      <c r="H531" s="3"/>
      <c r="I531" s="3"/>
      <c r="J531" s="3"/>
    </row>
    <row r="532" spans="1:10" x14ac:dyDescent="0.25">
      <c r="A532" s="3"/>
      <c r="B532" s="3"/>
      <c r="C532" s="3"/>
      <c r="D532" s="3"/>
      <c r="E532" s="3"/>
      <c r="F532" s="3"/>
      <c r="G532" s="3"/>
      <c r="H532" s="3"/>
      <c r="I532" s="3"/>
      <c r="J532" s="3"/>
    </row>
    <row r="533" spans="1:10" x14ac:dyDescent="0.25">
      <c r="A533" s="3"/>
      <c r="B533" s="3"/>
      <c r="C533" s="3"/>
      <c r="D533" s="3"/>
      <c r="E533" s="3"/>
      <c r="F533" s="3"/>
      <c r="G533" s="3"/>
      <c r="H533" s="3"/>
      <c r="I533" s="3"/>
      <c r="J533" s="3"/>
    </row>
    <row r="534" spans="1:10" x14ac:dyDescent="0.25">
      <c r="A534" s="3"/>
      <c r="B534" s="3"/>
      <c r="C534" s="3"/>
      <c r="D534" s="3"/>
      <c r="E534" s="3"/>
      <c r="F534" s="3"/>
      <c r="G534" s="3"/>
      <c r="H534" s="3"/>
      <c r="I534" s="3"/>
      <c r="J534" s="3"/>
    </row>
    <row r="535" spans="1:10" x14ac:dyDescent="0.25">
      <c r="A535" s="3"/>
      <c r="B535" s="3"/>
      <c r="C535" s="3"/>
      <c r="D535" s="3"/>
      <c r="E535" s="3"/>
      <c r="F535" s="3"/>
      <c r="G535" s="3"/>
      <c r="H535" s="3"/>
      <c r="I535" s="3"/>
      <c r="J535" s="3"/>
    </row>
    <row r="536" spans="1:10" x14ac:dyDescent="0.25">
      <c r="A536" s="3"/>
      <c r="B536" s="3"/>
      <c r="C536" s="3"/>
      <c r="D536" s="3"/>
      <c r="E536" s="3"/>
      <c r="F536" s="3"/>
      <c r="G536" s="3"/>
      <c r="H536" s="3"/>
      <c r="I536" s="3"/>
      <c r="J536" s="3"/>
    </row>
    <row r="537" spans="1:10" x14ac:dyDescent="0.25">
      <c r="A537" s="3"/>
      <c r="B537" s="3"/>
      <c r="C537" s="3"/>
      <c r="D537" s="3"/>
      <c r="E537" s="3"/>
      <c r="F537" s="3"/>
      <c r="G537" s="3"/>
      <c r="H537" s="3"/>
      <c r="I537" s="3"/>
      <c r="J537" s="3"/>
    </row>
    <row r="538" spans="1:10" x14ac:dyDescent="0.25">
      <c r="A538" s="3"/>
      <c r="B538" s="3"/>
      <c r="C538" s="3"/>
      <c r="D538" s="3"/>
      <c r="E538" s="3"/>
      <c r="F538" s="3"/>
      <c r="G538" s="3"/>
      <c r="H538" s="3"/>
      <c r="I538" s="3"/>
      <c r="J538" s="3"/>
    </row>
    <row r="539" spans="1:10" x14ac:dyDescent="0.25">
      <c r="A539" s="3"/>
      <c r="B539" s="3"/>
      <c r="C539" s="3"/>
      <c r="D539" s="3"/>
      <c r="E539" s="3"/>
      <c r="F539" s="3"/>
      <c r="G539" s="3"/>
      <c r="H539" s="3"/>
      <c r="I539" s="3"/>
      <c r="J539" s="3"/>
    </row>
    <row r="540" spans="1:10" x14ac:dyDescent="0.25">
      <c r="A540" s="3"/>
      <c r="B540" s="3"/>
      <c r="C540" s="3"/>
      <c r="D540" s="3"/>
      <c r="E540" s="3"/>
      <c r="F540" s="3"/>
      <c r="G540" s="3"/>
      <c r="H540" s="3"/>
      <c r="I540" s="3"/>
      <c r="J540" s="3"/>
    </row>
    <row r="541" spans="1:10" x14ac:dyDescent="0.25">
      <c r="A541" s="3"/>
      <c r="B541" s="3"/>
      <c r="C541" s="3"/>
      <c r="D541" s="3"/>
      <c r="E541" s="3"/>
      <c r="F541" s="3"/>
      <c r="G541" s="3"/>
      <c r="H541" s="3"/>
      <c r="I541" s="3"/>
      <c r="J541" s="3"/>
    </row>
    <row r="542" spans="1:10" x14ac:dyDescent="0.25">
      <c r="A542" s="3"/>
      <c r="B542" s="3"/>
      <c r="C542" s="3"/>
      <c r="D542" s="3"/>
      <c r="E542" s="3"/>
      <c r="F542" s="3"/>
      <c r="G542" s="3"/>
      <c r="H542" s="3"/>
      <c r="I542" s="3"/>
      <c r="J542" s="3"/>
    </row>
    <row r="543" spans="1:10" x14ac:dyDescent="0.25">
      <c r="A543" s="3"/>
      <c r="B543" s="3"/>
      <c r="C543" s="3"/>
      <c r="D543" s="3"/>
      <c r="E543" s="3"/>
      <c r="F543" s="3"/>
      <c r="G543" s="3"/>
      <c r="H543" s="3"/>
      <c r="I543" s="3"/>
      <c r="J543" s="3"/>
    </row>
    <row r="544" spans="1:10" x14ac:dyDescent="0.25">
      <c r="A544" s="3"/>
      <c r="B544" s="3"/>
      <c r="C544" s="3"/>
      <c r="D544" s="3"/>
      <c r="E544" s="3"/>
      <c r="F544" s="3"/>
      <c r="G544" s="3"/>
      <c r="H544" s="3"/>
      <c r="I544" s="3"/>
      <c r="J544" s="3"/>
    </row>
    <row r="545" spans="1:10" x14ac:dyDescent="0.25">
      <c r="A545" s="3"/>
      <c r="B545" s="3"/>
      <c r="C545" s="3"/>
      <c r="D545" s="3"/>
      <c r="E545" s="3"/>
      <c r="F545" s="3"/>
      <c r="G545" s="3"/>
      <c r="H545" s="3"/>
      <c r="I545" s="3"/>
      <c r="J545" s="3"/>
    </row>
    <row r="546" spans="1:10" x14ac:dyDescent="0.25">
      <c r="A546" s="3"/>
      <c r="B546" s="3"/>
      <c r="C546" s="3"/>
      <c r="D546" s="3"/>
      <c r="E546" s="3"/>
      <c r="F546" s="3"/>
      <c r="G546" s="3"/>
      <c r="H546" s="3"/>
      <c r="I546" s="3"/>
      <c r="J546" s="3"/>
    </row>
    <row r="547" spans="1:10" x14ac:dyDescent="0.25">
      <c r="A547" s="3"/>
      <c r="B547" s="3"/>
      <c r="C547" s="3"/>
      <c r="D547" s="3"/>
      <c r="E547" s="3"/>
      <c r="F547" s="3"/>
      <c r="G547" s="3"/>
      <c r="H547" s="3"/>
      <c r="I547" s="3"/>
      <c r="J547" s="3"/>
    </row>
    <row r="548" spans="1:10" x14ac:dyDescent="0.25">
      <c r="A548" s="3"/>
      <c r="B548" s="3"/>
      <c r="C548" s="3"/>
      <c r="D548" s="3"/>
      <c r="E548" s="3"/>
      <c r="F548" s="3"/>
      <c r="G548" s="3"/>
      <c r="H548" s="3"/>
      <c r="I548" s="3"/>
      <c r="J548" s="3"/>
    </row>
    <row r="549" spans="1:10" x14ac:dyDescent="0.25">
      <c r="A549" s="3"/>
      <c r="B549" s="3"/>
      <c r="C549" s="3"/>
      <c r="D549" s="3"/>
      <c r="E549" s="3"/>
      <c r="F549" s="3"/>
      <c r="G549" s="3"/>
      <c r="H549" s="3"/>
      <c r="I549" s="3"/>
      <c r="J549" s="3"/>
    </row>
    <row r="550" spans="1:10" x14ac:dyDescent="0.25">
      <c r="A550" s="3"/>
      <c r="B550" s="3"/>
      <c r="C550" s="3"/>
      <c r="D550" s="3"/>
      <c r="E550" s="3"/>
      <c r="F550" s="3"/>
      <c r="G550" s="3"/>
      <c r="H550" s="3"/>
      <c r="I550" s="3"/>
      <c r="J550" s="3"/>
    </row>
    <row r="551" spans="1:10" x14ac:dyDescent="0.25">
      <c r="A551" s="3"/>
      <c r="B551" s="3"/>
      <c r="C551" s="3"/>
      <c r="D551" s="3"/>
      <c r="E551" s="3"/>
      <c r="F551" s="3"/>
      <c r="G551" s="3"/>
      <c r="H551" s="3"/>
      <c r="I551" s="3"/>
      <c r="J551" s="3"/>
    </row>
    <row r="552" spans="1:10" x14ac:dyDescent="0.25">
      <c r="A552" s="3"/>
      <c r="B552" s="3"/>
      <c r="C552" s="3"/>
      <c r="D552" s="3"/>
      <c r="E552" s="3"/>
      <c r="F552" s="3"/>
      <c r="G552" s="3"/>
      <c r="H552" s="3"/>
      <c r="I552" s="3"/>
      <c r="J552" s="3"/>
    </row>
    <row r="553" spans="1:10" x14ac:dyDescent="0.25">
      <c r="A553" s="3"/>
      <c r="B553" s="3"/>
      <c r="C553" s="3"/>
      <c r="D553" s="3"/>
      <c r="E553" s="3"/>
      <c r="F553" s="3"/>
      <c r="G553" s="3"/>
      <c r="H553" s="3"/>
      <c r="I553" s="3"/>
      <c r="J553" s="3"/>
    </row>
    <row r="554" spans="1:10" x14ac:dyDescent="0.25">
      <c r="A554" s="3"/>
      <c r="B554" s="3"/>
      <c r="C554" s="3"/>
      <c r="D554" s="3"/>
      <c r="E554" s="3"/>
      <c r="F554" s="3"/>
      <c r="G554" s="3"/>
      <c r="H554" s="3"/>
      <c r="I554" s="3"/>
      <c r="J554" s="3"/>
    </row>
    <row r="555" spans="1:10" x14ac:dyDescent="0.25">
      <c r="A555" s="3"/>
      <c r="B555" s="3"/>
      <c r="C555" s="3"/>
      <c r="D555" s="3"/>
      <c r="E555" s="3"/>
      <c r="F555" s="3"/>
      <c r="G555" s="3"/>
      <c r="H555" s="3"/>
      <c r="I555" s="3"/>
      <c r="J555" s="3"/>
    </row>
    <row r="556" spans="1:10" x14ac:dyDescent="0.25">
      <c r="A556" s="3"/>
      <c r="B556" s="3"/>
      <c r="C556" s="3"/>
      <c r="D556" s="3"/>
      <c r="E556" s="3"/>
      <c r="F556" s="3"/>
      <c r="G556" s="3"/>
      <c r="H556" s="3"/>
      <c r="I556" s="3"/>
      <c r="J556" s="3"/>
    </row>
    <row r="557" spans="1:10" x14ac:dyDescent="0.25">
      <c r="A557" s="3"/>
      <c r="B557" s="3"/>
      <c r="C557" s="3"/>
      <c r="D557" s="3"/>
      <c r="E557" s="3"/>
      <c r="F557" s="3"/>
      <c r="G557" s="3"/>
      <c r="H557" s="3"/>
      <c r="I557" s="3"/>
      <c r="J557" s="3"/>
    </row>
    <row r="558" spans="1:10" x14ac:dyDescent="0.25">
      <c r="A558" s="3"/>
      <c r="B558" s="3"/>
      <c r="C558" s="3"/>
      <c r="D558" s="3"/>
      <c r="E558" s="3"/>
      <c r="F558" s="3"/>
      <c r="G558" s="3"/>
      <c r="H558" s="3"/>
      <c r="I558" s="3"/>
      <c r="J558" s="3"/>
    </row>
    <row r="559" spans="1:10" x14ac:dyDescent="0.25">
      <c r="A559" s="3"/>
      <c r="B559" s="3"/>
      <c r="C559" s="3"/>
      <c r="D559" s="3"/>
      <c r="E559" s="3"/>
      <c r="F559" s="3"/>
      <c r="G559" s="3"/>
      <c r="H559" s="3"/>
      <c r="I559" s="3"/>
      <c r="J559" s="3"/>
    </row>
    <row r="560" spans="1:10" x14ac:dyDescent="0.25">
      <c r="A560" s="3"/>
      <c r="B560" s="3"/>
      <c r="C560" s="3"/>
      <c r="D560" s="3"/>
      <c r="E560" s="3"/>
      <c r="F560" s="3"/>
      <c r="G560" s="3"/>
      <c r="H560" s="3"/>
      <c r="I560" s="3"/>
      <c r="J560" s="3"/>
    </row>
    <row r="561" spans="1:10" x14ac:dyDescent="0.25">
      <c r="A561" s="3"/>
      <c r="B561" s="3"/>
      <c r="C561" s="3"/>
      <c r="D561" s="3"/>
      <c r="E561" s="3"/>
      <c r="F561" s="3"/>
      <c r="G561" s="3"/>
      <c r="H561" s="3"/>
      <c r="I561" s="3"/>
      <c r="J561" s="3"/>
    </row>
    <row r="562" spans="1:10" x14ac:dyDescent="0.25">
      <c r="A562" s="3"/>
      <c r="B562" s="3"/>
      <c r="C562" s="3"/>
      <c r="D562" s="3"/>
      <c r="E562" s="3"/>
      <c r="F562" s="3"/>
      <c r="G562" s="3"/>
      <c r="H562" s="3"/>
      <c r="I562" s="3"/>
      <c r="J562" s="3"/>
    </row>
    <row r="563" spans="1:10" x14ac:dyDescent="0.25">
      <c r="A563" s="3"/>
      <c r="B563" s="3"/>
      <c r="C563" s="3"/>
      <c r="D563" s="3"/>
      <c r="E563" s="3"/>
      <c r="F563" s="3"/>
      <c r="G563" s="3"/>
      <c r="H563" s="3"/>
      <c r="I563" s="3"/>
      <c r="J563" s="3"/>
    </row>
    <row r="564" spans="1:10" x14ac:dyDescent="0.25">
      <c r="A564" s="3"/>
      <c r="B564" s="3"/>
      <c r="C564" s="3"/>
      <c r="D564" s="3"/>
      <c r="E564" s="3"/>
      <c r="F564" s="3"/>
      <c r="G564" s="3"/>
      <c r="H564" s="3"/>
      <c r="I564" s="3"/>
      <c r="J564" s="3"/>
    </row>
    <row r="565" spans="1:10" x14ac:dyDescent="0.25">
      <c r="A565" s="3"/>
      <c r="B565" s="3"/>
      <c r="C565" s="3"/>
      <c r="D565" s="3"/>
      <c r="E565" s="3"/>
      <c r="F565" s="3"/>
      <c r="G565" s="3"/>
      <c r="H565" s="3"/>
      <c r="I565" s="3"/>
      <c r="J565" s="3"/>
    </row>
    <row r="566" spans="1:10" x14ac:dyDescent="0.25">
      <c r="A566" s="3"/>
      <c r="B566" s="3"/>
      <c r="C566" s="3"/>
      <c r="D566" s="3"/>
      <c r="E566" s="3"/>
      <c r="F566" s="3"/>
      <c r="G566" s="3"/>
      <c r="H566" s="3"/>
      <c r="I566" s="3"/>
      <c r="J566" s="3"/>
    </row>
    <row r="567" spans="1:10" x14ac:dyDescent="0.25">
      <c r="A567" s="3"/>
      <c r="B567" s="3"/>
      <c r="C567" s="3"/>
      <c r="D567" s="3"/>
      <c r="E567" s="3"/>
      <c r="F567" s="3"/>
      <c r="G567" s="3"/>
      <c r="H567" s="3"/>
      <c r="I567" s="3"/>
      <c r="J567" s="3"/>
    </row>
    <row r="568" spans="1:10" x14ac:dyDescent="0.25">
      <c r="A568" s="3"/>
      <c r="B568" s="3"/>
      <c r="C568" s="3"/>
      <c r="D568" s="3"/>
      <c r="E568" s="3"/>
      <c r="F568" s="3"/>
      <c r="G568" s="3"/>
      <c r="H568" s="3"/>
      <c r="I568" s="3"/>
      <c r="J568" s="3"/>
    </row>
    <row r="569" spans="1:10" x14ac:dyDescent="0.25">
      <c r="A569" s="3"/>
      <c r="B569" s="3"/>
      <c r="C569" s="3"/>
      <c r="D569" s="3"/>
      <c r="E569" s="3"/>
      <c r="F569" s="3"/>
      <c r="G569" s="3"/>
      <c r="H569" s="3"/>
      <c r="I569" s="3"/>
      <c r="J569" s="3"/>
    </row>
    <row r="570" spans="1:10" x14ac:dyDescent="0.25">
      <c r="A570" s="3"/>
      <c r="B570" s="3"/>
      <c r="C570" s="3"/>
      <c r="D570" s="3"/>
      <c r="E570" s="3"/>
      <c r="F570" s="3"/>
      <c r="G570" s="3"/>
      <c r="H570" s="3"/>
      <c r="I570" s="3"/>
      <c r="J570" s="3"/>
    </row>
    <row r="571" spans="1:10" x14ac:dyDescent="0.25">
      <c r="A571" s="3"/>
      <c r="B571" s="3"/>
      <c r="C571" s="3"/>
      <c r="D571" s="3"/>
      <c r="E571" s="3"/>
      <c r="F571" s="3"/>
      <c r="G571" s="3"/>
      <c r="H571" s="3"/>
      <c r="I571" s="3"/>
      <c r="J571" s="3"/>
    </row>
    <row r="572" spans="1:10" x14ac:dyDescent="0.25">
      <c r="A572" s="3"/>
      <c r="B572" s="3"/>
      <c r="C572" s="3"/>
      <c r="D572" s="3"/>
      <c r="E572" s="3"/>
      <c r="F572" s="3"/>
      <c r="G572" s="3"/>
      <c r="H572" s="3"/>
      <c r="I572" s="3"/>
      <c r="J572" s="3"/>
    </row>
    <row r="573" spans="1:10" x14ac:dyDescent="0.25">
      <c r="A573" s="3"/>
      <c r="B573" s="3"/>
      <c r="C573" s="3"/>
      <c r="D573" s="3"/>
      <c r="E573" s="3"/>
      <c r="F573" s="3"/>
      <c r="G573" s="3"/>
      <c r="H573" s="3"/>
      <c r="I573" s="3"/>
      <c r="J573" s="3"/>
    </row>
    <row r="574" spans="1:10" x14ac:dyDescent="0.25">
      <c r="A574" s="3"/>
      <c r="B574" s="3"/>
      <c r="C574" s="3"/>
      <c r="D574" s="3"/>
      <c r="E574" s="3"/>
      <c r="F574" s="3"/>
      <c r="G574" s="3"/>
      <c r="H574" s="3"/>
      <c r="I574" s="3"/>
      <c r="J574" s="3"/>
    </row>
    <row r="575" spans="1:10" x14ac:dyDescent="0.25">
      <c r="A575" s="3"/>
      <c r="B575" s="3"/>
      <c r="C575" s="3"/>
      <c r="D575" s="3"/>
      <c r="E575" s="3"/>
      <c r="F575" s="3"/>
      <c r="G575" s="3"/>
      <c r="H575" s="3"/>
      <c r="I575" s="3"/>
      <c r="J575" s="3"/>
    </row>
    <row r="576" spans="1:10" x14ac:dyDescent="0.25">
      <c r="A576" s="3"/>
      <c r="B576" s="3"/>
      <c r="C576" s="3"/>
      <c r="D576" s="3"/>
      <c r="E576" s="3"/>
      <c r="F576" s="3"/>
      <c r="G576" s="3"/>
      <c r="H576" s="3"/>
      <c r="I576" s="3"/>
      <c r="J576" s="3"/>
    </row>
    <row r="577" spans="1:10" x14ac:dyDescent="0.25">
      <c r="A577" s="3"/>
      <c r="B577" s="3"/>
      <c r="C577" s="3"/>
      <c r="D577" s="3"/>
      <c r="E577" s="3"/>
      <c r="F577" s="3"/>
      <c r="G577" s="3"/>
      <c r="H577" s="3"/>
      <c r="I577" s="3"/>
      <c r="J577" s="3"/>
    </row>
    <row r="578" spans="1:10" x14ac:dyDescent="0.25">
      <c r="A578" s="3"/>
      <c r="B578" s="3"/>
      <c r="C578" s="3"/>
      <c r="D578" s="3"/>
      <c r="E578" s="3"/>
      <c r="F578" s="3"/>
      <c r="G578" s="3"/>
      <c r="H578" s="3"/>
      <c r="I578" s="3"/>
      <c r="J578" s="3"/>
    </row>
    <row r="579" spans="1:10" x14ac:dyDescent="0.25">
      <c r="A579" s="3"/>
      <c r="B579" s="3"/>
      <c r="C579" s="3"/>
      <c r="D579" s="3"/>
      <c r="E579" s="3"/>
      <c r="F579" s="3"/>
      <c r="G579" s="3"/>
      <c r="H579" s="3"/>
      <c r="I579" s="3"/>
      <c r="J579" s="3"/>
    </row>
    <row r="580" spans="1:10" x14ac:dyDescent="0.25">
      <c r="A580" s="3"/>
      <c r="B580" s="3"/>
      <c r="C580" s="3"/>
      <c r="D580" s="3"/>
      <c r="E580" s="3"/>
      <c r="F580" s="3"/>
      <c r="G580" s="3"/>
      <c r="H580" s="3"/>
      <c r="I580" s="3"/>
      <c r="J580" s="3"/>
    </row>
    <row r="581" spans="1:10" x14ac:dyDescent="0.25">
      <c r="A581" s="3"/>
      <c r="B581" s="3"/>
      <c r="C581" s="3"/>
      <c r="D581" s="3"/>
      <c r="E581" s="3"/>
      <c r="F581" s="3"/>
      <c r="G581" s="3"/>
      <c r="H581" s="3"/>
      <c r="I581" s="3"/>
      <c r="J581" s="3"/>
    </row>
    <row r="582" spans="1:10" x14ac:dyDescent="0.25">
      <c r="A582" s="3"/>
      <c r="B582" s="3"/>
      <c r="C582" s="3"/>
      <c r="D582" s="3"/>
      <c r="E582" s="3"/>
      <c r="F582" s="3"/>
      <c r="G582" s="3"/>
      <c r="H582" s="3"/>
      <c r="I582" s="3"/>
      <c r="J582" s="3"/>
    </row>
    <row r="583" spans="1:10" x14ac:dyDescent="0.25">
      <c r="A583" s="3"/>
      <c r="B583" s="3"/>
      <c r="C583" s="3"/>
      <c r="D583" s="3"/>
      <c r="E583" s="3"/>
      <c r="F583" s="3"/>
      <c r="G583" s="3"/>
      <c r="H583" s="3"/>
      <c r="I583" s="3"/>
      <c r="J583" s="3"/>
    </row>
    <row r="584" spans="1:10" x14ac:dyDescent="0.25">
      <c r="A584" s="3"/>
      <c r="B584" s="3"/>
      <c r="C584" s="3"/>
      <c r="D584" s="3"/>
      <c r="E584" s="3"/>
      <c r="F584" s="3"/>
      <c r="G584" s="3"/>
      <c r="H584" s="3"/>
      <c r="I584" s="3"/>
      <c r="J584" s="3"/>
    </row>
    <row r="585" spans="1:10" x14ac:dyDescent="0.25">
      <c r="A585" s="3"/>
      <c r="B585" s="3"/>
      <c r="C585" s="3"/>
      <c r="D585" s="3"/>
      <c r="E585" s="3"/>
      <c r="F585" s="3"/>
      <c r="G585" s="3"/>
      <c r="H585" s="3"/>
      <c r="I585" s="3"/>
      <c r="J585" s="3"/>
    </row>
    <row r="586" spans="1:10" x14ac:dyDescent="0.25">
      <c r="A586" s="3"/>
      <c r="B586" s="3"/>
      <c r="C586" s="3"/>
      <c r="D586" s="3"/>
      <c r="E586" s="3"/>
      <c r="F586" s="3"/>
      <c r="G586" s="3"/>
      <c r="H586" s="3"/>
      <c r="I586" s="3"/>
      <c r="J586" s="3"/>
    </row>
    <row r="587" spans="1:10" x14ac:dyDescent="0.25">
      <c r="A587" s="3"/>
      <c r="B587" s="3"/>
      <c r="C587" s="3"/>
      <c r="D587" s="3"/>
      <c r="E587" s="3"/>
      <c r="F587" s="3"/>
      <c r="G587" s="3"/>
      <c r="H587" s="3"/>
      <c r="I587" s="3"/>
      <c r="J587" s="3"/>
    </row>
    <row r="588" spans="1:10" x14ac:dyDescent="0.25">
      <c r="A588" s="3"/>
      <c r="B588" s="3"/>
      <c r="C588" s="3"/>
      <c r="D588" s="3"/>
      <c r="E588" s="3"/>
      <c r="F588" s="3"/>
      <c r="G588" s="3"/>
      <c r="H588" s="3"/>
      <c r="I588" s="3"/>
      <c r="J588" s="3"/>
    </row>
    <row r="589" spans="1:10" x14ac:dyDescent="0.25">
      <c r="A589" s="3"/>
      <c r="B589" s="3"/>
      <c r="C589" s="3"/>
      <c r="D589" s="3"/>
      <c r="E589" s="3"/>
      <c r="F589" s="3"/>
      <c r="G589" s="3"/>
      <c r="H589" s="3"/>
      <c r="I589" s="3"/>
      <c r="J589" s="3"/>
    </row>
    <row r="590" spans="1:10" x14ac:dyDescent="0.25">
      <c r="A590" s="3"/>
      <c r="B590" s="3"/>
      <c r="C590" s="3"/>
      <c r="D590" s="3"/>
      <c r="E590" s="3"/>
      <c r="F590" s="3"/>
      <c r="G590" s="3"/>
      <c r="H590" s="3"/>
      <c r="I590" s="3"/>
      <c r="J590" s="3"/>
    </row>
    <row r="591" spans="1:10" x14ac:dyDescent="0.25">
      <c r="A591" s="3"/>
      <c r="B591" s="3"/>
      <c r="C591" s="3"/>
      <c r="D591" s="3"/>
      <c r="E591" s="3"/>
      <c r="F591" s="3"/>
      <c r="G591" s="3"/>
      <c r="H591" s="3"/>
      <c r="I591" s="3"/>
      <c r="J591" s="3"/>
    </row>
    <row r="592" spans="1:10" x14ac:dyDescent="0.25">
      <c r="A592" s="3"/>
      <c r="B592" s="3"/>
      <c r="C592" s="3"/>
      <c r="D592" s="3"/>
      <c r="E592" s="3"/>
      <c r="F592" s="3"/>
      <c r="G592" s="3"/>
      <c r="H592" s="3"/>
      <c r="I592" s="3"/>
      <c r="J592" s="3"/>
    </row>
    <row r="593" spans="1:10" x14ac:dyDescent="0.25">
      <c r="A593" s="3"/>
      <c r="B593" s="3"/>
      <c r="C593" s="3"/>
      <c r="D593" s="3"/>
      <c r="E593" s="3"/>
      <c r="F593" s="3"/>
      <c r="G593" s="3"/>
      <c r="H593" s="3"/>
      <c r="I593" s="3"/>
      <c r="J593" s="3"/>
    </row>
    <row r="594" spans="1:10" x14ac:dyDescent="0.25">
      <c r="A594" s="3"/>
      <c r="B594" s="3"/>
      <c r="C594" s="3"/>
      <c r="D594" s="3"/>
      <c r="E594" s="3"/>
      <c r="F594" s="3"/>
      <c r="G594" s="3"/>
      <c r="H594" s="3"/>
      <c r="I594" s="3"/>
      <c r="J594" s="3"/>
    </row>
    <row r="595" spans="1:10" x14ac:dyDescent="0.25">
      <c r="A595" s="3"/>
      <c r="B595" s="3"/>
      <c r="C595" s="3"/>
      <c r="D595" s="3"/>
      <c r="E595" s="3"/>
      <c r="F595" s="3"/>
      <c r="G595" s="3"/>
      <c r="H595" s="3"/>
      <c r="I595" s="3"/>
      <c r="J595" s="3"/>
    </row>
    <row r="596" spans="1:10" x14ac:dyDescent="0.25">
      <c r="A596" s="3"/>
      <c r="B596" s="3"/>
      <c r="C596" s="3"/>
      <c r="D596" s="3"/>
      <c r="E596" s="3"/>
      <c r="F596" s="3"/>
      <c r="G596" s="3"/>
      <c r="H596" s="3"/>
      <c r="I596" s="3"/>
      <c r="J596" s="3"/>
    </row>
    <row r="597" spans="1:10" x14ac:dyDescent="0.25">
      <c r="A597" s="3"/>
      <c r="B597" s="3"/>
      <c r="C597" s="3"/>
      <c r="D597" s="3"/>
      <c r="E597" s="3"/>
      <c r="F597" s="3"/>
      <c r="G597" s="3"/>
      <c r="H597" s="3"/>
      <c r="I597" s="3"/>
      <c r="J597" s="3"/>
    </row>
    <row r="598" spans="1:10" x14ac:dyDescent="0.25">
      <c r="A598" s="3"/>
      <c r="B598" s="3"/>
      <c r="C598" s="3"/>
      <c r="D598" s="3"/>
      <c r="E598" s="3"/>
      <c r="F598" s="3"/>
      <c r="G598" s="3"/>
      <c r="H598" s="3"/>
      <c r="I598" s="3"/>
      <c r="J598" s="3"/>
    </row>
    <row r="599" spans="1:10" x14ac:dyDescent="0.25">
      <c r="A599" s="3"/>
      <c r="B599" s="3"/>
      <c r="C599" s="3"/>
      <c r="D599" s="3"/>
      <c r="E599" s="3"/>
      <c r="F599" s="3"/>
      <c r="G599" s="3"/>
      <c r="H599" s="3"/>
      <c r="I599" s="3"/>
      <c r="J599" s="3"/>
    </row>
    <row r="600" spans="1:10" x14ac:dyDescent="0.25">
      <c r="A600" s="3"/>
      <c r="B600" s="3"/>
      <c r="C600" s="3"/>
      <c r="D600" s="3"/>
      <c r="E600" s="3"/>
      <c r="F600" s="3"/>
      <c r="G600" s="3"/>
      <c r="H600" s="3"/>
      <c r="I600" s="3"/>
      <c r="J600" s="3"/>
    </row>
    <row r="601" spans="1:10" x14ac:dyDescent="0.25">
      <c r="A601" s="3"/>
      <c r="B601" s="3"/>
      <c r="C601" s="3"/>
      <c r="D601" s="3"/>
      <c r="E601" s="3"/>
      <c r="F601" s="3"/>
      <c r="G601" s="3"/>
      <c r="H601" s="3"/>
      <c r="I601" s="3"/>
      <c r="J601" s="3"/>
    </row>
    <row r="602" spans="1:10" x14ac:dyDescent="0.25">
      <c r="A602" s="3"/>
      <c r="B602" s="3"/>
      <c r="C602" s="3"/>
      <c r="D602" s="3"/>
      <c r="E602" s="3"/>
      <c r="F602" s="3"/>
      <c r="G602" s="3"/>
      <c r="H602" s="3"/>
      <c r="I602" s="3"/>
      <c r="J602" s="3"/>
    </row>
    <row r="603" spans="1:10" x14ac:dyDescent="0.25">
      <c r="A603" s="3"/>
      <c r="B603" s="3"/>
      <c r="C603" s="3"/>
      <c r="D603" s="3"/>
      <c r="E603" s="3"/>
      <c r="F603" s="3"/>
      <c r="G603" s="3"/>
      <c r="H603" s="3"/>
      <c r="I603" s="3"/>
      <c r="J603" s="3"/>
    </row>
    <row r="604" spans="1:10" x14ac:dyDescent="0.25">
      <c r="A604" s="3"/>
      <c r="B604" s="3"/>
      <c r="C604" s="3"/>
      <c r="D604" s="3"/>
      <c r="E604" s="3"/>
      <c r="F604" s="3"/>
      <c r="G604" s="3"/>
      <c r="H604" s="3"/>
      <c r="I604" s="3"/>
      <c r="J604" s="3"/>
    </row>
    <row r="605" spans="1:10" x14ac:dyDescent="0.25">
      <c r="A605" s="3"/>
      <c r="B605" s="3"/>
      <c r="C605" s="3"/>
      <c r="D605" s="3"/>
      <c r="E605" s="3"/>
      <c r="F605" s="3"/>
      <c r="G605" s="3"/>
      <c r="H605" s="3"/>
      <c r="I605" s="3"/>
      <c r="J605" s="3"/>
    </row>
    <row r="606" spans="1:10" x14ac:dyDescent="0.25">
      <c r="A606" s="3"/>
      <c r="B606" s="3"/>
      <c r="C606" s="3"/>
      <c r="D606" s="3"/>
      <c r="E606" s="3"/>
      <c r="F606" s="3"/>
      <c r="G606" s="3"/>
      <c r="H606" s="3"/>
      <c r="I606" s="3"/>
      <c r="J606" s="3"/>
    </row>
    <row r="607" spans="1:10" x14ac:dyDescent="0.25">
      <c r="A607" s="3"/>
      <c r="B607" s="3"/>
      <c r="C607" s="3"/>
      <c r="D607" s="3"/>
      <c r="E607" s="3"/>
      <c r="F607" s="3"/>
      <c r="G607" s="3"/>
      <c r="H607" s="3"/>
      <c r="I607" s="3"/>
      <c r="J607" s="3"/>
    </row>
    <row r="608" spans="1:10" x14ac:dyDescent="0.25">
      <c r="A608" s="3"/>
      <c r="B608" s="3"/>
      <c r="C608" s="3"/>
      <c r="D608" s="3"/>
      <c r="E608" s="3"/>
      <c r="F608" s="3"/>
      <c r="G608" s="3"/>
      <c r="H608" s="3"/>
      <c r="I608" s="3"/>
      <c r="J608" s="3"/>
    </row>
    <row r="609" spans="1:10" x14ac:dyDescent="0.25">
      <c r="A609" s="3"/>
      <c r="B609" s="3"/>
      <c r="C609" s="3"/>
      <c r="D609" s="3"/>
      <c r="E609" s="3"/>
      <c r="F609" s="3"/>
      <c r="G609" s="3"/>
      <c r="H609" s="3"/>
      <c r="I609" s="3"/>
      <c r="J609" s="3"/>
    </row>
    <row r="610" spans="1:10" x14ac:dyDescent="0.25">
      <c r="A610" s="3"/>
      <c r="B610" s="3"/>
      <c r="C610" s="3"/>
      <c r="D610" s="3"/>
      <c r="E610" s="3"/>
      <c r="F610" s="3"/>
      <c r="G610" s="3"/>
      <c r="H610" s="3"/>
      <c r="I610" s="3"/>
      <c r="J610" s="3"/>
    </row>
    <row r="611" spans="1:10" x14ac:dyDescent="0.25">
      <c r="A611" s="3"/>
      <c r="B611" s="3"/>
      <c r="C611" s="3"/>
      <c r="D611" s="3"/>
      <c r="E611" s="3"/>
      <c r="F611" s="3"/>
      <c r="G611" s="3"/>
      <c r="H611" s="3"/>
      <c r="I611" s="3"/>
      <c r="J611" s="3"/>
    </row>
    <row r="612" spans="1:10" x14ac:dyDescent="0.25">
      <c r="A612" s="3"/>
      <c r="B612" s="3"/>
      <c r="C612" s="3"/>
      <c r="D612" s="3"/>
      <c r="E612" s="3"/>
      <c r="F612" s="3"/>
      <c r="G612" s="3"/>
      <c r="H612" s="3"/>
      <c r="I612" s="3"/>
      <c r="J612" s="3"/>
    </row>
    <row r="613" spans="1:10" x14ac:dyDescent="0.25">
      <c r="A613" s="3"/>
      <c r="B613" s="3"/>
      <c r="C613" s="3"/>
      <c r="D613" s="3"/>
      <c r="E613" s="3"/>
      <c r="F613" s="3"/>
      <c r="G613" s="3"/>
      <c r="H613" s="3"/>
      <c r="I613" s="3"/>
      <c r="J613" s="3"/>
    </row>
    <row r="614" spans="1:10" x14ac:dyDescent="0.25">
      <c r="A614" s="3"/>
      <c r="B614" s="3"/>
      <c r="C614" s="3"/>
      <c r="D614" s="3"/>
      <c r="E614" s="3"/>
      <c r="F614" s="3"/>
      <c r="G614" s="3"/>
      <c r="H614" s="3"/>
      <c r="I614" s="3"/>
      <c r="J614" s="3"/>
    </row>
    <row r="615" spans="1:10" x14ac:dyDescent="0.25">
      <c r="A615" s="3"/>
      <c r="B615" s="3"/>
      <c r="C615" s="3"/>
      <c r="D615" s="3"/>
      <c r="E615" s="3"/>
      <c r="F615" s="3"/>
      <c r="G615" s="3"/>
      <c r="H615" s="3"/>
      <c r="I615" s="3"/>
      <c r="J615" s="3"/>
    </row>
    <row r="616" spans="1:10" x14ac:dyDescent="0.25">
      <c r="A616" s="3"/>
      <c r="B616" s="3"/>
      <c r="C616" s="3"/>
      <c r="D616" s="3"/>
      <c r="E616" s="3"/>
      <c r="F616" s="3"/>
      <c r="G616" s="3"/>
      <c r="H616" s="3"/>
      <c r="I616" s="3"/>
      <c r="J616" s="3"/>
    </row>
    <row r="617" spans="1:10" x14ac:dyDescent="0.25">
      <c r="A617" s="3"/>
      <c r="B617" s="3"/>
      <c r="C617" s="3"/>
      <c r="D617" s="3"/>
      <c r="E617" s="3"/>
      <c r="F617" s="3"/>
      <c r="G617" s="3"/>
      <c r="H617" s="3"/>
      <c r="I617" s="3"/>
      <c r="J617" s="3"/>
    </row>
    <row r="618" spans="1:10" x14ac:dyDescent="0.25">
      <c r="A618" s="3"/>
      <c r="B618" s="3"/>
      <c r="C618" s="3"/>
      <c r="D618" s="3"/>
      <c r="E618" s="3"/>
      <c r="F618" s="3"/>
      <c r="H618" s="3"/>
      <c r="I618" s="3"/>
      <c r="J618" s="3"/>
    </row>
    <row r="619" spans="1:10" x14ac:dyDescent="0.25">
      <c r="A619" s="3"/>
      <c r="B619" s="3"/>
      <c r="C619" s="3"/>
      <c r="D619" s="3"/>
      <c r="E619" s="3"/>
      <c r="F619" s="3"/>
      <c r="H619" s="3"/>
      <c r="I619" s="3"/>
      <c r="J619" s="3"/>
    </row>
    <row r="620" spans="1:10" x14ac:dyDescent="0.25">
      <c r="A620" s="3"/>
      <c r="B620" s="3"/>
      <c r="C620" s="3"/>
      <c r="D620" s="3"/>
      <c r="E620" s="3"/>
      <c r="F620" s="3"/>
      <c r="H620" s="3"/>
      <c r="I620" s="3"/>
      <c r="J620" s="3"/>
    </row>
    <row r="621" spans="1:10" x14ac:dyDescent="0.25">
      <c r="A621" s="3"/>
      <c r="B621" s="3"/>
      <c r="C621" s="3"/>
      <c r="D621" s="3"/>
      <c r="E621" s="3"/>
      <c r="H621" s="3"/>
      <c r="I621" s="3"/>
      <c r="J621" s="3"/>
    </row>
    <row r="622" spans="1:10" x14ac:dyDescent="0.25">
      <c r="A622" s="3"/>
      <c r="B622" s="3"/>
      <c r="C622" s="3"/>
      <c r="D622" s="3"/>
      <c r="E622" s="3"/>
      <c r="H622" s="3"/>
      <c r="I622" s="3"/>
      <c r="J622" s="3"/>
    </row>
    <row r="623" spans="1:10" x14ac:dyDescent="0.25">
      <c r="A623" s="3"/>
      <c r="B623" s="3"/>
      <c r="C623" s="3"/>
      <c r="D623" s="3"/>
      <c r="I623" s="3"/>
      <c r="J623" s="3"/>
    </row>
    <row r="624" spans="1:10" x14ac:dyDescent="0.25">
      <c r="A624" s="3"/>
      <c r="B624" s="3"/>
      <c r="C624" s="3"/>
      <c r="D624" s="3"/>
    </row>
    <row r="625" spans="1:4" x14ac:dyDescent="0.25">
      <c r="A625" s="3"/>
      <c r="B625" s="3"/>
      <c r="C625" s="3"/>
      <c r="D625" s="3"/>
    </row>
    <row r="626" spans="1:4" x14ac:dyDescent="0.25">
      <c r="A626" s="3"/>
      <c r="B626" s="3"/>
      <c r="C626" s="3"/>
      <c r="D626" s="3"/>
    </row>
    <row r="627" spans="1:4" x14ac:dyDescent="0.25">
      <c r="A627" s="3"/>
      <c r="B627" s="3"/>
      <c r="C627" s="3"/>
      <c r="D627" s="3"/>
    </row>
    <row r="628" spans="1:4" x14ac:dyDescent="0.25">
      <c r="A628" s="3"/>
      <c r="B628" s="3"/>
      <c r="C628" s="3"/>
      <c r="D628" s="3"/>
    </row>
    <row r="629" spans="1:4" x14ac:dyDescent="0.25">
      <c r="A629" s="3"/>
      <c r="B629" s="3"/>
      <c r="C629" s="3"/>
      <c r="D629" s="3"/>
    </row>
    <row r="630" spans="1:4" x14ac:dyDescent="0.25">
      <c r="A630" s="3"/>
      <c r="B630" s="3"/>
      <c r="C630" s="3"/>
      <c r="D630" s="3"/>
    </row>
    <row r="631" spans="1:4" x14ac:dyDescent="0.25">
      <c r="A631" s="3"/>
      <c r="B631" s="3"/>
      <c r="C631" s="3"/>
      <c r="D631" s="3"/>
    </row>
    <row r="632" spans="1:4" x14ac:dyDescent="0.25">
      <c r="A632" s="3"/>
      <c r="B632" s="3"/>
      <c r="C632" s="3"/>
      <c r="D632" s="3"/>
    </row>
    <row r="633" spans="1:4" x14ac:dyDescent="0.25">
      <c r="A633" s="3"/>
      <c r="B633" s="3"/>
      <c r="C633" s="3"/>
      <c r="D633" s="3"/>
    </row>
    <row r="634" spans="1:4" x14ac:dyDescent="0.25">
      <c r="A634" s="3"/>
      <c r="B634" s="3"/>
      <c r="C634" s="3"/>
      <c r="D634" s="3"/>
    </row>
    <row r="635" spans="1:4" x14ac:dyDescent="0.25">
      <c r="A635" s="3"/>
      <c r="B635" s="3"/>
      <c r="C635" s="3"/>
      <c r="D635" s="3"/>
    </row>
    <row r="636" spans="1:4" x14ac:dyDescent="0.25">
      <c r="A636" s="3"/>
      <c r="B636" s="3"/>
      <c r="C636" s="3"/>
      <c r="D636" s="3"/>
    </row>
    <row r="637" spans="1:4" x14ac:dyDescent="0.25">
      <c r="A637" s="3"/>
      <c r="B637" s="3"/>
      <c r="C637" s="3"/>
      <c r="D637" s="3"/>
    </row>
    <row r="638" spans="1:4" x14ac:dyDescent="0.25">
      <c r="A638" s="3"/>
      <c r="B638" s="3"/>
      <c r="C638" s="3"/>
      <c r="D638" s="3"/>
    </row>
    <row r="639" spans="1:4" x14ac:dyDescent="0.25">
      <c r="A639" s="3"/>
      <c r="B639" s="3"/>
      <c r="C639" s="3"/>
      <c r="D639" s="3"/>
    </row>
    <row r="640" spans="1:4" x14ac:dyDescent="0.25">
      <c r="A640" s="3"/>
      <c r="B640" s="3"/>
      <c r="C640" s="3"/>
      <c r="D640" s="3"/>
    </row>
    <row r="641" spans="1:4" x14ac:dyDescent="0.25">
      <c r="A641" s="3"/>
      <c r="B641" s="3"/>
      <c r="C641" s="3"/>
      <c r="D641" s="3"/>
    </row>
    <row r="642" spans="1:4" x14ac:dyDescent="0.25">
      <c r="A642" s="3"/>
      <c r="B642" s="3"/>
      <c r="C642" s="3"/>
      <c r="D642" s="3"/>
    </row>
    <row r="643" spans="1:4" x14ac:dyDescent="0.25">
      <c r="A643" s="3"/>
      <c r="B643" s="3"/>
      <c r="C643" s="3"/>
      <c r="D643" s="3"/>
    </row>
    <row r="644" spans="1:4" x14ac:dyDescent="0.25">
      <c r="A644" s="3"/>
      <c r="B644" s="3"/>
      <c r="C644" s="3"/>
      <c r="D644" s="3"/>
    </row>
    <row r="645" spans="1:4" x14ac:dyDescent="0.25">
      <c r="A645" s="3"/>
      <c r="B645" s="3"/>
      <c r="C645" s="3"/>
      <c r="D645" s="3"/>
    </row>
    <row r="646" spans="1:4" x14ac:dyDescent="0.25">
      <c r="A646" s="3"/>
      <c r="B646" s="3"/>
      <c r="C646" s="3"/>
      <c r="D646" s="3"/>
    </row>
    <row r="647" spans="1:4" x14ac:dyDescent="0.25">
      <c r="A647" s="3"/>
      <c r="B647" s="3"/>
      <c r="C647" s="3"/>
      <c r="D647" s="3"/>
    </row>
    <row r="648" spans="1:4" x14ac:dyDescent="0.25">
      <c r="A648" s="3"/>
      <c r="B648" s="3"/>
      <c r="C648" s="3"/>
      <c r="D648" s="3"/>
    </row>
    <row r="649" spans="1:4" x14ac:dyDescent="0.25">
      <c r="A649" s="3"/>
      <c r="B649" s="3"/>
      <c r="C649" s="3"/>
      <c r="D649" s="3"/>
    </row>
    <row r="650" spans="1:4" x14ac:dyDescent="0.25">
      <c r="A650" s="3"/>
      <c r="B650" s="3"/>
      <c r="C650" s="3"/>
      <c r="D650" s="3"/>
    </row>
    <row r="651" spans="1:4" x14ac:dyDescent="0.25">
      <c r="A651" s="3"/>
      <c r="B651" s="3"/>
      <c r="C651" s="3"/>
      <c r="D651" s="3"/>
    </row>
    <row r="652" spans="1:4" x14ac:dyDescent="0.25">
      <c r="A652" s="3"/>
      <c r="B652" s="3"/>
      <c r="C652" s="3"/>
      <c r="D652" s="3"/>
    </row>
    <row r="653" spans="1:4" x14ac:dyDescent="0.25">
      <c r="A653" s="3"/>
      <c r="B653" s="3"/>
      <c r="C653" s="3"/>
      <c r="D653" s="3"/>
    </row>
    <row r="654" spans="1:4" x14ac:dyDescent="0.25">
      <c r="A654" s="3"/>
      <c r="B654" s="3"/>
      <c r="C654" s="3"/>
      <c r="D654" s="3"/>
    </row>
    <row r="655" spans="1:4" x14ac:dyDescent="0.25">
      <c r="A655" s="3"/>
      <c r="B655" s="3"/>
      <c r="C655" s="3"/>
      <c r="D655" s="3"/>
    </row>
    <row r="656" spans="1:4" x14ac:dyDescent="0.25">
      <c r="A656" s="3"/>
      <c r="B656" s="3"/>
      <c r="C656" s="3"/>
      <c r="D656" s="3"/>
    </row>
    <row r="657" spans="1:4" x14ac:dyDescent="0.25">
      <c r="A657" s="3"/>
      <c r="B657" s="3"/>
      <c r="C657" s="3"/>
      <c r="D657" s="3"/>
    </row>
    <row r="658" spans="1:4" x14ac:dyDescent="0.25">
      <c r="A658" s="3"/>
      <c r="B658" s="3"/>
      <c r="C658" s="3"/>
      <c r="D658" s="3"/>
    </row>
    <row r="659" spans="1:4" x14ac:dyDescent="0.25">
      <c r="A659" s="3"/>
      <c r="B659" s="3"/>
      <c r="C659" s="3"/>
      <c r="D659" s="3"/>
    </row>
    <row r="660" spans="1:4" x14ac:dyDescent="0.25">
      <c r="A660" s="3"/>
      <c r="B660" s="3"/>
      <c r="C660" s="3"/>
      <c r="D660" s="3"/>
    </row>
    <row r="661" spans="1:4" x14ac:dyDescent="0.25">
      <c r="C661" s="3"/>
      <c r="D661" s="3"/>
    </row>
    <row r="662" spans="1:4" x14ac:dyDescent="0.25">
      <c r="C662" s="3"/>
      <c r="D662" s="3"/>
    </row>
    <row r="663" spans="1:4" x14ac:dyDescent="0.25">
      <c r="C663" s="3"/>
      <c r="D663" s="3"/>
    </row>
    <row r="664" spans="1:4" x14ac:dyDescent="0.25">
      <c r="C664" s="3"/>
      <c r="D664" s="3"/>
    </row>
    <row r="665" spans="1:4" x14ac:dyDescent="0.25">
      <c r="C665" s="3"/>
      <c r="D665" s="3"/>
    </row>
  </sheetData>
  <mergeCells count="86">
    <mergeCell ref="A44:D44"/>
    <mergeCell ref="A45:D45"/>
    <mergeCell ref="A38:D38"/>
    <mergeCell ref="A39:D39"/>
    <mergeCell ref="A40:D40"/>
    <mergeCell ref="A41:D41"/>
    <mergeCell ref="A42:D42"/>
    <mergeCell ref="A43:D43"/>
    <mergeCell ref="A27:D27"/>
    <mergeCell ref="A14:D14"/>
    <mergeCell ref="A15:D15"/>
    <mergeCell ref="A16:D16"/>
    <mergeCell ref="A17:D17"/>
    <mergeCell ref="A18:D18"/>
    <mergeCell ref="A19:D19"/>
    <mergeCell ref="A22:D22"/>
    <mergeCell ref="A23:D23"/>
    <mergeCell ref="A24:D24"/>
    <mergeCell ref="A25:D25"/>
    <mergeCell ref="A26:D26"/>
    <mergeCell ref="J46:L46"/>
    <mergeCell ref="A9:D9"/>
    <mergeCell ref="J11:L11"/>
    <mergeCell ref="J12:L12"/>
    <mergeCell ref="J13:L13"/>
    <mergeCell ref="J14:L14"/>
    <mergeCell ref="J15:L15"/>
    <mergeCell ref="J16:L16"/>
    <mergeCell ref="A12:D12"/>
    <mergeCell ref="A13:D13"/>
    <mergeCell ref="J30:L30"/>
    <mergeCell ref="A28:D28"/>
    <mergeCell ref="A29:D29"/>
    <mergeCell ref="J18:L18"/>
    <mergeCell ref="J19:L19"/>
    <mergeCell ref="J20:L20"/>
    <mergeCell ref="V29:W29"/>
    <mergeCell ref="X29:Y29"/>
    <mergeCell ref="T29:U29"/>
    <mergeCell ref="J22:L22"/>
    <mergeCell ref="J23:L23"/>
    <mergeCell ref="J24:L24"/>
    <mergeCell ref="J25:L25"/>
    <mergeCell ref="J26:L26"/>
    <mergeCell ref="J27:L27"/>
    <mergeCell ref="J28:L28"/>
    <mergeCell ref="J29:L29"/>
    <mergeCell ref="B4:D4"/>
    <mergeCell ref="B5:D5"/>
    <mergeCell ref="B6:D6"/>
    <mergeCell ref="B3:D3"/>
    <mergeCell ref="A10:D10"/>
    <mergeCell ref="E8:F8"/>
    <mergeCell ref="A8:D8"/>
    <mergeCell ref="J34:L34"/>
    <mergeCell ref="J35:L35"/>
    <mergeCell ref="J36:L36"/>
    <mergeCell ref="A30:D30"/>
    <mergeCell ref="A31:D31"/>
    <mergeCell ref="A34:D34"/>
    <mergeCell ref="A35:D35"/>
    <mergeCell ref="A36:D36"/>
    <mergeCell ref="J21:L21"/>
    <mergeCell ref="A20:D20"/>
    <mergeCell ref="A21:D21"/>
    <mergeCell ref="J9:L9"/>
    <mergeCell ref="J17:L17"/>
    <mergeCell ref="A11:D11"/>
    <mergeCell ref="I2:L2"/>
    <mergeCell ref="J31:L31"/>
    <mergeCell ref="J32:L32"/>
    <mergeCell ref="J33:L33"/>
    <mergeCell ref="J10:L10"/>
    <mergeCell ref="J8:L8"/>
    <mergeCell ref="J44:L44"/>
    <mergeCell ref="J45:L45"/>
    <mergeCell ref="J38:L38"/>
    <mergeCell ref="J39:L39"/>
    <mergeCell ref="J40:L40"/>
    <mergeCell ref="J41:L41"/>
    <mergeCell ref="A37:D37"/>
    <mergeCell ref="A32:D32"/>
    <mergeCell ref="A33:D33"/>
    <mergeCell ref="J42:L42"/>
    <mergeCell ref="J43:L43"/>
    <mergeCell ref="J37:L37"/>
  </mergeCells>
  <phoneticPr fontId="0" type="noConversion"/>
  <printOptions horizontalCentered="1" verticalCentered="1"/>
  <pageMargins left="0.4" right="0" top="0.39" bottom="0.54" header="0.13" footer="0.54"/>
  <pageSetup scale="70" orientation="portrait" horizontalDpi="360" verticalDpi="360"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1">
    <pageSetUpPr autoPageBreaks="0" fitToPage="1"/>
  </sheetPr>
  <dimension ref="A1:AC669"/>
  <sheetViews>
    <sheetView showGridLines="0" showZeros="0" zoomScale="75" workbookViewId="0"/>
  </sheetViews>
  <sheetFormatPr baseColWidth="10" defaultColWidth="8.88671875" defaultRowHeight="13.2" x14ac:dyDescent="0.25"/>
  <cols>
    <col min="1" max="1" width="19.5546875" customWidth="1"/>
    <col min="2" max="2" width="16.109375" customWidth="1"/>
    <col min="3" max="3" width="9.88671875" customWidth="1"/>
    <col min="4" max="4" width="9.5546875" customWidth="1"/>
    <col min="6" max="6" width="12.33203125" customWidth="1"/>
    <col min="7" max="7" width="11.6640625" customWidth="1"/>
    <col min="8" max="8" width="10" customWidth="1"/>
    <col min="9" max="9" width="9" customWidth="1"/>
    <col min="10" max="10" width="10.44140625" customWidth="1"/>
    <col min="11" max="11" width="10.109375" customWidth="1"/>
    <col min="12" max="14" width="11.6640625" customWidth="1"/>
    <col min="15" max="15" width="9.6640625" bestFit="1" customWidth="1"/>
    <col min="18" max="18" width="11.109375" customWidth="1"/>
  </cols>
  <sheetData>
    <row r="1" spans="1:19" ht="14.25" customHeight="1" x14ac:dyDescent="0.25">
      <c r="A1" s="8"/>
      <c r="B1" s="9"/>
      <c r="C1" s="9"/>
      <c r="D1" s="9"/>
      <c r="E1" s="9"/>
      <c r="F1" s="9"/>
      <c r="G1" s="9"/>
      <c r="H1" s="9"/>
      <c r="I1" s="836" t="str">
        <f>"Screen Inventory and Usage"</f>
        <v>Screen Inventory and Usage</v>
      </c>
      <c r="J1" s="837"/>
      <c r="K1" s="837"/>
      <c r="L1" s="837"/>
      <c r="M1" s="837"/>
      <c r="N1" s="838"/>
    </row>
    <row r="2" spans="1:19" ht="48" customHeight="1" thickBot="1" x14ac:dyDescent="0.45">
      <c r="A2" s="11"/>
      <c r="B2" s="70"/>
      <c r="C2" s="12"/>
      <c r="D2" s="13"/>
      <c r="E2" s="14"/>
      <c r="F2" s="15"/>
      <c r="G2" s="1"/>
      <c r="H2" s="16"/>
      <c r="I2" s="839"/>
      <c r="J2" s="839"/>
      <c r="K2" s="839"/>
      <c r="L2" s="839"/>
      <c r="M2" s="839"/>
      <c r="N2" s="840"/>
      <c r="S2" s="5"/>
    </row>
    <row r="3" spans="1:19" ht="15.9" customHeight="1" x14ac:dyDescent="0.25">
      <c r="A3" s="17" t="s">
        <v>11</v>
      </c>
      <c r="B3" s="809" t="str">
        <f>[1]IFE!$B$6</f>
        <v>Cardon IV</v>
      </c>
      <c r="C3" s="810"/>
      <c r="F3" s="18"/>
      <c r="G3" s="19" t="s">
        <v>8</v>
      </c>
      <c r="H3" s="20" t="str">
        <f>[1]IFE!$B$8</f>
        <v>Perla-1X</v>
      </c>
      <c r="I3" s="19"/>
      <c r="J3" s="45"/>
      <c r="K3" s="170"/>
      <c r="L3" s="272" t="s">
        <v>5</v>
      </c>
      <c r="M3" s="381">
        <f>[1]IFE!$B$119</f>
        <v>39989</v>
      </c>
      <c r="N3" s="171"/>
      <c r="O3" s="22"/>
    </row>
    <row r="4" spans="1:19" ht="15.9" customHeight="1" x14ac:dyDescent="0.25">
      <c r="A4" s="23" t="s">
        <v>12</v>
      </c>
      <c r="B4" s="806" t="str">
        <f>[1]IFE!$B$125</f>
        <v>Gerrit Ham / Jhony Quintero</v>
      </c>
      <c r="C4" s="807"/>
      <c r="F4" s="24"/>
      <c r="G4" s="25" t="s">
        <v>13</v>
      </c>
      <c r="H4" s="24" t="str">
        <f>[1]IFE!$B$9</f>
        <v>Golfo de Venezuela</v>
      </c>
      <c r="I4" s="25"/>
      <c r="J4" s="46"/>
      <c r="K4" s="167"/>
      <c r="L4" s="273" t="s">
        <v>14</v>
      </c>
      <c r="M4" s="382">
        <f>[1]IFE!$B$5</f>
        <v>39981</v>
      </c>
      <c r="N4" s="27"/>
    </row>
    <row r="5" spans="1:19" ht="15.9" customHeight="1" x14ac:dyDescent="0.25">
      <c r="A5" s="23" t="s">
        <v>15</v>
      </c>
      <c r="B5" s="806" t="str">
        <f>[1]IFE!$B$15</f>
        <v>Ensco</v>
      </c>
      <c r="C5" s="807"/>
      <c r="F5" s="24"/>
      <c r="G5" s="25" t="s">
        <v>16</v>
      </c>
      <c r="H5" s="24" t="str">
        <f>[1]IFE!$B$11</f>
        <v>Offshore</v>
      </c>
      <c r="I5" s="28"/>
      <c r="J5" s="26"/>
      <c r="K5" s="168"/>
      <c r="L5" s="274" t="s">
        <v>4</v>
      </c>
      <c r="M5" s="383" t="str">
        <f>[1]IFE!$B$124</f>
        <v>Agua de mar / HI VIS</v>
      </c>
      <c r="N5" s="29"/>
    </row>
    <row r="6" spans="1:19" ht="15.9" customHeight="1" x14ac:dyDescent="0.25">
      <c r="A6" s="23" t="s">
        <v>12</v>
      </c>
      <c r="B6" s="806" t="str">
        <f>[1]IFE!$B$126</f>
        <v>Ricky Otwell</v>
      </c>
      <c r="C6" s="807"/>
      <c r="D6" s="24"/>
      <c r="F6" s="24"/>
      <c r="G6" s="30"/>
      <c r="H6" s="25"/>
      <c r="I6" s="25"/>
      <c r="J6" s="26"/>
      <c r="K6" s="169"/>
      <c r="L6" s="275" t="s">
        <v>17</v>
      </c>
      <c r="M6" s="384" t="str">
        <f>[1]IFE!$B$123</f>
        <v>Bajando Tuberia</v>
      </c>
      <c r="N6" s="31"/>
    </row>
    <row r="7" spans="1:19" ht="5.25" customHeight="1" thickBot="1" x14ac:dyDescent="0.3">
      <c r="A7" s="32"/>
      <c r="B7" s="33"/>
      <c r="C7" s="33"/>
      <c r="D7" s="33"/>
      <c r="E7" s="34"/>
      <c r="F7" s="35"/>
      <c r="G7" s="33"/>
      <c r="H7" s="33"/>
      <c r="I7" s="33"/>
      <c r="J7" s="33"/>
      <c r="K7" s="33"/>
      <c r="L7" s="26"/>
      <c r="M7" s="26"/>
      <c r="N7" s="172"/>
    </row>
    <row r="8" spans="1:19" s="2" customFormat="1" ht="15" customHeight="1" x14ac:dyDescent="0.25">
      <c r="A8" s="834" t="s">
        <v>93</v>
      </c>
      <c r="B8" s="835"/>
      <c r="C8" s="494" t="s">
        <v>94</v>
      </c>
      <c r="D8" s="841" t="s">
        <v>95</v>
      </c>
      <c r="E8" s="842"/>
      <c r="F8" s="495" t="s">
        <v>98</v>
      </c>
      <c r="G8" s="495" t="s">
        <v>99</v>
      </c>
      <c r="H8" s="841" t="s">
        <v>103</v>
      </c>
      <c r="I8" s="842"/>
      <c r="J8" s="496" t="s">
        <v>100</v>
      </c>
      <c r="K8" s="497"/>
      <c r="L8" s="495" t="s">
        <v>161</v>
      </c>
      <c r="M8" s="495" t="s">
        <v>138</v>
      </c>
      <c r="N8" s="498" t="s">
        <v>97</v>
      </c>
      <c r="R8"/>
      <c r="S8"/>
    </row>
    <row r="9" spans="1:19" s="2" customFormat="1" ht="15" customHeight="1" thickBot="1" x14ac:dyDescent="0.3">
      <c r="A9" s="220"/>
      <c r="B9" s="504"/>
      <c r="C9" s="499" t="s">
        <v>49</v>
      </c>
      <c r="D9" s="505" t="s">
        <v>96</v>
      </c>
      <c r="E9" s="506" t="s">
        <v>97</v>
      </c>
      <c r="F9" s="500"/>
      <c r="G9" s="501"/>
      <c r="H9" s="507" t="s">
        <v>96</v>
      </c>
      <c r="I9" s="508" t="s">
        <v>97</v>
      </c>
      <c r="J9" s="509" t="s">
        <v>96</v>
      </c>
      <c r="K9" s="510" t="s">
        <v>97</v>
      </c>
      <c r="L9" s="502" t="s">
        <v>159</v>
      </c>
      <c r="M9" s="502" t="s">
        <v>159</v>
      </c>
      <c r="N9" s="503" t="s">
        <v>101</v>
      </c>
      <c r="R9"/>
      <c r="S9"/>
    </row>
    <row r="10" spans="1:19" s="2" customFormat="1" ht="20.100000000000001" customHeight="1" x14ac:dyDescent="0.25">
      <c r="A10" s="832" t="str">
        <f>[1]IFE!$N550</f>
        <v>Derrick 100</v>
      </c>
      <c r="B10" s="833"/>
      <c r="C10" s="173">
        <f>[1]IFE!$B$550</f>
        <v>0</v>
      </c>
      <c r="D10" s="36">
        <f>[1]IFE!$D$550</f>
        <v>0</v>
      </c>
      <c r="E10" s="36">
        <f>[1]IFE!$L$550</f>
        <v>0</v>
      </c>
      <c r="F10" s="181">
        <f>[1]IFE!$E$550</f>
        <v>0</v>
      </c>
      <c r="G10" s="36">
        <f>D10+F10-H10-J10</f>
        <v>0</v>
      </c>
      <c r="H10" s="36">
        <f>[1]IFE!$F$550</f>
        <v>0</v>
      </c>
      <c r="I10" s="36">
        <f>[1]IFE!$M$550</f>
        <v>0</v>
      </c>
      <c r="J10" s="181">
        <f>[1]IFE!$G$550</f>
        <v>0</v>
      </c>
      <c r="K10" s="181">
        <f>[1]IFE!$K$550</f>
        <v>0</v>
      </c>
      <c r="L10" s="481">
        <f>[1]IFE!$C550</f>
        <v>0</v>
      </c>
      <c r="M10" s="482">
        <f>[1]IFE!$I550</f>
        <v>0</v>
      </c>
      <c r="N10" s="491">
        <f>[1]IFE!$H550</f>
        <v>0</v>
      </c>
      <c r="R10"/>
      <c r="S10"/>
    </row>
    <row r="11" spans="1:19" s="2" customFormat="1" ht="20.100000000000001" customHeight="1" x14ac:dyDescent="0.25">
      <c r="A11" s="828">
        <f>[1]IFE!$N551</f>
        <v>0</v>
      </c>
      <c r="B11" s="829"/>
      <c r="C11" s="174">
        <f>[1]IFE!$B$551</f>
        <v>0</v>
      </c>
      <c r="D11" s="38">
        <f>[1]IFE!$D$551</f>
        <v>0</v>
      </c>
      <c r="E11" s="38">
        <f>[1]IFE!$L$551</f>
        <v>0</v>
      </c>
      <c r="F11" s="178">
        <f>[1]IFE!$E$551</f>
        <v>0</v>
      </c>
      <c r="G11" s="38">
        <f t="shared" ref="G11:G39" si="0">D11+F11-H11-J11</f>
        <v>0</v>
      </c>
      <c r="H11" s="38">
        <f>[1]IFE!$F$551</f>
        <v>0</v>
      </c>
      <c r="I11" s="38">
        <f>[1]IFE!$M$551</f>
        <v>0</v>
      </c>
      <c r="J11" s="178">
        <f>[1]IFE!$G$551</f>
        <v>0</v>
      </c>
      <c r="K11" s="178">
        <f>[1]IFE!$K$551</f>
        <v>0</v>
      </c>
      <c r="L11" s="483">
        <f>[1]IFE!$C551</f>
        <v>0</v>
      </c>
      <c r="M11" s="484">
        <f>[1]IFE!$I551</f>
        <v>0</v>
      </c>
      <c r="N11" s="492">
        <f>[1]IFE!$H551</f>
        <v>0</v>
      </c>
      <c r="R11"/>
      <c r="S11"/>
    </row>
    <row r="12" spans="1:19" s="2" customFormat="1" ht="20.100000000000001" customHeight="1" x14ac:dyDescent="0.25">
      <c r="A12" s="828">
        <f>[1]IFE!$N552</f>
        <v>0</v>
      </c>
      <c r="B12" s="829"/>
      <c r="C12" s="174">
        <f>[1]IFE!$B$552</f>
        <v>0</v>
      </c>
      <c r="D12" s="38">
        <f>[1]IFE!$D$552</f>
        <v>0</v>
      </c>
      <c r="E12" s="38">
        <f>[1]IFE!$L$552</f>
        <v>0</v>
      </c>
      <c r="F12" s="178">
        <f>[1]IFE!$E$552</f>
        <v>0</v>
      </c>
      <c r="G12" s="178">
        <f t="shared" si="0"/>
        <v>0</v>
      </c>
      <c r="H12" s="178">
        <f>[1]IFE!$F$552</f>
        <v>0</v>
      </c>
      <c r="I12" s="178">
        <f>[1]IFE!$M$552</f>
        <v>0</v>
      </c>
      <c r="J12" s="178">
        <f>[1]IFE!$G$552</f>
        <v>0</v>
      </c>
      <c r="K12" s="178">
        <f>[1]IFE!$K$552</f>
        <v>0</v>
      </c>
      <c r="L12" s="483">
        <f>[1]IFE!$C552</f>
        <v>0</v>
      </c>
      <c r="M12" s="484">
        <f>[1]IFE!$I552</f>
        <v>0</v>
      </c>
      <c r="N12" s="492">
        <f>[1]IFE!$H552</f>
        <v>0</v>
      </c>
      <c r="R12"/>
      <c r="S12"/>
    </row>
    <row r="13" spans="1:19" s="2" customFormat="1" ht="20.100000000000001" customHeight="1" x14ac:dyDescent="0.25">
      <c r="A13" s="828">
        <f>[1]IFE!$N553</f>
        <v>0</v>
      </c>
      <c r="B13" s="829"/>
      <c r="C13" s="174">
        <f>[1]IFE!$B$553</f>
        <v>0</v>
      </c>
      <c r="D13" s="38">
        <f>[1]IFE!$D$553</f>
        <v>0</v>
      </c>
      <c r="E13" s="38">
        <f>[1]IFE!$L$553</f>
        <v>0</v>
      </c>
      <c r="F13" s="178">
        <f>[1]IFE!$E$553</f>
        <v>0</v>
      </c>
      <c r="G13" s="178">
        <f t="shared" si="0"/>
        <v>0</v>
      </c>
      <c r="H13" s="178">
        <f>[1]IFE!$F$553</f>
        <v>0</v>
      </c>
      <c r="I13" s="178">
        <f>[1]IFE!$M$553</f>
        <v>0</v>
      </c>
      <c r="J13" s="178">
        <f>[1]IFE!$G$553</f>
        <v>0</v>
      </c>
      <c r="K13" s="178">
        <f>[1]IFE!$K$553</f>
        <v>0</v>
      </c>
      <c r="L13" s="483">
        <f>[1]IFE!$C553</f>
        <v>0</v>
      </c>
      <c r="M13" s="484">
        <f>[1]IFE!$I553</f>
        <v>0</v>
      </c>
      <c r="N13" s="492">
        <f>[1]IFE!$H553</f>
        <v>0</v>
      </c>
      <c r="R13"/>
      <c r="S13"/>
    </row>
    <row r="14" spans="1:19" s="2" customFormat="1" ht="20.100000000000001" customHeight="1" x14ac:dyDescent="0.25">
      <c r="A14" s="828">
        <f>[1]IFE!$N554</f>
        <v>0</v>
      </c>
      <c r="B14" s="829"/>
      <c r="C14" s="174">
        <f>[1]IFE!$B$554</f>
        <v>0</v>
      </c>
      <c r="D14" s="38">
        <f>[1]IFE!$D$554</f>
        <v>0</v>
      </c>
      <c r="E14" s="38">
        <f>[1]IFE!$L$554</f>
        <v>0</v>
      </c>
      <c r="F14" s="178">
        <f>[1]IFE!$E$554</f>
        <v>0</v>
      </c>
      <c r="G14" s="178">
        <f t="shared" si="0"/>
        <v>0</v>
      </c>
      <c r="H14" s="178">
        <f>[1]IFE!$F$554</f>
        <v>0</v>
      </c>
      <c r="I14" s="38">
        <f>[1]IFE!$M$554</f>
        <v>0</v>
      </c>
      <c r="J14" s="38">
        <f>[1]IFE!$G$554</f>
        <v>0</v>
      </c>
      <c r="K14" s="178">
        <f>[1]IFE!$K$554</f>
        <v>0</v>
      </c>
      <c r="L14" s="483">
        <f>[1]IFE!$C554</f>
        <v>0</v>
      </c>
      <c r="M14" s="484">
        <f>[1]IFE!$I554</f>
        <v>0</v>
      </c>
      <c r="N14" s="492">
        <f>[1]IFE!$H554</f>
        <v>0</v>
      </c>
      <c r="R14"/>
      <c r="S14"/>
    </row>
    <row r="15" spans="1:19" s="2" customFormat="1" ht="20.100000000000001" customHeight="1" x14ac:dyDescent="0.25">
      <c r="A15" s="828">
        <f>[1]IFE!$N555</f>
        <v>0</v>
      </c>
      <c r="B15" s="829"/>
      <c r="C15" s="174">
        <f>[1]IFE!$B$555</f>
        <v>0</v>
      </c>
      <c r="D15" s="176">
        <f>[1]IFE!$D$555</f>
        <v>0</v>
      </c>
      <c r="E15" s="176">
        <f>[1]IFE!$L$555</f>
        <v>0</v>
      </c>
      <c r="F15" s="176">
        <f>[1]IFE!$E$555</f>
        <v>0</v>
      </c>
      <c r="G15" s="178">
        <f t="shared" si="0"/>
        <v>0</v>
      </c>
      <c r="H15" s="178">
        <f>[1]IFE!$F$555</f>
        <v>0</v>
      </c>
      <c r="I15" s="38">
        <f>[1]IFE!$M$555</f>
        <v>0</v>
      </c>
      <c r="J15" s="178">
        <f>[1]IFE!$G$555</f>
        <v>0</v>
      </c>
      <c r="K15" s="178">
        <f>[1]IFE!$K$555</f>
        <v>0</v>
      </c>
      <c r="L15" s="483">
        <f>[1]IFE!$C555</f>
        <v>0</v>
      </c>
      <c r="M15" s="484">
        <f>[1]IFE!$I555</f>
        <v>0</v>
      </c>
      <c r="N15" s="492">
        <f>[1]IFE!$H555</f>
        <v>0</v>
      </c>
    </row>
    <row r="16" spans="1:19" s="2" customFormat="1" ht="20.100000000000001" customHeight="1" x14ac:dyDescent="0.25">
      <c r="A16" s="828">
        <f>[1]IFE!$N556</f>
        <v>0</v>
      </c>
      <c r="B16" s="829"/>
      <c r="C16" s="174">
        <f>[1]IFE!$B$556</f>
        <v>0</v>
      </c>
      <c r="D16" s="177">
        <f>[1]IFE!$D$556</f>
        <v>0</v>
      </c>
      <c r="E16" s="182">
        <f>[1]IFE!$L$556</f>
        <v>0</v>
      </c>
      <c r="F16" s="182">
        <f>[1]IFE!$E$556</f>
        <v>0</v>
      </c>
      <c r="G16" s="178">
        <f t="shared" si="0"/>
        <v>0</v>
      </c>
      <c r="H16" s="38">
        <f>[1]IFE!$F$556</f>
        <v>0</v>
      </c>
      <c r="I16" s="38">
        <f>[1]IFE!$M$556</f>
        <v>0</v>
      </c>
      <c r="J16" s="178">
        <f>[1]IFE!$G$556</f>
        <v>0</v>
      </c>
      <c r="K16" s="178">
        <f>[1]IFE!$K$556</f>
        <v>0</v>
      </c>
      <c r="L16" s="483">
        <f>[1]IFE!$C556</f>
        <v>0</v>
      </c>
      <c r="M16" s="484">
        <f>[1]IFE!$I556</f>
        <v>0</v>
      </c>
      <c r="N16" s="492">
        <f>[1]IFE!$H556</f>
        <v>0</v>
      </c>
    </row>
    <row r="17" spans="1:29" ht="20.100000000000001" customHeight="1" x14ac:dyDescent="0.25">
      <c r="A17" s="828">
        <f>[1]IFE!$N557</f>
        <v>0</v>
      </c>
      <c r="B17" s="829"/>
      <c r="C17" s="174">
        <f>[1]IFE!$B$557</f>
        <v>0</v>
      </c>
      <c r="D17" s="177">
        <f>[1]IFE!$D$557</f>
        <v>0</v>
      </c>
      <c r="E17" s="182">
        <f>[1]IFE!$L$557</f>
        <v>0</v>
      </c>
      <c r="F17" s="182">
        <f>[1]IFE!$E$557</f>
        <v>0</v>
      </c>
      <c r="G17" s="38">
        <f t="shared" si="0"/>
        <v>0</v>
      </c>
      <c r="H17" s="38">
        <f>[1]IFE!$F$557</f>
        <v>0</v>
      </c>
      <c r="I17" s="38">
        <f>[1]IFE!$M$557</f>
        <v>0</v>
      </c>
      <c r="J17" s="178">
        <f>[1]IFE!$G$557</f>
        <v>0</v>
      </c>
      <c r="K17" s="178">
        <f>[1]IFE!$K$557</f>
        <v>0</v>
      </c>
      <c r="L17" s="483">
        <f>[1]IFE!$C557</f>
        <v>0</v>
      </c>
      <c r="M17" s="484">
        <f>[1]IFE!$I557</f>
        <v>0</v>
      </c>
      <c r="N17" s="492">
        <f>[1]IFE!$H557</f>
        <v>0</v>
      </c>
    </row>
    <row r="18" spans="1:29" ht="20.100000000000001" customHeight="1" x14ac:dyDescent="0.25">
      <c r="A18" s="828">
        <f>[1]IFE!$N558</f>
        <v>0</v>
      </c>
      <c r="B18" s="829"/>
      <c r="C18" s="174">
        <f>[1]IFE!$B$558</f>
        <v>0</v>
      </c>
      <c r="D18" s="177">
        <f>[1]IFE!$D$558</f>
        <v>0</v>
      </c>
      <c r="E18" s="182">
        <f>[1]IFE!$L$558</f>
        <v>0</v>
      </c>
      <c r="F18" s="182">
        <f>[1]IFE!$E$558</f>
        <v>0</v>
      </c>
      <c r="G18" s="38">
        <f t="shared" si="0"/>
        <v>0</v>
      </c>
      <c r="H18" s="38">
        <f>[1]IFE!$F$558</f>
        <v>0</v>
      </c>
      <c r="I18" s="38">
        <f>[1]IFE!$M$558</f>
        <v>0</v>
      </c>
      <c r="J18" s="38">
        <f>[1]IFE!$G$558</f>
        <v>0</v>
      </c>
      <c r="K18" s="178">
        <f>[1]IFE!$K$558</f>
        <v>0</v>
      </c>
      <c r="L18" s="483">
        <f>[1]IFE!$C558</f>
        <v>0</v>
      </c>
      <c r="M18" s="484">
        <f>[1]IFE!$I558</f>
        <v>0</v>
      </c>
      <c r="N18" s="492">
        <f>[1]IFE!$H558</f>
        <v>0</v>
      </c>
    </row>
    <row r="19" spans="1:29" ht="20.100000000000001" customHeight="1" x14ac:dyDescent="0.25">
      <c r="A19" s="828">
        <f>[1]IFE!$N559</f>
        <v>0</v>
      </c>
      <c r="B19" s="829"/>
      <c r="C19" s="174">
        <f>[1]IFE!$B$559</f>
        <v>0</v>
      </c>
      <c r="D19" s="177">
        <f>[1]IFE!$D$559</f>
        <v>0</v>
      </c>
      <c r="E19" s="182">
        <f>[1]IFE!$L$559</f>
        <v>0</v>
      </c>
      <c r="F19" s="182">
        <f>[1]IFE!$E$559</f>
        <v>0</v>
      </c>
      <c r="G19" s="38">
        <f t="shared" si="0"/>
        <v>0</v>
      </c>
      <c r="H19" s="38">
        <f>[1]IFE!$F$559</f>
        <v>0</v>
      </c>
      <c r="I19" s="38">
        <f>[1]IFE!$M$559</f>
        <v>0</v>
      </c>
      <c r="J19" s="178">
        <f>[1]IFE!$G$559</f>
        <v>0</v>
      </c>
      <c r="K19" s="178">
        <f>[1]IFE!$K$559</f>
        <v>0</v>
      </c>
      <c r="L19" s="483">
        <f>[1]IFE!$C559</f>
        <v>0</v>
      </c>
      <c r="M19" s="484">
        <f>[1]IFE!$I559</f>
        <v>0</v>
      </c>
      <c r="N19" s="492">
        <f>[1]IFE!$H559</f>
        <v>0</v>
      </c>
    </row>
    <row r="20" spans="1:29" ht="20.100000000000001" customHeight="1" x14ac:dyDescent="0.25">
      <c r="A20" s="828">
        <f>[1]IFE!$N560</f>
        <v>0</v>
      </c>
      <c r="B20" s="829"/>
      <c r="C20" s="174">
        <f>[1]IFE!$B$560</f>
        <v>0</v>
      </c>
      <c r="D20" s="177">
        <f>[1]IFE!$D$560</f>
        <v>0</v>
      </c>
      <c r="E20" s="182">
        <f>[1]IFE!$L$560</f>
        <v>0</v>
      </c>
      <c r="F20" s="182">
        <f>[1]IFE!$E$560</f>
        <v>0</v>
      </c>
      <c r="G20" s="38">
        <f t="shared" si="0"/>
        <v>0</v>
      </c>
      <c r="H20" s="38">
        <f>[1]IFE!$F$560</f>
        <v>0</v>
      </c>
      <c r="I20" s="38">
        <f>[1]IFE!$M$560</f>
        <v>0</v>
      </c>
      <c r="J20" s="178">
        <f>[1]IFE!$G$560</f>
        <v>0</v>
      </c>
      <c r="K20" s="178">
        <f>[1]IFE!$K$560</f>
        <v>0</v>
      </c>
      <c r="L20" s="483">
        <f>[1]IFE!$C560</f>
        <v>0</v>
      </c>
      <c r="M20" s="484">
        <f>[1]IFE!$I560</f>
        <v>0</v>
      </c>
      <c r="N20" s="492">
        <f>[1]IFE!$H560</f>
        <v>0</v>
      </c>
    </row>
    <row r="21" spans="1:29" ht="20.100000000000001" customHeight="1" x14ac:dyDescent="0.25">
      <c r="A21" s="828">
        <f>[1]IFE!$N561</f>
        <v>0</v>
      </c>
      <c r="B21" s="829"/>
      <c r="C21" s="174">
        <f>[1]IFE!$B$561</f>
        <v>0</v>
      </c>
      <c r="D21" s="177">
        <f>[1]IFE!$D$561</f>
        <v>0</v>
      </c>
      <c r="E21" s="182">
        <f>[1]IFE!$L$561</f>
        <v>0</v>
      </c>
      <c r="F21" s="182">
        <f>[1]IFE!$E$561</f>
        <v>0</v>
      </c>
      <c r="G21" s="38">
        <f t="shared" si="0"/>
        <v>0</v>
      </c>
      <c r="H21" s="38">
        <f>[1]IFE!$F$561</f>
        <v>0</v>
      </c>
      <c r="I21" s="38">
        <f>[1]IFE!$M$561</f>
        <v>0</v>
      </c>
      <c r="J21" s="178">
        <f>[1]IFE!$G$561</f>
        <v>0</v>
      </c>
      <c r="K21" s="38">
        <f>[1]IFE!$K$561</f>
        <v>0</v>
      </c>
      <c r="L21" s="485">
        <f>[1]IFE!$C561</f>
        <v>0</v>
      </c>
      <c r="M21" s="484">
        <f>[1]IFE!$I561</f>
        <v>0</v>
      </c>
      <c r="N21" s="492">
        <f>[1]IFE!$H561</f>
        <v>0</v>
      </c>
    </row>
    <row r="22" spans="1:29" ht="20.100000000000001" customHeight="1" x14ac:dyDescent="0.25">
      <c r="A22" s="828">
        <f>[1]IFE!$N562</f>
        <v>0</v>
      </c>
      <c r="B22" s="829"/>
      <c r="C22" s="174">
        <f>[1]IFE!$B$562</f>
        <v>0</v>
      </c>
      <c r="D22" s="177">
        <f>[1]IFE!$D$562</f>
        <v>0</v>
      </c>
      <c r="E22" s="182">
        <f>[1]IFE!$L$562</f>
        <v>0</v>
      </c>
      <c r="F22" s="182">
        <f>[1]IFE!$E$562</f>
        <v>0</v>
      </c>
      <c r="G22" s="38">
        <f t="shared" si="0"/>
        <v>0</v>
      </c>
      <c r="H22" s="38">
        <f>[1]IFE!$F$562</f>
        <v>0</v>
      </c>
      <c r="I22" s="38">
        <f>[1]IFE!$M$552</f>
        <v>0</v>
      </c>
      <c r="J22" s="178">
        <f>[1]IFE!$G$562</f>
        <v>0</v>
      </c>
      <c r="K22" s="38">
        <f>[1]IFE!$K$562</f>
        <v>0</v>
      </c>
      <c r="L22" s="485">
        <f>[1]IFE!$C562</f>
        <v>0</v>
      </c>
      <c r="M22" s="484">
        <f>[1]IFE!$I562</f>
        <v>0</v>
      </c>
      <c r="N22" s="492">
        <f>[1]IFE!$H562</f>
        <v>0</v>
      </c>
    </row>
    <row r="23" spans="1:29" ht="20.100000000000001" customHeight="1" x14ac:dyDescent="0.25">
      <c r="A23" s="828">
        <f>[1]IFE!$N563</f>
        <v>0</v>
      </c>
      <c r="B23" s="829"/>
      <c r="C23" s="183">
        <f>[1]IFE!$B$563</f>
        <v>0</v>
      </c>
      <c r="D23" s="178">
        <f>[1]IFE!$D$563</f>
        <v>0</v>
      </c>
      <c r="E23" s="38">
        <f>[1]IFE!$L$563</f>
        <v>0</v>
      </c>
      <c r="F23" s="38">
        <f>[1]IFE!$E$563</f>
        <v>0</v>
      </c>
      <c r="G23" s="38">
        <f t="shared" si="0"/>
        <v>0</v>
      </c>
      <c r="H23" s="38">
        <f>[1]IFE!$F$563</f>
        <v>0</v>
      </c>
      <c r="I23" s="38">
        <f>[1]IFE!$M$563</f>
        <v>0</v>
      </c>
      <c r="J23" s="178">
        <f>[1]IFE!$G$563</f>
        <v>0</v>
      </c>
      <c r="K23" s="38">
        <f>[1]IFE!$K$563</f>
        <v>0</v>
      </c>
      <c r="L23" s="485">
        <f>[1]IFE!$C563</f>
        <v>0</v>
      </c>
      <c r="M23" s="484">
        <f>[1]IFE!$I563</f>
        <v>0</v>
      </c>
      <c r="N23" s="492">
        <f>[1]IFE!$H563</f>
        <v>0</v>
      </c>
    </row>
    <row r="24" spans="1:29" ht="20.100000000000001" customHeight="1" x14ac:dyDescent="0.25">
      <c r="A24" s="828">
        <f>[1]IFE!$N564</f>
        <v>0</v>
      </c>
      <c r="B24" s="829"/>
      <c r="C24" s="183">
        <f>[1]IFE!$B$564</f>
        <v>0</v>
      </c>
      <c r="D24" s="38">
        <f>[1]IFE!$D$564</f>
        <v>0</v>
      </c>
      <c r="E24" s="38">
        <f>[1]IFE!$L$564</f>
        <v>0</v>
      </c>
      <c r="F24" s="38">
        <f>[1]IFE!$E$564</f>
        <v>0</v>
      </c>
      <c r="G24" s="38">
        <f t="shared" si="0"/>
        <v>0</v>
      </c>
      <c r="H24" s="38">
        <f>[1]IFE!$F$564</f>
        <v>0</v>
      </c>
      <c r="I24" s="180">
        <f>[1]IFE!$M$564</f>
        <v>0</v>
      </c>
      <c r="J24" s="178">
        <f>[1]IFE!$G$564</f>
        <v>0</v>
      </c>
      <c r="K24" s="38">
        <f>[1]IFE!$K$564</f>
        <v>0</v>
      </c>
      <c r="L24" s="485">
        <f>[1]IFE!$C564</f>
        <v>0</v>
      </c>
      <c r="M24" s="484">
        <f>[1]IFE!$I564</f>
        <v>0</v>
      </c>
      <c r="N24" s="492">
        <f>[1]IFE!$H564</f>
        <v>0</v>
      </c>
    </row>
    <row r="25" spans="1:29" ht="20.100000000000001" customHeight="1" x14ac:dyDescent="0.25">
      <c r="A25" s="828">
        <f>[1]IFE!$N565</f>
        <v>0</v>
      </c>
      <c r="B25" s="829"/>
      <c r="C25" s="174">
        <f>[1]IFE!$B$565</f>
        <v>0</v>
      </c>
      <c r="D25" s="38">
        <f>[1]IFE!$D$565</f>
        <v>0</v>
      </c>
      <c r="E25" s="38">
        <f>[1]IFE!$L$565</f>
        <v>0</v>
      </c>
      <c r="F25" s="38">
        <f>[1]IFE!$E$565</f>
        <v>0</v>
      </c>
      <c r="G25" s="38">
        <f t="shared" si="0"/>
        <v>0</v>
      </c>
      <c r="H25" s="38">
        <f>[1]IFE!$F$565</f>
        <v>0</v>
      </c>
      <c r="I25" s="38">
        <f>[1]IFE!$M$565</f>
        <v>0</v>
      </c>
      <c r="J25" s="178">
        <f>[1]IFE!$G$565</f>
        <v>0</v>
      </c>
      <c r="K25" s="38">
        <f>[1]IFE!$K$565</f>
        <v>0</v>
      </c>
      <c r="L25" s="485">
        <f>[1]IFE!$C565</f>
        <v>0</v>
      </c>
      <c r="M25" s="484">
        <f>[1]IFE!$I565</f>
        <v>0</v>
      </c>
      <c r="N25" s="492">
        <f>[1]IFE!$H565</f>
        <v>0</v>
      </c>
    </row>
    <row r="26" spans="1:29" ht="20.100000000000001" customHeight="1" x14ac:dyDescent="0.25">
      <c r="A26" s="828">
        <f>[1]IFE!$N566</f>
        <v>0</v>
      </c>
      <c r="B26" s="829"/>
      <c r="C26" s="174">
        <f>[1]IFE!$B$566</f>
        <v>0</v>
      </c>
      <c r="D26" s="178">
        <f>[1]IFE!$D$566</f>
        <v>0</v>
      </c>
      <c r="E26" s="38">
        <f>[1]IFE!$L$566</f>
        <v>0</v>
      </c>
      <c r="F26" s="38">
        <f>[1]IFE!$E$566</f>
        <v>0</v>
      </c>
      <c r="G26" s="38">
        <f t="shared" si="0"/>
        <v>0</v>
      </c>
      <c r="H26" s="38">
        <f>[1]IFE!$F$566</f>
        <v>0</v>
      </c>
      <c r="I26" s="38">
        <f>[1]IFE!$M$566</f>
        <v>0</v>
      </c>
      <c r="J26" s="178">
        <f>[1]IFE!$G$566</f>
        <v>0</v>
      </c>
      <c r="K26" s="38">
        <f>[1]IFE!$K$566</f>
        <v>0</v>
      </c>
      <c r="L26" s="485">
        <f>[1]IFE!$C566</f>
        <v>0</v>
      </c>
      <c r="M26" s="484">
        <f>[1]IFE!$I566</f>
        <v>0</v>
      </c>
      <c r="N26" s="492">
        <f>[1]IFE!$H566</f>
        <v>0</v>
      </c>
    </row>
    <row r="27" spans="1:29" ht="20.100000000000001" customHeight="1" x14ac:dyDescent="0.25">
      <c r="A27" s="828">
        <f>[1]IFE!$N567</f>
        <v>0</v>
      </c>
      <c r="B27" s="829"/>
      <c r="C27" s="174">
        <f>[1]IFE!$B$567</f>
        <v>0</v>
      </c>
      <c r="D27" s="178">
        <f>[1]IFE!$D$567</f>
        <v>0</v>
      </c>
      <c r="E27" s="38">
        <f>[1]IFE!$L$567</f>
        <v>0</v>
      </c>
      <c r="F27" s="38">
        <f>[1]IFE!$E$567</f>
        <v>0</v>
      </c>
      <c r="G27" s="38">
        <f t="shared" si="0"/>
        <v>0</v>
      </c>
      <c r="H27" s="38">
        <f>[1]IFE!$F$567</f>
        <v>0</v>
      </c>
      <c r="I27" s="176">
        <f>[1]IFE!$M$567</f>
        <v>0</v>
      </c>
      <c r="J27" s="178">
        <f>[1]IFE!$G$567</f>
        <v>0</v>
      </c>
      <c r="K27" s="178">
        <f>[1]IFE!$K$567</f>
        <v>0</v>
      </c>
      <c r="L27" s="483">
        <f>[1]IFE!$C567</f>
        <v>0</v>
      </c>
      <c r="M27" s="484">
        <f>[1]IFE!$I567</f>
        <v>0</v>
      </c>
      <c r="N27" s="492">
        <f>[1]IFE!$H567</f>
        <v>0</v>
      </c>
    </row>
    <row r="28" spans="1:29" ht="20.100000000000001" customHeight="1" x14ac:dyDescent="0.25">
      <c r="A28" s="828">
        <f>[1]IFE!$N568</f>
        <v>0</v>
      </c>
      <c r="B28" s="829"/>
      <c r="C28" s="174">
        <f>[1]IFE!$B$568</f>
        <v>0</v>
      </c>
      <c r="D28" s="38">
        <f>[1]IFE!$D$568</f>
        <v>0</v>
      </c>
      <c r="E28" s="38">
        <f>[1]IFE!$L$568</f>
        <v>0</v>
      </c>
      <c r="F28" s="38">
        <f>[1]IFE!$E$568</f>
        <v>0</v>
      </c>
      <c r="G28" s="178">
        <f t="shared" si="0"/>
        <v>0</v>
      </c>
      <c r="H28" s="38">
        <f>[1]IFE!$F$568</f>
        <v>0</v>
      </c>
      <c r="I28" s="38">
        <f>[1]IFE!$M$568</f>
        <v>0</v>
      </c>
      <c r="J28" s="38">
        <f>[1]IFE!$G$568</f>
        <v>0</v>
      </c>
      <c r="K28" s="178">
        <f>[1]IFE!$K$568</f>
        <v>0</v>
      </c>
      <c r="L28" s="483">
        <f>[1]IFE!$C568</f>
        <v>0</v>
      </c>
      <c r="M28" s="484">
        <f>[1]IFE!$I568</f>
        <v>0</v>
      </c>
      <c r="N28" s="492">
        <f>[1]IFE!$H568</f>
        <v>0</v>
      </c>
    </row>
    <row r="29" spans="1:29" ht="20.100000000000001" customHeight="1" x14ac:dyDescent="0.25">
      <c r="A29" s="828">
        <f>[1]IFE!$N569</f>
        <v>0</v>
      </c>
      <c r="B29" s="829"/>
      <c r="C29" s="174">
        <f>[1]IFE!$B$569</f>
        <v>0</v>
      </c>
      <c r="D29" s="178">
        <f>[1]IFE!$D$569</f>
        <v>0</v>
      </c>
      <c r="E29" s="38">
        <f>[1]IFE!$L$569</f>
        <v>0</v>
      </c>
      <c r="F29" s="38">
        <f>[1]IFE!$E$569</f>
        <v>0</v>
      </c>
      <c r="G29" s="178">
        <f t="shared" si="0"/>
        <v>0</v>
      </c>
      <c r="H29" s="38">
        <f>[1]IFE!$F$569</f>
        <v>0</v>
      </c>
      <c r="I29" s="38">
        <f>[1]IFE!$M$569</f>
        <v>0</v>
      </c>
      <c r="J29" s="38">
        <f>[1]IFE!$G$569</f>
        <v>0</v>
      </c>
      <c r="K29" s="178">
        <f>[1]IFE!$K$569</f>
        <v>0</v>
      </c>
      <c r="L29" s="483">
        <f>[1]IFE!$C569</f>
        <v>0</v>
      </c>
      <c r="M29" s="484">
        <f>[1]IFE!$I569</f>
        <v>0</v>
      </c>
      <c r="N29" s="492">
        <f>[1]IFE!$H569</f>
        <v>0</v>
      </c>
      <c r="R29" s="158"/>
      <c r="S29" s="158"/>
      <c r="T29" s="159"/>
      <c r="U29" s="44"/>
      <c r="V29" s="818"/>
      <c r="W29" s="819"/>
      <c r="X29" s="818"/>
      <c r="Y29" s="819"/>
      <c r="Z29" s="818"/>
      <c r="AA29" s="818"/>
      <c r="AB29" s="159"/>
      <c r="AC29" s="161"/>
    </row>
    <row r="30" spans="1:29" ht="20.100000000000001" customHeight="1" x14ac:dyDescent="0.25">
      <c r="A30" s="828">
        <f>[1]IFE!$N570</f>
        <v>0</v>
      </c>
      <c r="B30" s="829"/>
      <c r="C30" s="174">
        <f>[1]IFE!$B$570</f>
        <v>0</v>
      </c>
      <c r="D30" s="38">
        <f>[1]IFE!$D$570</f>
        <v>0</v>
      </c>
      <c r="E30" s="38">
        <f>[1]IFE!$L$570</f>
        <v>0</v>
      </c>
      <c r="F30" s="38">
        <f>[1]IFE!$E$570</f>
        <v>0</v>
      </c>
      <c r="G30" s="178">
        <f t="shared" si="0"/>
        <v>0</v>
      </c>
      <c r="H30" s="178">
        <f>[1]IFE!$F$570</f>
        <v>0</v>
      </c>
      <c r="I30" s="38">
        <f>[1]IFE!$M$570</f>
        <v>0</v>
      </c>
      <c r="J30" s="38">
        <f>[1]IFE!$G$570</f>
        <v>0</v>
      </c>
      <c r="K30" s="178">
        <f>[1]IFE!$K$570</f>
        <v>0</v>
      </c>
      <c r="L30" s="483">
        <f>[1]IFE!$C570</f>
        <v>0</v>
      </c>
      <c r="M30" s="484">
        <f>[1]IFE!$I570</f>
        <v>0</v>
      </c>
      <c r="N30" s="492">
        <f>[1]IFE!$H570</f>
        <v>0</v>
      </c>
      <c r="R30" s="158"/>
      <c r="S30" s="158"/>
      <c r="T30" s="159"/>
      <c r="U30" s="44"/>
      <c r="V30" s="160"/>
      <c r="W30" s="159"/>
      <c r="X30" s="160"/>
      <c r="Y30" s="159"/>
      <c r="Z30" s="160"/>
      <c r="AA30" s="159"/>
      <c r="AB30" s="161"/>
      <c r="AC30" s="161"/>
    </row>
    <row r="31" spans="1:29" ht="20.100000000000001" customHeight="1" x14ac:dyDescent="0.25">
      <c r="A31" s="828">
        <f>[1]IFE!$N571</f>
        <v>0</v>
      </c>
      <c r="B31" s="829"/>
      <c r="C31" s="174">
        <f>[1]IFE!$B$571</f>
        <v>0</v>
      </c>
      <c r="D31" s="178">
        <f>[1]IFE!$D$571</f>
        <v>0</v>
      </c>
      <c r="E31" s="38">
        <f>[1]IFE!$L$571</f>
        <v>0</v>
      </c>
      <c r="F31" s="38">
        <f>[1]IFE!$E$571</f>
        <v>0</v>
      </c>
      <c r="G31" s="178">
        <f t="shared" si="0"/>
        <v>0</v>
      </c>
      <c r="H31" s="178">
        <f>[1]IFE!$F$571</f>
        <v>0</v>
      </c>
      <c r="I31" s="38">
        <f>[1]IFE!$M$571</f>
        <v>0</v>
      </c>
      <c r="J31" s="38">
        <f>[1]IFE!$G$571</f>
        <v>0</v>
      </c>
      <c r="K31" s="178">
        <f>[1]IFE!$K$571</f>
        <v>0</v>
      </c>
      <c r="L31" s="483">
        <f>[1]IFE!$C571</f>
        <v>0</v>
      </c>
      <c r="M31" s="484">
        <f>[1]IFE!$I571</f>
        <v>0</v>
      </c>
      <c r="N31" s="492">
        <f>[1]IFE!$H571</f>
        <v>0</v>
      </c>
      <c r="R31" s="161"/>
      <c r="S31" s="162"/>
      <c r="T31" s="163"/>
      <c r="U31" s="160"/>
      <c r="V31" s="160"/>
      <c r="W31" s="160"/>
      <c r="X31" s="160"/>
      <c r="Y31" s="160"/>
      <c r="Z31" s="164"/>
      <c r="AA31" s="43"/>
    </row>
    <row r="32" spans="1:29" ht="20.100000000000001" customHeight="1" x14ac:dyDescent="0.25">
      <c r="A32" s="828">
        <f>[1]IFE!$N572</f>
        <v>0</v>
      </c>
      <c r="B32" s="829"/>
      <c r="C32" s="174">
        <f>[1]IFE!$B$572</f>
        <v>0</v>
      </c>
      <c r="D32" s="178">
        <f>[1]IFE!$D$572</f>
        <v>0</v>
      </c>
      <c r="E32" s="38">
        <f>[1]IFE!$L$572</f>
        <v>0</v>
      </c>
      <c r="F32" s="38">
        <f>[1]IFE!$E$572</f>
        <v>0</v>
      </c>
      <c r="G32" s="178">
        <f t="shared" si="0"/>
        <v>0</v>
      </c>
      <c r="H32" s="178">
        <f>[1]IFE!$F$572</f>
        <v>0</v>
      </c>
      <c r="I32" s="38">
        <f>[1]IFE!$M$572</f>
        <v>0</v>
      </c>
      <c r="J32" s="38">
        <f>[1]IFE!$G$572</f>
        <v>0</v>
      </c>
      <c r="K32" s="178">
        <f>[1]IFE!$K$572</f>
        <v>0</v>
      </c>
      <c r="L32" s="483">
        <f>[1]IFE!$C572</f>
        <v>0</v>
      </c>
      <c r="M32" s="484">
        <f>[1]IFE!$I572</f>
        <v>0</v>
      </c>
      <c r="N32" s="492">
        <f>[1]IFE!$H572</f>
        <v>0</v>
      </c>
      <c r="R32" s="161"/>
      <c r="S32" s="162"/>
      <c r="T32" s="163"/>
      <c r="U32" s="160"/>
      <c r="V32" s="160"/>
      <c r="W32" s="160"/>
      <c r="X32" s="160"/>
      <c r="Y32" s="160"/>
      <c r="Z32" s="160"/>
      <c r="AA32" s="43"/>
    </row>
    <row r="33" spans="1:27" ht="20.100000000000001" customHeight="1" x14ac:dyDescent="0.25">
      <c r="A33" s="828">
        <f>[1]IFE!$N573</f>
        <v>0</v>
      </c>
      <c r="B33" s="829"/>
      <c r="C33" s="174">
        <f>[1]IFE!$B$573</f>
        <v>0</v>
      </c>
      <c r="D33" s="178">
        <f>[1]IFE!$D$573</f>
        <v>0</v>
      </c>
      <c r="E33" s="38">
        <f>[1]IFE!$L$573</f>
        <v>0</v>
      </c>
      <c r="F33" s="38">
        <f>[1]IFE!$E$573</f>
        <v>0</v>
      </c>
      <c r="G33" s="178">
        <f t="shared" si="0"/>
        <v>0</v>
      </c>
      <c r="H33" s="178">
        <f>[1]IFE!$F$573</f>
        <v>0</v>
      </c>
      <c r="I33" s="38">
        <f>[1]IFE!$M$573</f>
        <v>0</v>
      </c>
      <c r="J33" s="38">
        <f>[1]IFE!$G$573</f>
        <v>0</v>
      </c>
      <c r="K33" s="38">
        <f>[1]IFE!$K$573</f>
        <v>0</v>
      </c>
      <c r="L33" s="485">
        <f>[1]IFE!$C573</f>
        <v>0</v>
      </c>
      <c r="M33" s="484">
        <f>[1]IFE!$I573</f>
        <v>0</v>
      </c>
      <c r="N33" s="492">
        <f>[1]IFE!$H573</f>
        <v>0</v>
      </c>
      <c r="R33" s="161"/>
      <c r="S33" s="162"/>
      <c r="T33" s="163"/>
      <c r="U33" s="160"/>
      <c r="V33" s="160"/>
      <c r="W33" s="160"/>
      <c r="X33" s="160"/>
      <c r="Y33" s="160"/>
      <c r="Z33" s="160"/>
      <c r="AA33" s="43"/>
    </row>
    <row r="34" spans="1:27" ht="20.100000000000001" customHeight="1" x14ac:dyDescent="0.25">
      <c r="A34" s="828">
        <f>[1]IFE!$N574</f>
        <v>0</v>
      </c>
      <c r="B34" s="829"/>
      <c r="C34" s="174">
        <f>[1]IFE!$B$574</f>
        <v>0</v>
      </c>
      <c r="D34" s="178">
        <f>[1]IFE!$D$574</f>
        <v>0</v>
      </c>
      <c r="E34" s="38">
        <f>[1]IFE!$L$574</f>
        <v>0</v>
      </c>
      <c r="F34" s="38">
        <f>[1]IFE!$E$574</f>
        <v>0</v>
      </c>
      <c r="G34" s="178">
        <f t="shared" si="0"/>
        <v>0</v>
      </c>
      <c r="H34" s="178">
        <f>[1]IFE!$F$574</f>
        <v>0</v>
      </c>
      <c r="I34" s="38">
        <f>[1]IFE!$M$574</f>
        <v>0</v>
      </c>
      <c r="J34" s="38">
        <f>[1]IFE!$G$574</f>
        <v>0</v>
      </c>
      <c r="K34" s="38">
        <f>[1]IFE!$K$574</f>
        <v>0</v>
      </c>
      <c r="L34" s="485">
        <f>[1]IFE!$C574</f>
        <v>0</v>
      </c>
      <c r="M34" s="484">
        <f>[1]IFE!$I574</f>
        <v>0</v>
      </c>
      <c r="N34" s="492">
        <f>[1]IFE!$H574</f>
        <v>0</v>
      </c>
      <c r="O34" s="39"/>
      <c r="P34" s="39"/>
      <c r="Q34" s="39"/>
      <c r="R34" s="161"/>
      <c r="S34" s="162"/>
      <c r="T34" s="163"/>
      <c r="U34" s="160"/>
      <c r="V34" s="160"/>
      <c r="W34" s="160"/>
      <c r="X34" s="160"/>
      <c r="Y34" s="160"/>
      <c r="Z34" s="160"/>
      <c r="AA34" s="43"/>
    </row>
    <row r="35" spans="1:27" ht="20.100000000000001" customHeight="1" x14ac:dyDescent="0.25">
      <c r="A35" s="828">
        <f>[1]IFE!$N575</f>
        <v>0</v>
      </c>
      <c r="B35" s="829"/>
      <c r="C35" s="174">
        <f>[1]IFE!$B$575</f>
        <v>0</v>
      </c>
      <c r="D35" s="38">
        <f>[1]IFE!$D$575</f>
        <v>0</v>
      </c>
      <c r="E35" s="38">
        <f>[1]IFE!$L$575</f>
        <v>0</v>
      </c>
      <c r="F35" s="38">
        <f>[1]IFE!$E$575</f>
        <v>0</v>
      </c>
      <c r="G35" s="178">
        <f t="shared" si="0"/>
        <v>0</v>
      </c>
      <c r="H35" s="178">
        <f>[1]IFE!$F$575</f>
        <v>0</v>
      </c>
      <c r="I35" s="38">
        <f>[1]IFE!$M$575</f>
        <v>0</v>
      </c>
      <c r="J35" s="38">
        <f>[1]IFE!$G$575</f>
        <v>0</v>
      </c>
      <c r="K35" s="38">
        <f>[1]IFE!$K$575</f>
        <v>0</v>
      </c>
      <c r="L35" s="485">
        <f>[1]IFE!$C575</f>
        <v>0</v>
      </c>
      <c r="M35" s="484">
        <f>[1]IFE!$I575</f>
        <v>0</v>
      </c>
      <c r="N35" s="492">
        <f>[1]IFE!$H575</f>
        <v>0</v>
      </c>
      <c r="R35" s="44"/>
      <c r="S35" s="162"/>
      <c r="T35" s="44"/>
      <c r="U35" s="161"/>
      <c r="V35" s="159"/>
      <c r="W35" s="160"/>
      <c r="X35" s="160"/>
      <c r="Y35" s="159"/>
      <c r="Z35" s="159"/>
      <c r="AA35" s="43"/>
    </row>
    <row r="36" spans="1:27" ht="20.100000000000001" customHeight="1" x14ac:dyDescent="0.25">
      <c r="A36" s="828">
        <f>[1]IFE!$N576</f>
        <v>0</v>
      </c>
      <c r="B36" s="829"/>
      <c r="C36" s="174">
        <f>[1]IFE!$B$576</f>
        <v>0</v>
      </c>
      <c r="D36" s="178">
        <f>[1]IFE!$D$576</f>
        <v>0</v>
      </c>
      <c r="E36" s="38">
        <f>[1]IFE!$L$576</f>
        <v>0</v>
      </c>
      <c r="F36" s="38">
        <f>[1]IFE!$E$576</f>
        <v>0</v>
      </c>
      <c r="G36" s="178">
        <f t="shared" si="0"/>
        <v>0</v>
      </c>
      <c r="H36" s="178">
        <f>[1]IFE!$F$576</f>
        <v>0</v>
      </c>
      <c r="I36" s="38">
        <f>[1]IFE!$M$576</f>
        <v>0</v>
      </c>
      <c r="J36" s="38">
        <f>[1]IFE!$G$576</f>
        <v>0</v>
      </c>
      <c r="K36" s="38">
        <f>[1]IFE!$K$576</f>
        <v>0</v>
      </c>
      <c r="L36" s="485">
        <f>[1]IFE!$C576</f>
        <v>0</v>
      </c>
      <c r="M36" s="484">
        <f>[1]IFE!$I576</f>
        <v>0</v>
      </c>
      <c r="N36" s="492">
        <f>[1]IFE!$H576</f>
        <v>0</v>
      </c>
      <c r="R36" s="44"/>
      <c r="S36" s="162"/>
      <c r="T36" s="44"/>
      <c r="U36" s="44"/>
      <c r="V36" s="160"/>
      <c r="W36" s="160"/>
      <c r="X36" s="160"/>
      <c r="Y36" s="159"/>
      <c r="Z36" s="159"/>
      <c r="AA36" s="43"/>
    </row>
    <row r="37" spans="1:27" ht="20.100000000000001" customHeight="1" x14ac:dyDescent="0.25">
      <c r="A37" s="828">
        <f>[1]IFE!$N577</f>
        <v>0</v>
      </c>
      <c r="B37" s="829"/>
      <c r="C37" s="174">
        <f>[1]IFE!$B$577</f>
        <v>0</v>
      </c>
      <c r="D37" s="178">
        <f>[1]IFE!$D$577</f>
        <v>0</v>
      </c>
      <c r="E37" s="38">
        <f>[1]IFE!$L$577</f>
        <v>0</v>
      </c>
      <c r="F37" s="38">
        <f>[1]IFE!$E$577</f>
        <v>0</v>
      </c>
      <c r="G37" s="178">
        <f t="shared" si="0"/>
        <v>0</v>
      </c>
      <c r="H37" s="178">
        <f>[1]IFE!$F$577</f>
        <v>0</v>
      </c>
      <c r="I37" s="38">
        <f>[1]IFE!$M$577</f>
        <v>0</v>
      </c>
      <c r="J37" s="38">
        <f>[1]IFE!$G$577</f>
        <v>0</v>
      </c>
      <c r="K37" s="38">
        <f>[1]IFE!$K$577</f>
        <v>0</v>
      </c>
      <c r="L37" s="485">
        <f>[1]IFE!$C577</f>
        <v>0</v>
      </c>
      <c r="M37" s="484">
        <f>[1]IFE!$I577</f>
        <v>0</v>
      </c>
      <c r="N37" s="492">
        <f>[1]IFE!$H577</f>
        <v>0</v>
      </c>
      <c r="R37" s="44"/>
      <c r="S37" s="162"/>
      <c r="T37" s="44"/>
      <c r="U37" s="44"/>
      <c r="V37" s="160"/>
      <c r="W37" s="160"/>
      <c r="X37" s="160"/>
      <c r="Y37" s="159"/>
      <c r="Z37" s="159"/>
      <c r="AA37" s="43"/>
    </row>
    <row r="38" spans="1:27" ht="20.100000000000001" customHeight="1" x14ac:dyDescent="0.25">
      <c r="A38" s="828">
        <f>[1]IFE!$N578</f>
        <v>0</v>
      </c>
      <c r="B38" s="829"/>
      <c r="C38" s="174">
        <f>[1]IFE!$B$578</f>
        <v>0</v>
      </c>
      <c r="D38" s="178">
        <f>[1]IFE!$D$578</f>
        <v>0</v>
      </c>
      <c r="E38" s="38">
        <f>[1]IFE!$L$578</f>
        <v>0</v>
      </c>
      <c r="F38" s="38">
        <f>[1]IFE!$E$578</f>
        <v>0</v>
      </c>
      <c r="G38" s="178">
        <f t="shared" si="0"/>
        <v>0</v>
      </c>
      <c r="H38" s="178">
        <f>[1]IFE!$F$578</f>
        <v>0</v>
      </c>
      <c r="I38" s="38">
        <f>[1]IFE!$M$578</f>
        <v>0</v>
      </c>
      <c r="J38" s="38">
        <f>[1]IFE!$G$578</f>
        <v>0</v>
      </c>
      <c r="K38" s="38">
        <f>[1]IFE!$K$578</f>
        <v>0</v>
      </c>
      <c r="L38" s="485">
        <f>[1]IFE!$C578</f>
        <v>0</v>
      </c>
      <c r="M38" s="484">
        <f>[1]IFE!$I578</f>
        <v>0</v>
      </c>
      <c r="N38" s="492">
        <f>[1]IFE!$H578</f>
        <v>0</v>
      </c>
      <c r="O38" s="39"/>
    </row>
    <row r="39" spans="1:27" ht="20.100000000000001" customHeight="1" x14ac:dyDescent="0.25">
      <c r="A39" s="828">
        <f>[1]IFE!$N579</f>
        <v>0</v>
      </c>
      <c r="B39" s="829"/>
      <c r="C39" s="174">
        <f>[1]IFE!$B$579</f>
        <v>0</v>
      </c>
      <c r="D39" s="178">
        <f>[1]IFE!$D$579</f>
        <v>0</v>
      </c>
      <c r="E39" s="38">
        <f>[1]IFE!$L$579</f>
        <v>0</v>
      </c>
      <c r="F39" s="38">
        <f>[1]IFE!$E$579</f>
        <v>0</v>
      </c>
      <c r="G39" s="178">
        <f t="shared" si="0"/>
        <v>0</v>
      </c>
      <c r="H39" s="178">
        <f>[1]IFE!$F$579</f>
        <v>0</v>
      </c>
      <c r="I39" s="178">
        <f>[1]IFE!$M$579</f>
        <v>0</v>
      </c>
      <c r="J39" s="178">
        <f>[1]IFE!$G$579</f>
        <v>0</v>
      </c>
      <c r="K39" s="178">
        <f>[1]IFE!$K$579</f>
        <v>0</v>
      </c>
      <c r="L39" s="483">
        <f>[1]IFE!$C579</f>
        <v>0</v>
      </c>
      <c r="M39" s="484">
        <f>[1]IFE!$I579</f>
        <v>0</v>
      </c>
      <c r="N39" s="492">
        <f>[1]IFE!$H579</f>
        <v>0</v>
      </c>
    </row>
    <row r="40" spans="1:27" ht="20.100000000000001" customHeight="1" x14ac:dyDescent="0.25">
      <c r="A40" s="828"/>
      <c r="B40" s="829"/>
      <c r="C40" s="174"/>
      <c r="D40" s="38"/>
      <c r="E40" s="38"/>
      <c r="F40" s="38"/>
      <c r="G40" s="38"/>
      <c r="H40" s="178"/>
      <c r="I40" s="38"/>
      <c r="J40" s="178"/>
      <c r="K40" s="178"/>
      <c r="L40" s="483"/>
      <c r="M40" s="483"/>
      <c r="N40" s="492">
        <f>[1]IFE!$H580</f>
        <v>0</v>
      </c>
    </row>
    <row r="41" spans="1:27" ht="20.100000000000001" customHeight="1" x14ac:dyDescent="0.25">
      <c r="A41" s="828"/>
      <c r="B41" s="829"/>
      <c r="C41" s="174"/>
      <c r="D41" s="38"/>
      <c r="E41" s="38"/>
      <c r="F41" s="38"/>
      <c r="G41" s="38"/>
      <c r="H41" s="178"/>
      <c r="I41" s="38"/>
      <c r="J41" s="178"/>
      <c r="K41" s="178"/>
      <c r="L41" s="483"/>
      <c r="M41" s="483"/>
      <c r="N41" s="492">
        <f>[1]IFE!$H581</f>
        <v>0</v>
      </c>
      <c r="O41" s="47"/>
    </row>
    <row r="42" spans="1:27" ht="20.100000000000001" customHeight="1" x14ac:dyDescent="0.25">
      <c r="A42" s="828"/>
      <c r="B42" s="829"/>
      <c r="C42" s="174"/>
      <c r="D42" s="38"/>
      <c r="E42" s="38"/>
      <c r="F42" s="38"/>
      <c r="G42" s="38"/>
      <c r="H42" s="178"/>
      <c r="I42" s="178"/>
      <c r="J42" s="178"/>
      <c r="K42" s="178"/>
      <c r="L42" s="483"/>
      <c r="M42" s="483"/>
      <c r="N42" s="492">
        <f>[1]IFE!$H582</f>
        <v>0</v>
      </c>
      <c r="Z42" s="47"/>
    </row>
    <row r="43" spans="1:27" ht="20.100000000000001" customHeight="1" x14ac:dyDescent="0.25">
      <c r="A43" s="828"/>
      <c r="B43" s="829"/>
      <c r="C43" s="174"/>
      <c r="D43" s="38"/>
      <c r="E43" s="38"/>
      <c r="F43" s="38"/>
      <c r="G43" s="38"/>
      <c r="H43" s="38"/>
      <c r="I43" s="38"/>
      <c r="J43" s="38"/>
      <c r="K43" s="38"/>
      <c r="L43" s="485"/>
      <c r="M43" s="485"/>
      <c r="N43" s="492">
        <f>[1]IFE!$H583</f>
        <v>0</v>
      </c>
      <c r="O43" s="41"/>
      <c r="Z43" s="47"/>
    </row>
    <row r="44" spans="1:27" ht="20.100000000000001" customHeight="1" x14ac:dyDescent="0.25">
      <c r="A44" s="828"/>
      <c r="B44" s="829"/>
      <c r="C44" s="174"/>
      <c r="D44" s="38"/>
      <c r="E44" s="38"/>
      <c r="F44" s="38"/>
      <c r="G44" s="38"/>
      <c r="H44" s="38"/>
      <c r="I44" s="38"/>
      <c r="J44" s="38"/>
      <c r="K44" s="38"/>
      <c r="L44" s="485"/>
      <c r="M44" s="485"/>
      <c r="N44" s="492">
        <f>[1]IFE!$H584</f>
        <v>0</v>
      </c>
      <c r="O44" s="7"/>
    </row>
    <row r="45" spans="1:27" ht="20.100000000000001" customHeight="1" x14ac:dyDescent="0.25">
      <c r="A45" s="828"/>
      <c r="B45" s="829"/>
      <c r="C45" s="174"/>
      <c r="D45" s="38"/>
      <c r="E45" s="38"/>
      <c r="F45" s="38"/>
      <c r="G45" s="38"/>
      <c r="H45" s="38"/>
      <c r="I45" s="38"/>
      <c r="J45" s="38"/>
      <c r="K45" s="38"/>
      <c r="L45" s="485"/>
      <c r="M45" s="485"/>
      <c r="N45" s="492">
        <f>[1]IFE!$H585</f>
        <v>0</v>
      </c>
      <c r="O45" s="7"/>
    </row>
    <row r="46" spans="1:27" ht="20.100000000000001" customHeight="1" x14ac:dyDescent="0.25">
      <c r="A46" s="828"/>
      <c r="B46" s="829"/>
      <c r="C46" s="174"/>
      <c r="D46" s="38"/>
      <c r="E46" s="38"/>
      <c r="F46" s="38"/>
      <c r="G46" s="38"/>
      <c r="H46" s="38"/>
      <c r="I46" s="38"/>
      <c r="J46" s="38"/>
      <c r="K46" s="38"/>
      <c r="L46" s="485"/>
      <c r="M46" s="485"/>
      <c r="N46" s="492">
        <f>[1]IFE!$H586</f>
        <v>0</v>
      </c>
      <c r="O46" s="42"/>
      <c r="P46" s="43"/>
      <c r="Q46" s="43"/>
      <c r="Z46" s="165"/>
    </row>
    <row r="47" spans="1:27" ht="20.100000000000001" customHeight="1" x14ac:dyDescent="0.25">
      <c r="A47" s="828"/>
      <c r="B47" s="829"/>
      <c r="C47" s="174"/>
      <c r="D47" s="38"/>
      <c r="E47" s="38"/>
      <c r="F47" s="38"/>
      <c r="G47" s="38"/>
      <c r="H47" s="38"/>
      <c r="I47" s="38"/>
      <c r="J47" s="38"/>
      <c r="K47" s="38"/>
      <c r="L47" s="485"/>
      <c r="M47" s="485"/>
      <c r="N47" s="492">
        <f>[1]IFE!$H587</f>
        <v>0</v>
      </c>
      <c r="O47" s="42"/>
      <c r="P47" s="43"/>
      <c r="Q47" s="43"/>
    </row>
    <row r="48" spans="1:27" ht="20.100000000000001" customHeight="1" thickBot="1" x14ac:dyDescent="0.3">
      <c r="A48" s="830"/>
      <c r="B48" s="831"/>
      <c r="C48" s="184"/>
      <c r="D48" s="179"/>
      <c r="E48" s="179"/>
      <c r="F48" s="179"/>
      <c r="G48" s="179"/>
      <c r="H48" s="179"/>
      <c r="I48" s="179"/>
      <c r="J48" s="179"/>
      <c r="K48" s="179"/>
      <c r="L48" s="486"/>
      <c r="M48" s="486"/>
      <c r="N48" s="493">
        <f>[1]IFE!$H588</f>
        <v>0</v>
      </c>
      <c r="O48" s="42"/>
      <c r="P48" s="43"/>
      <c r="Q48" s="43"/>
    </row>
    <row r="49" spans="1:19" ht="20.100000000000001" customHeight="1" thickBot="1" x14ac:dyDescent="0.3">
      <c r="A49" s="175" t="s">
        <v>102</v>
      </c>
      <c r="B49" s="185"/>
      <c r="C49" s="514"/>
      <c r="D49" s="511">
        <f t="shared" ref="D49:K49" si="1">SUM(D10:D48)</f>
        <v>0</v>
      </c>
      <c r="E49" s="511">
        <f t="shared" si="1"/>
        <v>0</v>
      </c>
      <c r="F49" s="511">
        <f t="shared" si="1"/>
        <v>0</v>
      </c>
      <c r="G49" s="511">
        <f t="shared" si="1"/>
        <v>0</v>
      </c>
      <c r="H49" s="511">
        <f t="shared" si="1"/>
        <v>0</v>
      </c>
      <c r="I49" s="511">
        <f t="shared" si="1"/>
        <v>0</v>
      </c>
      <c r="J49" s="511">
        <f t="shared" si="1"/>
        <v>0</v>
      </c>
      <c r="K49" s="511">
        <f t="shared" si="1"/>
        <v>0</v>
      </c>
      <c r="L49" s="512"/>
      <c r="M49" s="512">
        <f>SUM(M10:M48)</f>
        <v>0</v>
      </c>
      <c r="N49" s="513">
        <f>SUM(N10:N48)</f>
        <v>0</v>
      </c>
      <c r="O49" s="42"/>
      <c r="P49" s="43"/>
      <c r="Q49" s="43"/>
    </row>
    <row r="50" spans="1:19" ht="20.100000000000001" customHeight="1" x14ac:dyDescent="0.25">
      <c r="O50" s="42"/>
      <c r="P50" s="43"/>
      <c r="Q50" s="43"/>
    </row>
    <row r="51" spans="1:19" ht="20.100000000000001" customHeight="1" x14ac:dyDescent="0.25">
      <c r="A51" s="479" t="s">
        <v>236</v>
      </c>
      <c r="B51" s="480">
        <f>SUM(M49)</f>
        <v>0</v>
      </c>
      <c r="F51" s="3"/>
      <c r="P51" s="37"/>
      <c r="Q51" s="37"/>
    </row>
    <row r="52" spans="1:19" ht="20.100000000000001" customHeight="1" x14ac:dyDescent="0.25">
      <c r="A52" s="479" t="s">
        <v>185</v>
      </c>
      <c r="B52" s="480">
        <f>SUM([1]IFE!$J$550:$J$579)</f>
        <v>0</v>
      </c>
      <c r="F52" s="3"/>
      <c r="P52" s="37"/>
      <c r="Q52" s="37"/>
    </row>
    <row r="53" spans="1:19" ht="20.100000000000001" customHeight="1" x14ac:dyDescent="0.25">
      <c r="F53" s="3"/>
    </row>
    <row r="54" spans="1:19" ht="20.100000000000001" customHeight="1" x14ac:dyDescent="0.25">
      <c r="A54" s="3"/>
      <c r="B54" s="3"/>
      <c r="C54" s="3"/>
      <c r="D54" s="3"/>
      <c r="F54" s="3"/>
      <c r="G54" s="3"/>
      <c r="H54" s="3"/>
      <c r="I54" s="3"/>
      <c r="J54" s="3"/>
    </row>
    <row r="55" spans="1:19" ht="20.100000000000001" customHeight="1" x14ac:dyDescent="0.25">
      <c r="F55" s="3"/>
      <c r="G55" s="3"/>
      <c r="H55" s="3"/>
      <c r="I55" s="3"/>
      <c r="J55" s="3"/>
    </row>
    <row r="56" spans="1:19" ht="20.100000000000001" customHeight="1" x14ac:dyDescent="0.25">
      <c r="F56" s="3"/>
      <c r="G56" s="3"/>
      <c r="H56" s="3"/>
      <c r="I56" s="3"/>
      <c r="J56" s="3"/>
      <c r="S56" s="166"/>
    </row>
    <row r="57" spans="1:19" ht="20.100000000000001" customHeight="1" x14ac:dyDescent="0.25">
      <c r="F57" s="3"/>
      <c r="G57" s="3"/>
      <c r="H57" s="3"/>
      <c r="I57" s="3"/>
      <c r="J57" s="3"/>
    </row>
    <row r="58" spans="1:19" ht="20.100000000000001" customHeight="1" x14ac:dyDescent="0.25">
      <c r="F58" s="3"/>
      <c r="G58" s="3"/>
      <c r="H58" s="3"/>
      <c r="I58" s="3"/>
      <c r="J58" s="3"/>
    </row>
    <row r="59" spans="1:19" ht="20.100000000000001" customHeight="1" x14ac:dyDescent="0.25">
      <c r="F59" s="3"/>
      <c r="G59" s="3"/>
      <c r="H59" s="3"/>
      <c r="I59" s="3"/>
      <c r="J59" s="3"/>
    </row>
    <row r="60" spans="1:19" ht="20.100000000000001" customHeight="1" x14ac:dyDescent="0.25">
      <c r="A60" s="3"/>
      <c r="B60" s="3"/>
      <c r="C60" s="3"/>
      <c r="D60" s="3"/>
      <c r="E60" s="3"/>
      <c r="F60" s="3"/>
      <c r="G60" s="3"/>
      <c r="H60" s="3"/>
      <c r="I60" s="3"/>
      <c r="J60" s="3"/>
    </row>
    <row r="61" spans="1:19" ht="15" customHeight="1" x14ac:dyDescent="0.25">
      <c r="A61" s="3"/>
      <c r="B61" s="3"/>
      <c r="C61" s="3"/>
      <c r="D61" s="3"/>
      <c r="E61" s="3"/>
      <c r="F61" s="3"/>
      <c r="G61" s="3"/>
      <c r="H61" s="3"/>
      <c r="I61" s="3"/>
      <c r="J61" s="3"/>
    </row>
    <row r="62" spans="1:19" ht="15" customHeight="1" x14ac:dyDescent="0.25">
      <c r="A62" s="3"/>
      <c r="B62" s="3"/>
      <c r="C62" s="3"/>
      <c r="D62" s="3"/>
      <c r="E62" s="3"/>
      <c r="F62" s="3"/>
      <c r="G62" s="3"/>
      <c r="H62" s="3"/>
      <c r="I62" s="3"/>
      <c r="J62" s="3"/>
    </row>
    <row r="63" spans="1:19" ht="15" customHeight="1" x14ac:dyDescent="0.25">
      <c r="A63" s="3"/>
      <c r="B63" s="3"/>
      <c r="C63" s="3"/>
      <c r="D63" s="3"/>
      <c r="E63" s="3"/>
      <c r="F63" s="3"/>
      <c r="G63" s="3"/>
      <c r="H63" s="3"/>
      <c r="I63" s="3"/>
      <c r="J63" s="3"/>
    </row>
    <row r="64" spans="1:19" ht="12" customHeight="1" x14ac:dyDescent="0.25">
      <c r="A64" s="3"/>
      <c r="B64" s="3"/>
      <c r="C64" s="3"/>
      <c r="D64" s="3"/>
      <c r="E64" s="3"/>
      <c r="F64" s="3"/>
      <c r="G64" s="3"/>
      <c r="H64" s="3"/>
      <c r="I64" s="3"/>
      <c r="J64" s="3"/>
    </row>
    <row r="65" spans="1:10" ht="12" customHeight="1" x14ac:dyDescent="0.25">
      <c r="A65" s="3"/>
      <c r="B65" s="3"/>
      <c r="C65" s="3"/>
      <c r="D65" s="3"/>
      <c r="E65" s="3"/>
      <c r="F65" s="3"/>
      <c r="G65" s="3"/>
      <c r="H65" s="3"/>
      <c r="I65" s="3"/>
      <c r="J65" s="3"/>
    </row>
    <row r="66" spans="1:10" ht="12" customHeight="1" x14ac:dyDescent="0.25">
      <c r="A66" s="3"/>
      <c r="B66" s="3"/>
      <c r="C66" s="3"/>
      <c r="D66" s="3"/>
      <c r="E66" s="3"/>
      <c r="F66" s="3"/>
      <c r="G66" s="3"/>
      <c r="H66" s="3"/>
      <c r="I66" s="3"/>
      <c r="J66" s="3"/>
    </row>
    <row r="67" spans="1:10" ht="12" customHeight="1" x14ac:dyDescent="0.25">
      <c r="A67" s="3"/>
      <c r="B67" s="3"/>
      <c r="C67" s="3"/>
      <c r="D67" s="3"/>
      <c r="E67" s="3"/>
      <c r="F67" s="3"/>
      <c r="G67" s="3"/>
      <c r="H67" s="3"/>
      <c r="I67" s="3"/>
      <c r="J67" s="3"/>
    </row>
    <row r="68" spans="1:10" ht="12" customHeight="1" x14ac:dyDescent="0.25">
      <c r="A68" s="3"/>
      <c r="B68" s="3"/>
      <c r="C68" s="3"/>
      <c r="D68" s="3"/>
      <c r="E68" s="3"/>
      <c r="F68" s="3"/>
      <c r="G68" s="3"/>
      <c r="H68" s="3"/>
      <c r="I68" s="3"/>
      <c r="J68" s="3"/>
    </row>
    <row r="69" spans="1:10" ht="12" customHeight="1" x14ac:dyDescent="0.25">
      <c r="A69" s="3"/>
      <c r="B69" s="3"/>
      <c r="C69" s="3"/>
      <c r="D69" s="3"/>
      <c r="E69" s="3"/>
      <c r="F69" s="3"/>
      <c r="G69" s="3"/>
      <c r="H69" s="3"/>
      <c r="I69" s="3"/>
      <c r="J69" s="3"/>
    </row>
    <row r="70" spans="1:10" x14ac:dyDescent="0.25">
      <c r="A70" s="3"/>
      <c r="B70" s="3"/>
      <c r="C70" s="3"/>
      <c r="D70" s="3"/>
      <c r="E70" s="3"/>
      <c r="F70" s="3"/>
      <c r="G70" s="3"/>
      <c r="H70" s="3"/>
      <c r="I70" s="3"/>
      <c r="J70" s="3"/>
    </row>
    <row r="71" spans="1:10" x14ac:dyDescent="0.25">
      <c r="A71" s="3"/>
      <c r="B71" s="3"/>
      <c r="C71" s="3"/>
      <c r="D71" s="3"/>
      <c r="E71" s="3"/>
      <c r="F71" s="3"/>
      <c r="G71" s="3"/>
      <c r="H71" s="3"/>
      <c r="I71" s="3"/>
      <c r="J71" s="3"/>
    </row>
    <row r="72" spans="1:10" x14ac:dyDescent="0.25">
      <c r="A72" s="3"/>
      <c r="B72" s="3"/>
      <c r="C72" s="3"/>
      <c r="D72" s="3"/>
      <c r="E72" s="3"/>
      <c r="F72" s="3"/>
      <c r="G72" s="3"/>
      <c r="H72" s="3"/>
      <c r="I72" s="3"/>
      <c r="J72" s="3"/>
    </row>
    <row r="73" spans="1:10" x14ac:dyDescent="0.25">
      <c r="A73" s="3"/>
      <c r="B73" s="3"/>
      <c r="C73" s="3"/>
      <c r="D73" s="3"/>
      <c r="E73" s="3"/>
      <c r="F73" s="3"/>
      <c r="G73" s="3"/>
      <c r="H73" s="3"/>
      <c r="I73" s="3"/>
      <c r="J73" s="3"/>
    </row>
    <row r="74" spans="1:10" x14ac:dyDescent="0.25">
      <c r="A74" s="3"/>
      <c r="B74" s="3"/>
      <c r="C74" s="3"/>
      <c r="D74" s="3"/>
      <c r="E74" s="3"/>
      <c r="F74" s="3"/>
      <c r="G74" s="3"/>
      <c r="H74" s="3"/>
      <c r="I74" s="3"/>
      <c r="J74" s="3"/>
    </row>
    <row r="75" spans="1:10" x14ac:dyDescent="0.25">
      <c r="A75" s="3"/>
      <c r="B75" s="3"/>
      <c r="C75" s="3"/>
      <c r="D75" s="3"/>
      <c r="E75" s="3"/>
      <c r="F75" s="3"/>
      <c r="G75" s="3"/>
      <c r="H75" s="3"/>
      <c r="I75" s="3"/>
      <c r="J75" s="3"/>
    </row>
    <row r="76" spans="1:10" x14ac:dyDescent="0.25">
      <c r="A76" s="3"/>
      <c r="B76" s="3"/>
      <c r="C76" s="3"/>
      <c r="D76" s="3"/>
      <c r="E76" s="3"/>
      <c r="F76" s="3"/>
      <c r="G76" s="3"/>
      <c r="H76" s="3"/>
      <c r="I76" s="3"/>
      <c r="J76" s="3"/>
    </row>
    <row r="77" spans="1:10" x14ac:dyDescent="0.25">
      <c r="A77" s="3"/>
      <c r="B77" s="3"/>
      <c r="C77" s="3"/>
      <c r="D77" s="3"/>
      <c r="E77" s="3"/>
      <c r="F77" s="3"/>
      <c r="G77" s="3"/>
      <c r="H77" s="3"/>
      <c r="I77" s="3"/>
      <c r="J77" s="3"/>
    </row>
    <row r="78" spans="1:10" x14ac:dyDescent="0.25">
      <c r="A78" s="3"/>
      <c r="B78" s="3"/>
      <c r="C78" s="3"/>
      <c r="D78" s="3"/>
      <c r="E78" s="3"/>
      <c r="F78" s="3"/>
      <c r="G78" s="3"/>
      <c r="H78" s="3"/>
      <c r="I78" s="3"/>
      <c r="J78" s="3"/>
    </row>
    <row r="79" spans="1:10" x14ac:dyDescent="0.25">
      <c r="A79" s="3"/>
      <c r="B79" s="3"/>
      <c r="C79" s="3"/>
      <c r="D79" s="3"/>
      <c r="E79" s="3"/>
      <c r="F79" s="3"/>
      <c r="G79" s="3"/>
      <c r="H79" s="3"/>
      <c r="I79" s="3"/>
      <c r="J79" s="3"/>
    </row>
    <row r="80" spans="1:10" x14ac:dyDescent="0.25">
      <c r="A80" s="3"/>
      <c r="B80" s="3"/>
      <c r="C80" s="3"/>
      <c r="D80" s="3"/>
      <c r="E80" s="3"/>
      <c r="F80" s="3"/>
      <c r="G80" s="3"/>
      <c r="H80" s="3"/>
      <c r="I80" s="3"/>
      <c r="J80" s="3"/>
    </row>
    <row r="81" spans="1:10" x14ac:dyDescent="0.25">
      <c r="A81" s="3"/>
      <c r="B81" s="3"/>
      <c r="C81" s="3"/>
      <c r="D81" s="3"/>
      <c r="E81" s="3"/>
      <c r="F81" s="3"/>
      <c r="G81" s="3"/>
      <c r="H81" s="3"/>
      <c r="I81" s="3"/>
      <c r="J81" s="3"/>
    </row>
    <row r="82" spans="1:10" x14ac:dyDescent="0.25">
      <c r="A82" s="3"/>
      <c r="B82" s="3"/>
      <c r="C82" s="3"/>
      <c r="D82" s="3"/>
      <c r="E82" s="3"/>
      <c r="F82" s="3"/>
      <c r="G82" s="3"/>
      <c r="H82" s="3"/>
      <c r="I82" s="3"/>
      <c r="J82" s="3"/>
    </row>
    <row r="83" spans="1:10" x14ac:dyDescent="0.25">
      <c r="A83" s="3"/>
      <c r="B83" s="3"/>
      <c r="C83" s="3"/>
      <c r="D83" s="3"/>
      <c r="E83" s="3"/>
      <c r="F83" s="3"/>
      <c r="G83" s="3"/>
      <c r="H83" s="3"/>
      <c r="I83" s="3"/>
      <c r="J83" s="3"/>
    </row>
    <row r="84" spans="1:10" x14ac:dyDescent="0.25">
      <c r="A84" s="3"/>
      <c r="B84" s="3"/>
      <c r="C84" s="3"/>
      <c r="D84" s="3"/>
      <c r="E84" s="3"/>
      <c r="F84" s="3"/>
      <c r="G84" s="3"/>
      <c r="H84" s="3"/>
      <c r="I84" s="3"/>
      <c r="J84" s="3"/>
    </row>
    <row r="85" spans="1:10" x14ac:dyDescent="0.25">
      <c r="A85" s="3"/>
      <c r="B85" s="3"/>
      <c r="C85" s="3"/>
      <c r="D85" s="3"/>
      <c r="E85" s="3"/>
      <c r="F85" s="3"/>
      <c r="G85" s="3"/>
      <c r="H85" s="3"/>
      <c r="I85" s="3"/>
      <c r="J85" s="3"/>
    </row>
    <row r="86" spans="1:10" x14ac:dyDescent="0.25">
      <c r="A86" s="3"/>
      <c r="B86" s="3"/>
      <c r="C86" s="3"/>
      <c r="D86" s="3"/>
      <c r="E86" s="3"/>
      <c r="F86" s="3"/>
      <c r="G86" s="3"/>
      <c r="H86" s="3"/>
      <c r="I86" s="3"/>
      <c r="J86" s="3"/>
    </row>
    <row r="87" spans="1:10" x14ac:dyDescent="0.25">
      <c r="A87" s="3"/>
      <c r="B87" s="3"/>
      <c r="C87" s="3"/>
      <c r="D87" s="3"/>
      <c r="E87" s="3"/>
      <c r="F87" s="3"/>
      <c r="G87" s="3"/>
      <c r="H87" s="3"/>
      <c r="I87" s="3"/>
      <c r="J87" s="3"/>
    </row>
    <row r="88" spans="1:10" x14ac:dyDescent="0.25">
      <c r="A88" s="3"/>
      <c r="B88" s="3"/>
      <c r="C88" s="3"/>
      <c r="D88" s="3"/>
      <c r="E88" s="3"/>
      <c r="F88" s="3"/>
      <c r="G88" s="3"/>
      <c r="H88" s="3"/>
      <c r="I88" s="3"/>
      <c r="J88" s="3"/>
    </row>
    <row r="89" spans="1:10" x14ac:dyDescent="0.25">
      <c r="A89" s="3"/>
      <c r="B89" s="3"/>
      <c r="C89" s="3"/>
      <c r="D89" s="3"/>
      <c r="E89" s="3"/>
      <c r="F89" s="3"/>
      <c r="G89" s="3"/>
      <c r="H89" s="3"/>
      <c r="I89" s="3"/>
      <c r="J89" s="3"/>
    </row>
    <row r="90" spans="1:10" x14ac:dyDescent="0.25">
      <c r="A90" s="3"/>
      <c r="B90" s="3"/>
      <c r="C90" s="3"/>
      <c r="D90" s="3"/>
      <c r="E90" s="3"/>
      <c r="F90" s="3"/>
      <c r="G90" s="3"/>
      <c r="H90" s="3"/>
      <c r="I90" s="3"/>
      <c r="J90" s="3"/>
    </row>
    <row r="91" spans="1:10" x14ac:dyDescent="0.25">
      <c r="A91" s="3"/>
      <c r="B91" s="3"/>
      <c r="C91" s="3"/>
      <c r="D91" s="3"/>
      <c r="E91" s="3"/>
      <c r="F91" s="3"/>
      <c r="G91" s="3"/>
      <c r="H91" s="3"/>
      <c r="I91" s="3"/>
      <c r="J91" s="3"/>
    </row>
    <row r="92" spans="1:10" x14ac:dyDescent="0.25">
      <c r="A92" s="3"/>
      <c r="B92" s="3"/>
      <c r="C92" s="3"/>
      <c r="D92" s="3"/>
      <c r="E92" s="3"/>
      <c r="F92" s="3"/>
      <c r="G92" s="3"/>
      <c r="H92" s="3"/>
      <c r="I92" s="3"/>
      <c r="J92" s="3"/>
    </row>
    <row r="93" spans="1:10" x14ac:dyDescent="0.25">
      <c r="A93" s="3"/>
      <c r="B93" s="3"/>
      <c r="C93" s="3"/>
      <c r="D93" s="3"/>
      <c r="E93" s="3"/>
      <c r="F93" s="3"/>
      <c r="G93" s="3"/>
      <c r="H93" s="3"/>
      <c r="I93" s="3"/>
      <c r="J93" s="3"/>
    </row>
    <row r="94" spans="1:10" x14ac:dyDescent="0.25">
      <c r="A94" s="3"/>
      <c r="B94" s="3"/>
      <c r="C94" s="3"/>
      <c r="D94" s="3"/>
      <c r="E94" s="3"/>
      <c r="F94" s="3"/>
      <c r="G94" s="3"/>
      <c r="H94" s="3"/>
      <c r="I94" s="3"/>
      <c r="J94" s="3"/>
    </row>
    <row r="95" spans="1:10" x14ac:dyDescent="0.25">
      <c r="A95" s="3"/>
      <c r="B95" s="3"/>
      <c r="C95" s="3"/>
      <c r="D95" s="3"/>
      <c r="E95" s="3"/>
      <c r="F95" s="3"/>
      <c r="G95" s="3"/>
      <c r="H95" s="3"/>
      <c r="I95" s="3"/>
      <c r="J95" s="3"/>
    </row>
    <row r="96" spans="1:10" x14ac:dyDescent="0.25">
      <c r="A96" s="3"/>
      <c r="B96" s="3"/>
      <c r="C96" s="3"/>
      <c r="D96" s="3"/>
      <c r="E96" s="3"/>
      <c r="F96" s="3"/>
      <c r="G96" s="3"/>
      <c r="H96" s="3"/>
      <c r="I96" s="3"/>
      <c r="J96" s="3"/>
    </row>
    <row r="97" spans="1:10" x14ac:dyDescent="0.25">
      <c r="A97" s="3"/>
      <c r="B97" s="3"/>
      <c r="C97" s="3"/>
      <c r="D97" s="3"/>
      <c r="E97" s="3"/>
      <c r="F97" s="3"/>
      <c r="G97" s="3"/>
      <c r="H97" s="3"/>
      <c r="I97" s="3"/>
      <c r="J97" s="3"/>
    </row>
    <row r="98" spans="1:10" x14ac:dyDescent="0.25">
      <c r="A98" s="3"/>
      <c r="B98" s="3"/>
      <c r="C98" s="3"/>
      <c r="D98" s="3"/>
      <c r="E98" s="3"/>
      <c r="F98" s="3"/>
      <c r="G98" s="3"/>
      <c r="H98" s="3"/>
      <c r="I98" s="3"/>
      <c r="J98" s="3"/>
    </row>
    <row r="99" spans="1:10" x14ac:dyDescent="0.25">
      <c r="A99" s="3"/>
      <c r="B99" s="3"/>
      <c r="C99" s="3"/>
      <c r="D99" s="3"/>
      <c r="E99" s="3"/>
      <c r="F99" s="3"/>
      <c r="G99" s="3"/>
      <c r="H99" s="3"/>
      <c r="I99" s="3"/>
      <c r="J99" s="3"/>
    </row>
    <row r="100" spans="1:10" x14ac:dyDescent="0.25">
      <c r="A100" s="3"/>
      <c r="B100" s="3"/>
      <c r="C100" s="3"/>
      <c r="D100" s="3"/>
      <c r="E100" s="3"/>
      <c r="F100" s="3"/>
      <c r="G100" s="3"/>
      <c r="H100" s="3"/>
      <c r="I100" s="3"/>
      <c r="J100" s="3"/>
    </row>
    <row r="101" spans="1:10" x14ac:dyDescent="0.25">
      <c r="A101" s="3"/>
      <c r="B101" s="3"/>
      <c r="C101" s="3"/>
      <c r="D101" s="3"/>
      <c r="E101" s="3"/>
      <c r="F101" s="3"/>
      <c r="G101" s="3"/>
      <c r="H101" s="3"/>
      <c r="I101" s="3"/>
      <c r="J101" s="3"/>
    </row>
    <row r="102" spans="1:10" x14ac:dyDescent="0.25">
      <c r="A102" s="3"/>
      <c r="B102" s="3"/>
      <c r="C102" s="3"/>
      <c r="D102" s="3"/>
      <c r="E102" s="3"/>
      <c r="F102" s="3"/>
      <c r="G102" s="3"/>
      <c r="H102" s="3"/>
      <c r="I102" s="3"/>
      <c r="J102" s="3"/>
    </row>
    <row r="103" spans="1:10" x14ac:dyDescent="0.25">
      <c r="A103" s="3"/>
      <c r="B103" s="3"/>
      <c r="C103" s="3"/>
      <c r="D103" s="3"/>
      <c r="E103" s="3"/>
      <c r="F103" s="3"/>
      <c r="G103" s="3"/>
      <c r="H103" s="3"/>
      <c r="I103" s="3"/>
      <c r="J103" s="3"/>
    </row>
    <row r="104" spans="1:10" x14ac:dyDescent="0.25">
      <c r="A104" s="3"/>
      <c r="B104" s="3"/>
      <c r="C104" s="3"/>
      <c r="D104" s="3"/>
      <c r="E104" s="3"/>
      <c r="F104" s="3"/>
      <c r="G104" s="3"/>
      <c r="H104" s="3"/>
      <c r="I104" s="3"/>
      <c r="J104" s="3"/>
    </row>
    <row r="105" spans="1:10" x14ac:dyDescent="0.25">
      <c r="A105" s="3"/>
      <c r="B105" s="3"/>
      <c r="C105" s="3"/>
      <c r="D105" s="3"/>
      <c r="E105" s="3"/>
      <c r="F105" s="3"/>
      <c r="G105" s="3"/>
      <c r="H105" s="3"/>
      <c r="I105" s="3"/>
      <c r="J105" s="3"/>
    </row>
    <row r="106" spans="1:10" x14ac:dyDescent="0.25">
      <c r="A106" s="3"/>
      <c r="B106" s="3"/>
      <c r="C106" s="3"/>
      <c r="D106" s="3"/>
      <c r="E106" s="3"/>
      <c r="F106" s="3"/>
      <c r="G106" s="3"/>
      <c r="H106" s="3"/>
      <c r="I106" s="3"/>
      <c r="J106" s="3"/>
    </row>
    <row r="107" spans="1:10" x14ac:dyDescent="0.25">
      <c r="A107" s="3"/>
      <c r="B107" s="3"/>
      <c r="C107" s="3"/>
      <c r="D107" s="3"/>
      <c r="E107" s="3"/>
      <c r="F107" s="3"/>
      <c r="G107" s="3"/>
      <c r="H107" s="3"/>
      <c r="I107" s="3"/>
      <c r="J107" s="3"/>
    </row>
    <row r="108" spans="1:10" x14ac:dyDescent="0.25">
      <c r="A108" s="3"/>
      <c r="B108" s="3"/>
      <c r="C108" s="3"/>
      <c r="D108" s="3"/>
      <c r="E108" s="3"/>
      <c r="F108" s="3"/>
      <c r="G108" s="3"/>
      <c r="H108" s="3"/>
      <c r="I108" s="3"/>
      <c r="J108" s="3"/>
    </row>
    <row r="109" spans="1:10" x14ac:dyDescent="0.25">
      <c r="A109" s="3"/>
      <c r="B109" s="3"/>
      <c r="C109" s="3"/>
      <c r="D109" s="3"/>
      <c r="E109" s="3"/>
      <c r="F109" s="3"/>
      <c r="G109" s="3"/>
      <c r="H109" s="3"/>
      <c r="I109" s="3"/>
      <c r="J109" s="3"/>
    </row>
    <row r="110" spans="1:10" x14ac:dyDescent="0.25">
      <c r="A110" s="3"/>
      <c r="B110" s="3"/>
      <c r="C110" s="3"/>
      <c r="D110" s="3"/>
      <c r="E110" s="3"/>
      <c r="F110" s="3"/>
      <c r="G110" s="3"/>
      <c r="H110" s="3"/>
      <c r="I110" s="3"/>
      <c r="J110" s="3"/>
    </row>
    <row r="111" spans="1:10" x14ac:dyDescent="0.25">
      <c r="A111" s="3"/>
      <c r="B111" s="3"/>
      <c r="C111" s="3"/>
      <c r="D111" s="3"/>
      <c r="E111" s="3"/>
      <c r="F111" s="3"/>
      <c r="G111" s="3"/>
      <c r="H111" s="3"/>
      <c r="I111" s="3"/>
      <c r="J111" s="3"/>
    </row>
    <row r="112" spans="1:10" x14ac:dyDescent="0.25">
      <c r="A112" s="3"/>
      <c r="B112" s="3"/>
      <c r="C112" s="3"/>
      <c r="D112" s="3"/>
      <c r="E112" s="3"/>
      <c r="F112" s="3"/>
      <c r="G112" s="3"/>
      <c r="H112" s="3"/>
      <c r="I112" s="3"/>
      <c r="J112" s="3"/>
    </row>
    <row r="113" spans="1:10" x14ac:dyDescent="0.25">
      <c r="A113" s="3"/>
      <c r="B113" s="3"/>
      <c r="C113" s="3"/>
      <c r="D113" s="3"/>
      <c r="E113" s="3"/>
      <c r="F113" s="3"/>
      <c r="G113" s="3"/>
      <c r="H113" s="3"/>
      <c r="I113" s="3"/>
      <c r="J113" s="3"/>
    </row>
    <row r="114" spans="1:10" x14ac:dyDescent="0.25">
      <c r="A114" s="3"/>
      <c r="B114" s="3"/>
      <c r="C114" s="3"/>
      <c r="D114" s="3"/>
      <c r="E114" s="3"/>
      <c r="F114" s="3"/>
      <c r="G114" s="3"/>
      <c r="H114" s="3"/>
      <c r="I114" s="3"/>
      <c r="J114" s="3"/>
    </row>
    <row r="115" spans="1:10" x14ac:dyDescent="0.25">
      <c r="A115" s="3"/>
      <c r="B115" s="3"/>
      <c r="C115" s="3"/>
      <c r="D115" s="3"/>
      <c r="E115" s="3"/>
      <c r="F115" s="3"/>
      <c r="G115" s="3"/>
      <c r="H115" s="3"/>
      <c r="I115" s="3"/>
      <c r="J115" s="3"/>
    </row>
    <row r="116" spans="1:10" x14ac:dyDescent="0.25">
      <c r="A116" s="3"/>
      <c r="B116" s="3"/>
      <c r="C116" s="3"/>
      <c r="D116" s="3"/>
      <c r="E116" s="3"/>
      <c r="F116" s="3"/>
      <c r="G116" s="3"/>
      <c r="H116" s="3"/>
      <c r="I116" s="3"/>
      <c r="J116" s="3"/>
    </row>
    <row r="117" spans="1:10" x14ac:dyDescent="0.25">
      <c r="A117" s="3"/>
      <c r="B117" s="3"/>
      <c r="C117" s="3"/>
      <c r="D117" s="3"/>
      <c r="E117" s="3"/>
      <c r="F117" s="3"/>
      <c r="G117" s="3"/>
      <c r="H117" s="3"/>
      <c r="I117" s="3"/>
      <c r="J117" s="3"/>
    </row>
    <row r="118" spans="1:10" x14ac:dyDescent="0.25">
      <c r="A118" s="3"/>
      <c r="B118" s="3"/>
      <c r="C118" s="3"/>
      <c r="D118" s="3"/>
      <c r="E118" s="3"/>
      <c r="F118" s="3"/>
      <c r="G118" s="3"/>
      <c r="H118" s="3"/>
      <c r="I118" s="3"/>
      <c r="J118" s="3"/>
    </row>
    <row r="119" spans="1:10" x14ac:dyDescent="0.25">
      <c r="A119" s="3"/>
      <c r="B119" s="3"/>
      <c r="C119" s="3"/>
      <c r="D119" s="3"/>
      <c r="E119" s="3"/>
      <c r="F119" s="3"/>
      <c r="G119" s="3"/>
      <c r="H119" s="3"/>
      <c r="I119" s="3"/>
      <c r="J119" s="3"/>
    </row>
    <row r="120" spans="1:10" x14ac:dyDescent="0.25">
      <c r="A120" s="3"/>
      <c r="B120" s="3"/>
      <c r="C120" s="3"/>
      <c r="D120" s="3"/>
      <c r="E120" s="3"/>
      <c r="F120" s="3"/>
      <c r="G120" s="3"/>
      <c r="H120" s="3"/>
      <c r="I120" s="3"/>
      <c r="J120" s="3"/>
    </row>
    <row r="121" spans="1:10" x14ac:dyDescent="0.25">
      <c r="A121" s="3"/>
      <c r="B121" s="3"/>
      <c r="C121" s="3"/>
      <c r="D121" s="3"/>
      <c r="E121" s="3"/>
      <c r="F121" s="3"/>
      <c r="G121" s="3"/>
      <c r="H121" s="3"/>
      <c r="I121" s="3"/>
      <c r="J121" s="3"/>
    </row>
    <row r="122" spans="1:10" x14ac:dyDescent="0.25">
      <c r="A122" s="3"/>
      <c r="B122" s="3"/>
      <c r="C122" s="3"/>
      <c r="D122" s="3"/>
      <c r="E122" s="3"/>
      <c r="F122" s="3"/>
      <c r="G122" s="3"/>
      <c r="H122" s="3"/>
      <c r="I122" s="3"/>
      <c r="J122" s="3"/>
    </row>
    <row r="123" spans="1:10" x14ac:dyDescent="0.25">
      <c r="A123" s="3"/>
      <c r="B123" s="3"/>
      <c r="C123" s="3"/>
      <c r="D123" s="3"/>
      <c r="E123" s="3"/>
      <c r="F123" s="3"/>
      <c r="G123" s="3"/>
      <c r="H123" s="3"/>
      <c r="I123" s="3"/>
      <c r="J123" s="3"/>
    </row>
    <row r="124" spans="1:10" x14ac:dyDescent="0.25">
      <c r="A124" s="3"/>
      <c r="B124" s="3"/>
      <c r="C124" s="3"/>
      <c r="D124" s="3"/>
      <c r="E124" s="3"/>
      <c r="F124" s="3"/>
      <c r="G124" s="3"/>
      <c r="H124" s="3"/>
      <c r="I124" s="3"/>
      <c r="J124" s="3"/>
    </row>
    <row r="125" spans="1:10" x14ac:dyDescent="0.25">
      <c r="A125" s="3"/>
      <c r="B125" s="3"/>
      <c r="C125" s="3"/>
      <c r="D125" s="3"/>
      <c r="E125" s="3"/>
      <c r="F125" s="3"/>
      <c r="G125" s="3"/>
      <c r="H125" s="3"/>
      <c r="I125" s="3"/>
      <c r="J125" s="3"/>
    </row>
    <row r="126" spans="1:10" x14ac:dyDescent="0.25">
      <c r="A126" s="3"/>
      <c r="B126" s="3"/>
      <c r="C126" s="3"/>
      <c r="D126" s="3"/>
      <c r="E126" s="3"/>
      <c r="F126" s="3"/>
      <c r="G126" s="3"/>
      <c r="H126" s="3"/>
      <c r="I126" s="3"/>
      <c r="J126" s="3"/>
    </row>
    <row r="127" spans="1:10" x14ac:dyDescent="0.25">
      <c r="A127" s="3"/>
      <c r="B127" s="3"/>
      <c r="C127" s="3"/>
      <c r="D127" s="3"/>
      <c r="E127" s="3"/>
      <c r="F127" s="3"/>
      <c r="G127" s="3"/>
      <c r="H127" s="3"/>
      <c r="I127" s="3"/>
      <c r="J127" s="3"/>
    </row>
    <row r="128" spans="1:10" x14ac:dyDescent="0.25">
      <c r="A128" s="3"/>
      <c r="B128" s="3"/>
      <c r="C128" s="3"/>
      <c r="D128" s="3"/>
      <c r="E128" s="3"/>
      <c r="F128" s="3"/>
      <c r="G128" s="3"/>
      <c r="H128" s="3"/>
      <c r="I128" s="3"/>
      <c r="J128" s="3"/>
    </row>
    <row r="129" spans="1:10" x14ac:dyDescent="0.25">
      <c r="A129" s="3"/>
      <c r="B129" s="3"/>
      <c r="C129" s="3"/>
      <c r="D129" s="3"/>
      <c r="E129" s="3"/>
      <c r="F129" s="3"/>
      <c r="G129" s="3"/>
      <c r="H129" s="3"/>
      <c r="I129" s="3"/>
      <c r="J129" s="3"/>
    </row>
    <row r="130" spans="1:10" x14ac:dyDescent="0.25">
      <c r="A130" s="3"/>
      <c r="B130" s="3"/>
      <c r="C130" s="3"/>
      <c r="D130" s="3"/>
      <c r="E130" s="3"/>
      <c r="F130" s="3"/>
      <c r="G130" s="3"/>
      <c r="H130" s="3"/>
      <c r="I130" s="3"/>
      <c r="J130" s="3"/>
    </row>
    <row r="131" spans="1:10" x14ac:dyDescent="0.25">
      <c r="A131" s="3"/>
      <c r="B131" s="3"/>
      <c r="C131" s="3"/>
      <c r="D131" s="3"/>
      <c r="E131" s="3"/>
      <c r="F131" s="3"/>
      <c r="G131" s="3"/>
      <c r="H131" s="3"/>
      <c r="I131" s="3"/>
      <c r="J131" s="3"/>
    </row>
    <row r="132" spans="1:10" x14ac:dyDescent="0.25">
      <c r="A132" s="3"/>
      <c r="B132" s="3"/>
      <c r="C132" s="3"/>
      <c r="D132" s="3"/>
      <c r="E132" s="3"/>
      <c r="F132" s="3"/>
      <c r="G132" s="3"/>
      <c r="H132" s="3"/>
      <c r="I132" s="3"/>
      <c r="J132" s="3"/>
    </row>
    <row r="133" spans="1:10" x14ac:dyDescent="0.25">
      <c r="A133" s="3"/>
      <c r="B133" s="3"/>
      <c r="C133" s="3"/>
      <c r="D133" s="3"/>
      <c r="E133" s="3"/>
      <c r="F133" s="3"/>
      <c r="G133" s="3"/>
      <c r="H133" s="3"/>
      <c r="I133" s="3"/>
      <c r="J133" s="3"/>
    </row>
    <row r="134" spans="1:10" x14ac:dyDescent="0.25">
      <c r="A134" s="3"/>
      <c r="B134" s="3"/>
      <c r="C134" s="3"/>
      <c r="D134" s="3"/>
      <c r="E134" s="3"/>
      <c r="F134" s="3"/>
      <c r="G134" s="3"/>
      <c r="H134" s="3"/>
      <c r="I134" s="3"/>
      <c r="J134" s="3"/>
    </row>
    <row r="135" spans="1:10" x14ac:dyDescent="0.25">
      <c r="A135" s="3"/>
      <c r="B135" s="3"/>
      <c r="C135" s="3"/>
      <c r="D135" s="3"/>
      <c r="E135" s="3"/>
      <c r="F135" s="3"/>
      <c r="G135" s="3"/>
      <c r="H135" s="3"/>
      <c r="I135" s="3"/>
      <c r="J135" s="3"/>
    </row>
    <row r="136" spans="1:10" x14ac:dyDescent="0.25">
      <c r="A136" s="3"/>
      <c r="B136" s="3"/>
      <c r="C136" s="3"/>
      <c r="D136" s="3"/>
      <c r="E136" s="3"/>
      <c r="F136" s="3"/>
      <c r="G136" s="3"/>
      <c r="H136" s="3"/>
      <c r="I136" s="3"/>
      <c r="J136" s="3"/>
    </row>
    <row r="137" spans="1:10" x14ac:dyDescent="0.25">
      <c r="A137" s="3"/>
      <c r="B137" s="3"/>
      <c r="C137" s="3"/>
      <c r="D137" s="3"/>
      <c r="E137" s="3"/>
      <c r="F137" s="3"/>
      <c r="G137" s="3"/>
      <c r="H137" s="3"/>
      <c r="I137" s="3"/>
      <c r="J137" s="3"/>
    </row>
    <row r="138" spans="1:10" x14ac:dyDescent="0.25">
      <c r="A138" s="3"/>
      <c r="B138" s="3"/>
      <c r="C138" s="3"/>
      <c r="D138" s="3"/>
      <c r="E138" s="3"/>
      <c r="F138" s="3"/>
      <c r="G138" s="3"/>
      <c r="H138" s="3"/>
      <c r="I138" s="3"/>
      <c r="J138" s="3"/>
    </row>
    <row r="139" spans="1:10" x14ac:dyDescent="0.25">
      <c r="A139" s="3"/>
      <c r="B139" s="3"/>
      <c r="C139" s="3"/>
      <c r="D139" s="3"/>
      <c r="E139" s="3"/>
      <c r="F139" s="3"/>
      <c r="G139" s="3"/>
      <c r="H139" s="3"/>
      <c r="I139" s="3"/>
      <c r="J139" s="3"/>
    </row>
    <row r="140" spans="1:10" x14ac:dyDescent="0.25">
      <c r="A140" s="3"/>
      <c r="B140" s="3"/>
      <c r="C140" s="3"/>
      <c r="D140" s="3"/>
      <c r="E140" s="3"/>
      <c r="F140" s="3"/>
      <c r="G140" s="3"/>
      <c r="H140" s="3"/>
      <c r="I140" s="3"/>
      <c r="J140" s="3"/>
    </row>
    <row r="141" spans="1:10" x14ac:dyDescent="0.25">
      <c r="A141" s="3"/>
      <c r="B141" s="3"/>
      <c r="C141" s="3"/>
      <c r="D141" s="3"/>
      <c r="E141" s="3"/>
      <c r="F141" s="3"/>
      <c r="G141" s="3"/>
      <c r="H141" s="3"/>
      <c r="I141" s="3"/>
      <c r="J141" s="3"/>
    </row>
    <row r="142" spans="1:10" x14ac:dyDescent="0.25">
      <c r="A142" s="3"/>
      <c r="B142" s="3"/>
      <c r="C142" s="3"/>
      <c r="D142" s="3"/>
      <c r="E142" s="3"/>
      <c r="F142" s="3"/>
      <c r="G142" s="3"/>
      <c r="H142" s="3"/>
      <c r="I142" s="3"/>
      <c r="J142" s="3"/>
    </row>
    <row r="143" spans="1:10" x14ac:dyDescent="0.25">
      <c r="A143" s="3"/>
      <c r="B143" s="3"/>
      <c r="C143" s="3"/>
      <c r="D143" s="3"/>
      <c r="E143" s="3"/>
      <c r="F143" s="3"/>
      <c r="G143" s="3"/>
      <c r="H143" s="3"/>
      <c r="I143" s="3"/>
      <c r="J143" s="3"/>
    </row>
    <row r="144" spans="1:10" x14ac:dyDescent="0.25">
      <c r="A144" s="3"/>
      <c r="B144" s="3"/>
      <c r="C144" s="3"/>
      <c r="D144" s="3"/>
      <c r="E144" s="3"/>
      <c r="F144" s="3"/>
      <c r="G144" s="3"/>
      <c r="H144" s="3"/>
      <c r="I144" s="3"/>
      <c r="J144" s="3"/>
    </row>
    <row r="145" spans="1:10" x14ac:dyDescent="0.25">
      <c r="A145" s="3"/>
      <c r="B145" s="3"/>
      <c r="C145" s="3"/>
      <c r="D145" s="3"/>
      <c r="E145" s="3"/>
      <c r="F145" s="3"/>
      <c r="G145" s="3"/>
      <c r="H145" s="3"/>
      <c r="I145" s="3"/>
      <c r="J145" s="3"/>
    </row>
    <row r="146" spans="1:10" x14ac:dyDescent="0.25">
      <c r="A146" s="3"/>
      <c r="B146" s="3"/>
      <c r="C146" s="3"/>
      <c r="D146" s="3"/>
      <c r="E146" s="3"/>
      <c r="F146" s="3"/>
      <c r="G146" s="3"/>
      <c r="H146" s="3"/>
      <c r="I146" s="3"/>
      <c r="J146" s="3"/>
    </row>
    <row r="147" spans="1:10" x14ac:dyDescent="0.25">
      <c r="A147" s="3"/>
      <c r="B147" s="3"/>
      <c r="C147" s="3"/>
      <c r="D147" s="3"/>
      <c r="E147" s="3"/>
      <c r="F147" s="3"/>
      <c r="G147" s="3"/>
      <c r="H147" s="3"/>
      <c r="I147" s="3"/>
      <c r="J147" s="3"/>
    </row>
    <row r="148" spans="1:10" x14ac:dyDescent="0.25">
      <c r="A148" s="3"/>
      <c r="B148" s="3"/>
      <c r="C148" s="3"/>
      <c r="D148" s="3"/>
      <c r="E148" s="3"/>
      <c r="F148" s="3"/>
      <c r="G148" s="3"/>
      <c r="H148" s="3"/>
      <c r="I148" s="3"/>
      <c r="J148" s="3"/>
    </row>
    <row r="149" spans="1:10" x14ac:dyDescent="0.25">
      <c r="A149" s="3"/>
      <c r="B149" s="3"/>
      <c r="C149" s="3"/>
      <c r="D149" s="3"/>
      <c r="E149" s="3"/>
      <c r="F149" s="3"/>
      <c r="G149" s="3"/>
      <c r="H149" s="3"/>
      <c r="I149" s="3"/>
      <c r="J149" s="3"/>
    </row>
    <row r="150" spans="1:10" x14ac:dyDescent="0.25">
      <c r="A150" s="3"/>
      <c r="B150" s="3"/>
      <c r="C150" s="3"/>
      <c r="D150" s="3"/>
      <c r="E150" s="3"/>
      <c r="F150" s="3"/>
      <c r="G150" s="3"/>
      <c r="H150" s="3"/>
      <c r="I150" s="3"/>
      <c r="J150" s="3"/>
    </row>
    <row r="151" spans="1:10" x14ac:dyDescent="0.25">
      <c r="A151" s="3"/>
      <c r="B151" s="3"/>
      <c r="C151" s="3"/>
      <c r="D151" s="3"/>
      <c r="E151" s="3"/>
      <c r="F151" s="3"/>
      <c r="G151" s="3"/>
      <c r="H151" s="3"/>
      <c r="I151" s="3"/>
      <c r="J151" s="3"/>
    </row>
    <row r="152" spans="1:10" x14ac:dyDescent="0.25">
      <c r="A152" s="3"/>
      <c r="B152" s="3"/>
      <c r="C152" s="3"/>
      <c r="D152" s="3"/>
      <c r="E152" s="3"/>
      <c r="F152" s="3"/>
      <c r="G152" s="3"/>
      <c r="H152" s="3"/>
      <c r="I152" s="3"/>
      <c r="J152" s="3"/>
    </row>
    <row r="153" spans="1:10" x14ac:dyDescent="0.25">
      <c r="A153" s="3"/>
      <c r="B153" s="3"/>
      <c r="C153" s="3"/>
      <c r="D153" s="3"/>
      <c r="E153" s="3"/>
      <c r="F153" s="3"/>
      <c r="G153" s="3"/>
      <c r="H153" s="3"/>
      <c r="I153" s="3"/>
      <c r="J153" s="3"/>
    </row>
    <row r="154" spans="1:10" x14ac:dyDescent="0.25">
      <c r="A154" s="3"/>
      <c r="B154" s="3"/>
      <c r="C154" s="3"/>
      <c r="D154" s="3"/>
      <c r="E154" s="3"/>
      <c r="F154" s="3"/>
      <c r="G154" s="3"/>
      <c r="H154" s="3"/>
      <c r="I154" s="3"/>
      <c r="J154" s="3"/>
    </row>
    <row r="155" spans="1:10" x14ac:dyDescent="0.25">
      <c r="A155" s="3"/>
      <c r="B155" s="3"/>
      <c r="C155" s="3"/>
      <c r="D155" s="3"/>
      <c r="E155" s="3"/>
      <c r="F155" s="3"/>
      <c r="G155" s="3"/>
      <c r="H155" s="3"/>
      <c r="I155" s="3"/>
      <c r="J155" s="3"/>
    </row>
    <row r="156" spans="1:10" x14ac:dyDescent="0.25">
      <c r="A156" s="3"/>
      <c r="B156" s="3"/>
      <c r="C156" s="3"/>
      <c r="D156" s="3"/>
      <c r="E156" s="3"/>
      <c r="F156" s="3"/>
      <c r="G156" s="3"/>
      <c r="H156" s="3"/>
      <c r="I156" s="3"/>
      <c r="J156" s="3"/>
    </row>
    <row r="157" spans="1:10" x14ac:dyDescent="0.25">
      <c r="A157" s="3"/>
      <c r="B157" s="3"/>
      <c r="C157" s="3"/>
      <c r="D157" s="3"/>
      <c r="E157" s="3"/>
      <c r="F157" s="3"/>
      <c r="G157" s="3"/>
      <c r="H157" s="3"/>
      <c r="I157" s="3"/>
      <c r="J157" s="3"/>
    </row>
    <row r="158" spans="1:10" x14ac:dyDescent="0.25">
      <c r="A158" s="3"/>
      <c r="B158" s="3"/>
      <c r="C158" s="3"/>
      <c r="D158" s="3"/>
      <c r="E158" s="3"/>
      <c r="F158" s="3"/>
      <c r="G158" s="3"/>
      <c r="H158" s="3"/>
      <c r="I158" s="3"/>
      <c r="J158" s="3"/>
    </row>
    <row r="159" spans="1:10" x14ac:dyDescent="0.25">
      <c r="A159" s="3"/>
      <c r="B159" s="3"/>
      <c r="C159" s="3"/>
      <c r="D159" s="3"/>
      <c r="E159" s="3"/>
      <c r="F159" s="3"/>
      <c r="G159" s="3"/>
      <c r="H159" s="3"/>
      <c r="I159" s="3"/>
      <c r="J159" s="3"/>
    </row>
    <row r="160" spans="1:10" x14ac:dyDescent="0.25">
      <c r="A160" s="3"/>
      <c r="B160" s="3"/>
      <c r="C160" s="3"/>
      <c r="D160" s="3"/>
      <c r="E160" s="3"/>
      <c r="F160" s="3"/>
      <c r="G160" s="3"/>
      <c r="H160" s="3"/>
      <c r="I160" s="3"/>
      <c r="J160" s="3"/>
    </row>
    <row r="161" spans="1:10" x14ac:dyDescent="0.25">
      <c r="A161" s="3"/>
      <c r="B161" s="3"/>
      <c r="C161" s="3"/>
      <c r="D161" s="3"/>
      <c r="E161" s="3"/>
      <c r="F161" s="3"/>
      <c r="G161" s="3"/>
      <c r="H161" s="3"/>
      <c r="I161" s="3"/>
      <c r="J161" s="3"/>
    </row>
    <row r="162" spans="1:10" x14ac:dyDescent="0.25">
      <c r="A162" s="3"/>
      <c r="B162" s="3"/>
      <c r="C162" s="3"/>
      <c r="D162" s="3"/>
      <c r="E162" s="3"/>
      <c r="F162" s="3"/>
      <c r="G162" s="3"/>
      <c r="H162" s="3"/>
      <c r="I162" s="3"/>
      <c r="J162" s="3"/>
    </row>
    <row r="163" spans="1:10" x14ac:dyDescent="0.25">
      <c r="A163" s="3"/>
      <c r="B163" s="3"/>
      <c r="C163" s="3"/>
      <c r="D163" s="3"/>
      <c r="E163" s="3"/>
      <c r="F163" s="3"/>
      <c r="G163" s="3"/>
      <c r="H163" s="3"/>
      <c r="I163" s="3"/>
      <c r="J163" s="3"/>
    </row>
    <row r="164" spans="1:10" x14ac:dyDescent="0.25">
      <c r="A164" s="3"/>
      <c r="B164" s="3"/>
      <c r="C164" s="3"/>
      <c r="D164" s="3"/>
      <c r="E164" s="3"/>
      <c r="F164" s="3"/>
      <c r="G164" s="3"/>
      <c r="H164" s="3"/>
      <c r="I164" s="3"/>
      <c r="J164" s="3"/>
    </row>
    <row r="165" spans="1:10" x14ac:dyDescent="0.25">
      <c r="A165" s="3"/>
      <c r="B165" s="3"/>
      <c r="C165" s="3"/>
      <c r="D165" s="3"/>
      <c r="E165" s="3"/>
      <c r="F165" s="3"/>
      <c r="G165" s="3"/>
      <c r="H165" s="3"/>
      <c r="I165" s="3"/>
      <c r="J165" s="3"/>
    </row>
    <row r="166" spans="1:10" x14ac:dyDescent="0.25">
      <c r="A166" s="3"/>
      <c r="B166" s="3"/>
      <c r="C166" s="3"/>
      <c r="D166" s="3"/>
      <c r="E166" s="3"/>
      <c r="F166" s="3"/>
      <c r="G166" s="3"/>
      <c r="H166" s="3"/>
      <c r="I166" s="3"/>
      <c r="J166" s="3"/>
    </row>
    <row r="167" spans="1:10" x14ac:dyDescent="0.25">
      <c r="A167" s="3"/>
      <c r="B167" s="3"/>
      <c r="C167" s="3"/>
      <c r="D167" s="3"/>
      <c r="E167" s="3"/>
      <c r="F167" s="3"/>
      <c r="G167" s="3"/>
      <c r="H167" s="3"/>
      <c r="I167" s="3"/>
      <c r="J167" s="3"/>
    </row>
    <row r="168" spans="1:10" x14ac:dyDescent="0.25">
      <c r="A168" s="3"/>
      <c r="B168" s="3"/>
      <c r="C168" s="3"/>
      <c r="D168" s="3"/>
      <c r="E168" s="3"/>
      <c r="F168" s="3"/>
      <c r="G168" s="3"/>
      <c r="H168" s="3"/>
      <c r="I168" s="3"/>
      <c r="J168" s="3"/>
    </row>
    <row r="169" spans="1:10" x14ac:dyDescent="0.25">
      <c r="A169" s="3"/>
      <c r="B169" s="3"/>
      <c r="C169" s="3"/>
      <c r="D169" s="3"/>
      <c r="E169" s="3"/>
      <c r="F169" s="3"/>
      <c r="G169" s="3"/>
      <c r="H169" s="3"/>
      <c r="I169" s="3"/>
      <c r="J169" s="3"/>
    </row>
    <row r="170" spans="1:10" x14ac:dyDescent="0.25">
      <c r="A170" s="3"/>
      <c r="B170" s="3"/>
      <c r="C170" s="3"/>
      <c r="D170" s="3"/>
      <c r="E170" s="3"/>
      <c r="F170" s="3"/>
      <c r="G170" s="3"/>
      <c r="H170" s="3"/>
      <c r="I170" s="3"/>
      <c r="J170" s="3"/>
    </row>
    <row r="171" spans="1:10" x14ac:dyDescent="0.25">
      <c r="A171" s="3"/>
      <c r="B171" s="3"/>
      <c r="C171" s="3"/>
      <c r="D171" s="3"/>
      <c r="E171" s="3"/>
      <c r="F171" s="3"/>
      <c r="G171" s="3"/>
      <c r="H171" s="3"/>
      <c r="I171" s="3"/>
      <c r="J171" s="3"/>
    </row>
    <row r="172" spans="1:10" x14ac:dyDescent="0.25">
      <c r="A172" s="3"/>
      <c r="B172" s="3"/>
      <c r="C172" s="3"/>
      <c r="D172" s="3"/>
      <c r="E172" s="3"/>
      <c r="F172" s="3"/>
      <c r="G172" s="3"/>
      <c r="H172" s="3"/>
      <c r="I172" s="3"/>
      <c r="J172" s="3"/>
    </row>
    <row r="173" spans="1:10" x14ac:dyDescent="0.25">
      <c r="A173" s="3"/>
      <c r="B173" s="3"/>
      <c r="C173" s="3"/>
      <c r="D173" s="3"/>
      <c r="E173" s="3"/>
      <c r="F173" s="3"/>
      <c r="G173" s="3"/>
      <c r="H173" s="3"/>
      <c r="I173" s="3"/>
      <c r="J173" s="3"/>
    </row>
    <row r="174" spans="1:10" x14ac:dyDescent="0.25">
      <c r="A174" s="3"/>
      <c r="B174" s="3"/>
      <c r="C174" s="3"/>
      <c r="D174" s="3"/>
      <c r="E174" s="3"/>
      <c r="F174" s="3"/>
      <c r="G174" s="3"/>
      <c r="H174" s="3"/>
      <c r="I174" s="3"/>
      <c r="J174" s="3"/>
    </row>
    <row r="175" spans="1:10" x14ac:dyDescent="0.25">
      <c r="A175" s="3"/>
      <c r="B175" s="3"/>
      <c r="C175" s="3"/>
      <c r="D175" s="3"/>
      <c r="E175" s="3"/>
      <c r="F175" s="3"/>
      <c r="G175" s="3"/>
      <c r="H175" s="3"/>
      <c r="I175" s="3"/>
      <c r="J175" s="3"/>
    </row>
    <row r="176" spans="1:10" x14ac:dyDescent="0.25">
      <c r="A176" s="3"/>
      <c r="B176" s="3"/>
      <c r="C176" s="3"/>
      <c r="D176" s="3"/>
      <c r="E176" s="3"/>
      <c r="F176" s="3"/>
      <c r="G176" s="3"/>
      <c r="H176" s="3"/>
      <c r="I176" s="3"/>
      <c r="J176" s="3"/>
    </row>
    <row r="177" spans="1:10" x14ac:dyDescent="0.25">
      <c r="A177" s="3"/>
      <c r="B177" s="3"/>
      <c r="C177" s="3"/>
      <c r="D177" s="3"/>
      <c r="E177" s="3"/>
      <c r="F177" s="3"/>
      <c r="G177" s="3"/>
      <c r="H177" s="3"/>
      <c r="I177" s="3"/>
      <c r="J177" s="3"/>
    </row>
    <row r="178" spans="1:10" x14ac:dyDescent="0.25">
      <c r="A178" s="3"/>
      <c r="B178" s="3"/>
      <c r="C178" s="3"/>
      <c r="D178" s="3"/>
      <c r="E178" s="3"/>
      <c r="F178" s="3"/>
      <c r="G178" s="3"/>
      <c r="H178" s="3"/>
      <c r="I178" s="3"/>
      <c r="J178" s="3"/>
    </row>
    <row r="179" spans="1:10" x14ac:dyDescent="0.25">
      <c r="A179" s="3"/>
      <c r="B179" s="3"/>
      <c r="C179" s="3"/>
      <c r="D179" s="3"/>
      <c r="E179" s="3"/>
      <c r="F179" s="3"/>
      <c r="G179" s="3"/>
      <c r="H179" s="3"/>
      <c r="I179" s="3"/>
      <c r="J179" s="3"/>
    </row>
    <row r="180" spans="1:10" x14ac:dyDescent="0.25">
      <c r="A180" s="3"/>
      <c r="B180" s="3"/>
      <c r="C180" s="3"/>
      <c r="D180" s="3"/>
      <c r="E180" s="3"/>
      <c r="F180" s="3"/>
      <c r="G180" s="3"/>
      <c r="H180" s="3"/>
      <c r="I180" s="3"/>
      <c r="J180" s="3"/>
    </row>
    <row r="181" spans="1:10" x14ac:dyDescent="0.25">
      <c r="A181" s="3"/>
      <c r="B181" s="3"/>
      <c r="C181" s="3"/>
      <c r="D181" s="3"/>
      <c r="E181" s="3"/>
      <c r="F181" s="3"/>
      <c r="G181" s="3"/>
      <c r="H181" s="3"/>
      <c r="I181" s="3"/>
      <c r="J181" s="3"/>
    </row>
    <row r="182" spans="1:10" x14ac:dyDescent="0.25">
      <c r="A182" s="3"/>
      <c r="B182" s="3"/>
      <c r="C182" s="3"/>
      <c r="D182" s="3"/>
      <c r="E182" s="3"/>
      <c r="F182" s="3"/>
      <c r="G182" s="3"/>
      <c r="H182" s="3"/>
      <c r="I182" s="3"/>
      <c r="J182" s="3"/>
    </row>
    <row r="183" spans="1:10" x14ac:dyDescent="0.25">
      <c r="A183" s="3"/>
      <c r="B183" s="3"/>
      <c r="C183" s="3"/>
      <c r="D183" s="3"/>
      <c r="E183" s="3"/>
      <c r="F183" s="3"/>
      <c r="G183" s="3"/>
      <c r="H183" s="3"/>
      <c r="I183" s="3"/>
      <c r="J183" s="3"/>
    </row>
    <row r="184" spans="1:10" x14ac:dyDescent="0.25">
      <c r="A184" s="3"/>
      <c r="B184" s="3"/>
      <c r="C184" s="3"/>
      <c r="D184" s="3"/>
      <c r="E184" s="3"/>
      <c r="F184" s="3"/>
      <c r="G184" s="3"/>
      <c r="H184" s="3"/>
      <c r="I184" s="3"/>
      <c r="J184" s="3"/>
    </row>
    <row r="185" spans="1:10" x14ac:dyDescent="0.25">
      <c r="A185" s="3"/>
      <c r="B185" s="3"/>
      <c r="C185" s="3"/>
      <c r="D185" s="3"/>
      <c r="E185" s="3"/>
      <c r="F185" s="3"/>
      <c r="G185" s="3"/>
      <c r="H185" s="3"/>
      <c r="I185" s="3"/>
      <c r="J185" s="3"/>
    </row>
    <row r="186" spans="1:10" x14ac:dyDescent="0.25">
      <c r="A186" s="3"/>
      <c r="B186" s="3"/>
      <c r="C186" s="3"/>
      <c r="D186" s="3"/>
      <c r="E186" s="3"/>
      <c r="F186" s="3"/>
      <c r="G186" s="3"/>
      <c r="H186" s="3"/>
      <c r="I186" s="3"/>
      <c r="J186" s="3"/>
    </row>
    <row r="187" spans="1:10" x14ac:dyDescent="0.25">
      <c r="A187" s="3"/>
      <c r="B187" s="3"/>
      <c r="C187" s="3"/>
      <c r="D187" s="3"/>
      <c r="E187" s="3"/>
      <c r="F187" s="3"/>
      <c r="G187" s="3"/>
      <c r="H187" s="3"/>
      <c r="I187" s="3"/>
      <c r="J187" s="3"/>
    </row>
    <row r="188" spans="1:10" x14ac:dyDescent="0.25">
      <c r="A188" s="3"/>
      <c r="B188" s="3"/>
      <c r="C188" s="3"/>
      <c r="D188" s="3"/>
      <c r="E188" s="3"/>
      <c r="F188" s="3"/>
      <c r="G188" s="3"/>
      <c r="H188" s="3"/>
      <c r="I188" s="3"/>
      <c r="J188" s="3"/>
    </row>
    <row r="189" spans="1:10" x14ac:dyDescent="0.25">
      <c r="A189" s="3"/>
      <c r="B189" s="3"/>
      <c r="C189" s="3"/>
      <c r="D189" s="3"/>
      <c r="E189" s="3"/>
      <c r="F189" s="3"/>
      <c r="G189" s="3"/>
      <c r="H189" s="3"/>
      <c r="I189" s="3"/>
      <c r="J189" s="3"/>
    </row>
    <row r="190" spans="1:10" x14ac:dyDescent="0.25">
      <c r="A190" s="3"/>
      <c r="B190" s="3"/>
      <c r="C190" s="3"/>
      <c r="D190" s="3"/>
      <c r="E190" s="3"/>
      <c r="F190" s="3"/>
      <c r="G190" s="3"/>
      <c r="H190" s="3"/>
      <c r="I190" s="3"/>
      <c r="J190" s="3"/>
    </row>
    <row r="191" spans="1:10" x14ac:dyDescent="0.25">
      <c r="A191" s="3"/>
      <c r="B191" s="3"/>
      <c r="C191" s="3"/>
      <c r="D191" s="3"/>
      <c r="E191" s="3"/>
      <c r="F191" s="3"/>
      <c r="G191" s="3"/>
      <c r="H191" s="3"/>
      <c r="I191" s="3"/>
      <c r="J191" s="3"/>
    </row>
    <row r="192" spans="1:10" x14ac:dyDescent="0.25">
      <c r="A192" s="3"/>
      <c r="B192" s="3"/>
      <c r="C192" s="3"/>
      <c r="D192" s="3"/>
      <c r="E192" s="3"/>
      <c r="F192" s="3"/>
      <c r="G192" s="3"/>
      <c r="H192" s="3"/>
      <c r="I192" s="3"/>
      <c r="J192" s="3"/>
    </row>
    <row r="193" spans="1:10" x14ac:dyDescent="0.25">
      <c r="A193" s="3"/>
      <c r="B193" s="3"/>
      <c r="C193" s="3"/>
      <c r="D193" s="3"/>
      <c r="E193" s="3"/>
      <c r="F193" s="3"/>
      <c r="G193" s="3"/>
      <c r="H193" s="3"/>
      <c r="I193" s="3"/>
      <c r="J193" s="3"/>
    </row>
    <row r="194" spans="1:10" x14ac:dyDescent="0.25">
      <c r="A194" s="3"/>
      <c r="B194" s="3"/>
      <c r="C194" s="3"/>
      <c r="D194" s="3"/>
      <c r="E194" s="3"/>
      <c r="F194" s="3"/>
      <c r="G194" s="3"/>
      <c r="H194" s="3"/>
      <c r="I194" s="3"/>
      <c r="J194" s="3"/>
    </row>
    <row r="195" spans="1:10" x14ac:dyDescent="0.25">
      <c r="A195" s="3"/>
      <c r="B195" s="3"/>
      <c r="C195" s="3"/>
      <c r="D195" s="3"/>
      <c r="E195" s="3"/>
      <c r="F195" s="3"/>
      <c r="G195" s="3"/>
      <c r="H195" s="3"/>
      <c r="I195" s="3"/>
      <c r="J195" s="3"/>
    </row>
    <row r="196" spans="1:10" x14ac:dyDescent="0.25">
      <c r="A196" s="3"/>
      <c r="B196" s="3"/>
      <c r="C196" s="3"/>
      <c r="D196" s="3"/>
      <c r="E196" s="3"/>
      <c r="F196" s="3"/>
      <c r="G196" s="3"/>
      <c r="H196" s="3"/>
      <c r="I196" s="3"/>
      <c r="J196" s="3"/>
    </row>
    <row r="197" spans="1:10" x14ac:dyDescent="0.25">
      <c r="A197" s="3"/>
      <c r="B197" s="3"/>
      <c r="C197" s="3"/>
      <c r="D197" s="3"/>
      <c r="E197" s="3"/>
      <c r="F197" s="3"/>
      <c r="G197" s="3"/>
      <c r="H197" s="3"/>
      <c r="I197" s="3"/>
      <c r="J197" s="3"/>
    </row>
    <row r="198" spans="1:10" x14ac:dyDescent="0.25">
      <c r="A198" s="3"/>
      <c r="B198" s="3"/>
      <c r="C198" s="3"/>
      <c r="D198" s="3"/>
      <c r="E198" s="3"/>
      <c r="F198" s="3"/>
      <c r="G198" s="3"/>
      <c r="H198" s="3"/>
      <c r="I198" s="3"/>
      <c r="J198" s="3"/>
    </row>
    <row r="199" spans="1:10" x14ac:dyDescent="0.25">
      <c r="A199" s="3"/>
      <c r="B199" s="3"/>
      <c r="C199" s="3"/>
      <c r="D199" s="3"/>
      <c r="E199" s="3"/>
      <c r="F199" s="3"/>
      <c r="G199" s="3"/>
      <c r="H199" s="3"/>
      <c r="I199" s="3"/>
      <c r="J199" s="3"/>
    </row>
    <row r="200" spans="1:10" x14ac:dyDescent="0.25">
      <c r="A200" s="3"/>
      <c r="B200" s="3"/>
      <c r="C200" s="3"/>
      <c r="D200" s="3"/>
      <c r="E200" s="3"/>
      <c r="F200" s="3"/>
      <c r="G200" s="3"/>
      <c r="H200" s="3"/>
      <c r="I200" s="3"/>
      <c r="J200" s="3"/>
    </row>
    <row r="201" spans="1:10" x14ac:dyDescent="0.25">
      <c r="A201" s="3"/>
      <c r="B201" s="3"/>
      <c r="C201" s="3"/>
      <c r="D201" s="3"/>
      <c r="E201" s="3"/>
      <c r="F201" s="3"/>
      <c r="G201" s="3"/>
      <c r="H201" s="3"/>
      <c r="I201" s="3"/>
      <c r="J201" s="3"/>
    </row>
    <row r="202" spans="1:10" x14ac:dyDescent="0.25">
      <c r="A202" s="3"/>
      <c r="B202" s="3"/>
      <c r="C202" s="3"/>
      <c r="D202" s="3"/>
      <c r="E202" s="3"/>
      <c r="F202" s="3"/>
      <c r="G202" s="3"/>
      <c r="H202" s="3"/>
      <c r="I202" s="3"/>
      <c r="J202" s="3"/>
    </row>
    <row r="203" spans="1:10" x14ac:dyDescent="0.25">
      <c r="A203" s="3"/>
      <c r="B203" s="3"/>
      <c r="C203" s="3"/>
      <c r="D203" s="3"/>
      <c r="E203" s="3"/>
      <c r="F203" s="3"/>
      <c r="G203" s="3"/>
      <c r="H203" s="3"/>
      <c r="I203" s="3"/>
      <c r="J203" s="3"/>
    </row>
    <row r="204" spans="1:10" x14ac:dyDescent="0.25">
      <c r="A204" s="3"/>
      <c r="B204" s="3"/>
      <c r="C204" s="3"/>
      <c r="D204" s="3"/>
      <c r="E204" s="3"/>
      <c r="F204" s="3"/>
      <c r="G204" s="3"/>
      <c r="H204" s="3"/>
      <c r="I204" s="3"/>
      <c r="J204" s="3"/>
    </row>
    <row r="205" spans="1:10" x14ac:dyDescent="0.25">
      <c r="A205" s="3"/>
      <c r="B205" s="3"/>
      <c r="C205" s="3"/>
      <c r="D205" s="3"/>
      <c r="E205" s="3"/>
      <c r="F205" s="3"/>
      <c r="G205" s="3"/>
      <c r="H205" s="3"/>
      <c r="I205" s="3"/>
      <c r="J205" s="3"/>
    </row>
    <row r="206" spans="1:10" x14ac:dyDescent="0.25">
      <c r="A206" s="3"/>
      <c r="B206" s="3"/>
      <c r="C206" s="3"/>
      <c r="D206" s="3"/>
      <c r="E206" s="3"/>
      <c r="F206" s="3"/>
      <c r="G206" s="3"/>
      <c r="H206" s="3"/>
      <c r="I206" s="3"/>
      <c r="J206" s="3"/>
    </row>
    <row r="207" spans="1:10" x14ac:dyDescent="0.25">
      <c r="A207" s="3"/>
      <c r="B207" s="3"/>
      <c r="C207" s="3"/>
      <c r="D207" s="3"/>
      <c r="E207" s="3"/>
      <c r="F207" s="3"/>
      <c r="G207" s="3"/>
      <c r="H207" s="3"/>
      <c r="I207" s="3"/>
      <c r="J207" s="3"/>
    </row>
    <row r="208" spans="1:10" x14ac:dyDescent="0.25">
      <c r="A208" s="3"/>
      <c r="B208" s="3"/>
      <c r="C208" s="3"/>
      <c r="D208" s="3"/>
      <c r="E208" s="3"/>
      <c r="F208" s="3"/>
      <c r="G208" s="3"/>
      <c r="H208" s="3"/>
      <c r="I208" s="3"/>
      <c r="J208" s="3"/>
    </row>
    <row r="209" spans="1:10" x14ac:dyDescent="0.25">
      <c r="A209" s="3"/>
      <c r="B209" s="3"/>
      <c r="C209" s="3"/>
      <c r="D209" s="3"/>
      <c r="E209" s="3"/>
      <c r="F209" s="3"/>
      <c r="G209" s="3"/>
      <c r="H209" s="3"/>
      <c r="I209" s="3"/>
      <c r="J209" s="3"/>
    </row>
    <row r="210" spans="1:10" x14ac:dyDescent="0.25">
      <c r="A210" s="3"/>
      <c r="B210" s="3"/>
      <c r="C210" s="3"/>
      <c r="D210" s="3"/>
      <c r="E210" s="3"/>
      <c r="F210" s="3"/>
      <c r="G210" s="3"/>
      <c r="H210" s="3"/>
      <c r="I210" s="3"/>
      <c r="J210" s="3"/>
    </row>
    <row r="211" spans="1:10" x14ac:dyDescent="0.25">
      <c r="A211" s="3"/>
      <c r="B211" s="3"/>
      <c r="C211" s="3"/>
      <c r="D211" s="3"/>
      <c r="E211" s="3"/>
      <c r="F211" s="3"/>
      <c r="G211" s="3"/>
      <c r="H211" s="3"/>
      <c r="I211" s="3"/>
      <c r="J211" s="3"/>
    </row>
    <row r="212" spans="1:10" x14ac:dyDescent="0.25">
      <c r="A212" s="3"/>
      <c r="B212" s="3"/>
      <c r="C212" s="3"/>
      <c r="D212" s="3"/>
      <c r="E212" s="3"/>
      <c r="F212" s="3"/>
      <c r="G212" s="3"/>
      <c r="H212" s="3"/>
      <c r="I212" s="3"/>
      <c r="J212" s="3"/>
    </row>
    <row r="213" spans="1:10" x14ac:dyDescent="0.25">
      <c r="A213" s="3"/>
      <c r="B213" s="3"/>
      <c r="C213" s="3"/>
      <c r="D213" s="3"/>
      <c r="E213" s="3"/>
      <c r="F213" s="3"/>
      <c r="G213" s="3"/>
      <c r="H213" s="3"/>
      <c r="I213" s="3"/>
      <c r="J213" s="3"/>
    </row>
    <row r="214" spans="1:10" x14ac:dyDescent="0.25">
      <c r="A214" s="3"/>
      <c r="B214" s="3"/>
      <c r="C214" s="3"/>
      <c r="D214" s="3"/>
      <c r="E214" s="3"/>
      <c r="F214" s="3"/>
      <c r="G214" s="3"/>
      <c r="H214" s="3"/>
      <c r="I214" s="3"/>
      <c r="J214" s="3"/>
    </row>
    <row r="215" spans="1:10" x14ac:dyDescent="0.25">
      <c r="A215" s="3"/>
      <c r="B215" s="3"/>
      <c r="C215" s="3"/>
      <c r="D215" s="3"/>
      <c r="E215" s="3"/>
      <c r="F215" s="3"/>
      <c r="G215" s="3"/>
      <c r="H215" s="3"/>
      <c r="I215" s="3"/>
      <c r="J215" s="3"/>
    </row>
    <row r="216" spans="1:10" x14ac:dyDescent="0.25">
      <c r="A216" s="3"/>
      <c r="B216" s="3"/>
      <c r="C216" s="3"/>
      <c r="D216" s="3"/>
      <c r="E216" s="3"/>
      <c r="F216" s="3"/>
      <c r="G216" s="3"/>
      <c r="H216" s="3"/>
      <c r="I216" s="3"/>
      <c r="J216" s="3"/>
    </row>
    <row r="217" spans="1:10" x14ac:dyDescent="0.25">
      <c r="A217" s="3"/>
      <c r="B217" s="3"/>
      <c r="C217" s="3"/>
      <c r="D217" s="3"/>
      <c r="E217" s="3"/>
      <c r="F217" s="3"/>
      <c r="G217" s="3"/>
      <c r="H217" s="3"/>
      <c r="I217" s="3"/>
      <c r="J217" s="3"/>
    </row>
    <row r="218" spans="1:10" x14ac:dyDescent="0.25">
      <c r="A218" s="3"/>
      <c r="B218" s="3"/>
      <c r="C218" s="3"/>
      <c r="D218" s="3"/>
      <c r="E218" s="3"/>
      <c r="F218" s="3"/>
      <c r="G218" s="3"/>
      <c r="H218" s="3"/>
      <c r="I218" s="3"/>
      <c r="J218" s="3"/>
    </row>
    <row r="219" spans="1:10" x14ac:dyDescent="0.25">
      <c r="A219" s="3"/>
      <c r="B219" s="3"/>
      <c r="C219" s="3"/>
      <c r="D219" s="3"/>
      <c r="E219" s="3"/>
      <c r="F219" s="3"/>
      <c r="G219" s="3"/>
      <c r="H219" s="3"/>
      <c r="I219" s="3"/>
      <c r="J219" s="3"/>
    </row>
    <row r="220" spans="1:10" x14ac:dyDescent="0.25">
      <c r="A220" s="3"/>
      <c r="B220" s="3"/>
      <c r="C220" s="3"/>
      <c r="D220" s="3"/>
      <c r="E220" s="3"/>
      <c r="F220" s="3"/>
      <c r="G220" s="3"/>
      <c r="H220" s="3"/>
      <c r="I220" s="3"/>
      <c r="J220" s="3"/>
    </row>
    <row r="221" spans="1:10" x14ac:dyDescent="0.25">
      <c r="A221" s="3"/>
      <c r="B221" s="3"/>
      <c r="C221" s="3"/>
      <c r="D221" s="3"/>
      <c r="E221" s="3"/>
      <c r="F221" s="3"/>
      <c r="G221" s="3"/>
      <c r="H221" s="3"/>
      <c r="I221" s="3"/>
      <c r="J221" s="3"/>
    </row>
    <row r="222" spans="1:10" x14ac:dyDescent="0.25">
      <c r="A222" s="3"/>
      <c r="B222" s="3"/>
      <c r="C222" s="3"/>
      <c r="D222" s="3"/>
      <c r="E222" s="3"/>
      <c r="F222" s="3"/>
      <c r="G222" s="3"/>
      <c r="H222" s="3"/>
      <c r="I222" s="3"/>
      <c r="J222" s="3"/>
    </row>
    <row r="223" spans="1:10" x14ac:dyDescent="0.25">
      <c r="A223" s="3"/>
      <c r="B223" s="3"/>
      <c r="C223" s="3"/>
      <c r="D223" s="3"/>
      <c r="E223" s="3"/>
      <c r="F223" s="3"/>
      <c r="G223" s="3"/>
      <c r="H223" s="3"/>
      <c r="I223" s="3"/>
      <c r="J223" s="3"/>
    </row>
    <row r="224" spans="1:10" x14ac:dyDescent="0.25">
      <c r="A224" s="3"/>
      <c r="B224" s="3"/>
      <c r="C224" s="3"/>
      <c r="D224" s="3"/>
      <c r="E224" s="3"/>
      <c r="F224" s="3"/>
      <c r="G224" s="3"/>
      <c r="H224" s="3"/>
      <c r="I224" s="3"/>
      <c r="J224" s="3"/>
    </row>
    <row r="225" spans="1:10" x14ac:dyDescent="0.25">
      <c r="A225" s="3"/>
      <c r="B225" s="3"/>
      <c r="C225" s="3"/>
      <c r="D225" s="3"/>
      <c r="E225" s="3"/>
      <c r="F225" s="3"/>
      <c r="G225" s="3"/>
      <c r="H225" s="3"/>
      <c r="I225" s="3"/>
      <c r="J225" s="3"/>
    </row>
    <row r="226" spans="1:10" x14ac:dyDescent="0.25">
      <c r="A226" s="3"/>
      <c r="B226" s="3"/>
      <c r="C226" s="3"/>
      <c r="D226" s="3"/>
      <c r="E226" s="3"/>
      <c r="F226" s="3"/>
      <c r="G226" s="3"/>
      <c r="H226" s="3"/>
      <c r="I226" s="3"/>
      <c r="J226" s="3"/>
    </row>
    <row r="227" spans="1:10" x14ac:dyDescent="0.25">
      <c r="A227" s="3"/>
      <c r="B227" s="3"/>
      <c r="C227" s="3"/>
      <c r="D227" s="3"/>
      <c r="E227" s="3"/>
      <c r="F227" s="3"/>
      <c r="G227" s="3"/>
      <c r="H227" s="3"/>
      <c r="I227" s="3"/>
      <c r="J227" s="3"/>
    </row>
    <row r="228" spans="1:10" x14ac:dyDescent="0.25">
      <c r="A228" s="3"/>
      <c r="B228" s="3"/>
      <c r="C228" s="3"/>
      <c r="D228" s="3"/>
      <c r="E228" s="3"/>
      <c r="F228" s="3"/>
      <c r="G228" s="3"/>
      <c r="H228" s="3"/>
      <c r="I228" s="3"/>
      <c r="J228" s="3"/>
    </row>
    <row r="229" spans="1:10" x14ac:dyDescent="0.25">
      <c r="A229" s="3"/>
      <c r="B229" s="3"/>
      <c r="C229" s="3"/>
      <c r="D229" s="3"/>
      <c r="E229" s="3"/>
      <c r="F229" s="3"/>
      <c r="G229" s="3"/>
      <c r="H229" s="3"/>
      <c r="I229" s="3"/>
      <c r="J229" s="3"/>
    </row>
    <row r="230" spans="1:10" x14ac:dyDescent="0.25">
      <c r="A230" s="3"/>
      <c r="B230" s="3"/>
      <c r="C230" s="3"/>
      <c r="D230" s="3"/>
      <c r="E230" s="3"/>
      <c r="F230" s="3"/>
      <c r="G230" s="3"/>
      <c r="H230" s="3"/>
      <c r="I230" s="3"/>
      <c r="J230" s="3"/>
    </row>
    <row r="231" spans="1:10" x14ac:dyDescent="0.25">
      <c r="A231" s="3"/>
      <c r="B231" s="3"/>
      <c r="C231" s="3"/>
      <c r="D231" s="3"/>
      <c r="E231" s="3"/>
      <c r="F231" s="3"/>
      <c r="G231" s="3"/>
      <c r="H231" s="3"/>
      <c r="I231" s="3"/>
      <c r="J231" s="3"/>
    </row>
    <row r="232" spans="1:10" x14ac:dyDescent="0.25">
      <c r="A232" s="3"/>
      <c r="B232" s="3"/>
      <c r="C232" s="3"/>
      <c r="D232" s="3"/>
      <c r="E232" s="3"/>
      <c r="F232" s="3"/>
      <c r="G232" s="3"/>
      <c r="H232" s="3"/>
      <c r="I232" s="3"/>
      <c r="J232" s="3"/>
    </row>
    <row r="233" spans="1:10" x14ac:dyDescent="0.25">
      <c r="A233" s="3"/>
      <c r="B233" s="3"/>
      <c r="C233" s="3"/>
      <c r="D233" s="3"/>
      <c r="E233" s="3"/>
      <c r="F233" s="3"/>
      <c r="G233" s="3"/>
      <c r="H233" s="3"/>
      <c r="I233" s="3"/>
      <c r="J233" s="3"/>
    </row>
    <row r="234" spans="1:10" x14ac:dyDescent="0.25">
      <c r="A234" s="3"/>
      <c r="B234" s="3"/>
      <c r="C234" s="3"/>
      <c r="D234" s="3"/>
      <c r="E234" s="3"/>
      <c r="F234" s="3"/>
      <c r="G234" s="3"/>
      <c r="H234" s="3"/>
      <c r="I234" s="3"/>
      <c r="J234" s="3"/>
    </row>
    <row r="235" spans="1:10" x14ac:dyDescent="0.25">
      <c r="A235" s="3"/>
      <c r="B235" s="3"/>
      <c r="C235" s="3"/>
      <c r="D235" s="3"/>
      <c r="E235" s="3"/>
      <c r="F235" s="3"/>
      <c r="G235" s="3"/>
      <c r="H235" s="3"/>
      <c r="I235" s="3"/>
      <c r="J235" s="3"/>
    </row>
    <row r="236" spans="1:10" x14ac:dyDescent="0.25">
      <c r="A236" s="3"/>
      <c r="B236" s="3"/>
      <c r="C236" s="3"/>
      <c r="D236" s="3"/>
      <c r="E236" s="3"/>
      <c r="F236" s="3"/>
      <c r="G236" s="3"/>
      <c r="H236" s="3"/>
      <c r="I236" s="3"/>
      <c r="J236" s="3"/>
    </row>
    <row r="237" spans="1:10" x14ac:dyDescent="0.25">
      <c r="A237" s="3"/>
      <c r="B237" s="3"/>
      <c r="C237" s="3"/>
      <c r="D237" s="3"/>
      <c r="E237" s="3"/>
      <c r="F237" s="3"/>
      <c r="G237" s="3"/>
      <c r="H237" s="3"/>
      <c r="I237" s="3"/>
      <c r="J237" s="3"/>
    </row>
    <row r="238" spans="1:10" x14ac:dyDescent="0.25">
      <c r="A238" s="3"/>
      <c r="B238" s="3"/>
      <c r="C238" s="3"/>
      <c r="D238" s="3"/>
      <c r="E238" s="3"/>
      <c r="F238" s="3"/>
      <c r="G238" s="3"/>
      <c r="H238" s="3"/>
      <c r="I238" s="3"/>
      <c r="J238" s="3"/>
    </row>
    <row r="239" spans="1:10" x14ac:dyDescent="0.25">
      <c r="A239" s="3"/>
      <c r="B239" s="3"/>
      <c r="C239" s="3"/>
      <c r="D239" s="3"/>
      <c r="E239" s="3"/>
      <c r="F239" s="3"/>
      <c r="G239" s="3"/>
      <c r="H239" s="3"/>
      <c r="I239" s="3"/>
      <c r="J239" s="3"/>
    </row>
    <row r="240" spans="1:10" x14ac:dyDescent="0.25">
      <c r="A240" s="3"/>
      <c r="B240" s="3"/>
      <c r="C240" s="3"/>
      <c r="D240" s="3"/>
      <c r="E240" s="3"/>
      <c r="F240" s="3"/>
      <c r="G240" s="3"/>
      <c r="H240" s="3"/>
      <c r="I240" s="3"/>
      <c r="J240" s="3"/>
    </row>
    <row r="241" spans="1:10" x14ac:dyDescent="0.25">
      <c r="A241" s="3"/>
      <c r="B241" s="3"/>
      <c r="C241" s="3"/>
      <c r="D241" s="3"/>
      <c r="E241" s="3"/>
      <c r="F241" s="3"/>
      <c r="G241" s="3"/>
      <c r="H241" s="3"/>
      <c r="I241" s="3"/>
      <c r="J241" s="3"/>
    </row>
    <row r="242" spans="1:10" x14ac:dyDescent="0.25">
      <c r="A242" s="3"/>
      <c r="B242" s="3"/>
      <c r="C242" s="3"/>
      <c r="D242" s="3"/>
      <c r="E242" s="3"/>
      <c r="F242" s="3"/>
      <c r="G242" s="3"/>
      <c r="H242" s="3"/>
      <c r="I242" s="3"/>
      <c r="J242" s="3"/>
    </row>
    <row r="243" spans="1:10" x14ac:dyDescent="0.25">
      <c r="A243" s="3"/>
      <c r="B243" s="3"/>
      <c r="C243" s="3"/>
      <c r="D243" s="3"/>
      <c r="E243" s="3"/>
      <c r="F243" s="3"/>
      <c r="G243" s="3"/>
      <c r="H243" s="3"/>
      <c r="I243" s="3"/>
      <c r="J243" s="3"/>
    </row>
    <row r="244" spans="1:10" x14ac:dyDescent="0.25">
      <c r="A244" s="3"/>
      <c r="B244" s="3"/>
      <c r="C244" s="3"/>
      <c r="D244" s="3"/>
      <c r="E244" s="3"/>
      <c r="F244" s="3"/>
      <c r="G244" s="3"/>
      <c r="H244" s="3"/>
      <c r="I244" s="3"/>
      <c r="J244" s="3"/>
    </row>
    <row r="245" spans="1:10" x14ac:dyDescent="0.25">
      <c r="A245" s="3"/>
      <c r="B245" s="3"/>
      <c r="C245" s="3"/>
      <c r="D245" s="3"/>
      <c r="E245" s="3"/>
      <c r="F245" s="3"/>
      <c r="G245" s="3"/>
      <c r="H245" s="3"/>
      <c r="I245" s="3"/>
      <c r="J245" s="3"/>
    </row>
    <row r="246" spans="1:10" x14ac:dyDescent="0.25">
      <c r="A246" s="3"/>
      <c r="B246" s="3"/>
      <c r="C246" s="3"/>
      <c r="D246" s="3"/>
      <c r="E246" s="3"/>
      <c r="F246" s="3"/>
      <c r="G246" s="3"/>
      <c r="H246" s="3"/>
      <c r="I246" s="3"/>
      <c r="J246" s="3"/>
    </row>
    <row r="247" spans="1:10" x14ac:dyDescent="0.25">
      <c r="A247" s="3"/>
      <c r="B247" s="3"/>
      <c r="C247" s="3"/>
      <c r="D247" s="3"/>
      <c r="E247" s="3"/>
      <c r="F247" s="3"/>
      <c r="G247" s="3"/>
      <c r="H247" s="3"/>
      <c r="I247" s="3"/>
      <c r="J247" s="3"/>
    </row>
    <row r="248" spans="1:10" x14ac:dyDescent="0.25">
      <c r="A248" s="3"/>
      <c r="B248" s="3"/>
      <c r="C248" s="3"/>
      <c r="D248" s="3"/>
      <c r="E248" s="3"/>
      <c r="F248" s="3"/>
      <c r="G248" s="3"/>
      <c r="H248" s="3"/>
      <c r="I248" s="3"/>
      <c r="J248" s="3"/>
    </row>
    <row r="249" spans="1:10" x14ac:dyDescent="0.25">
      <c r="A249" s="3"/>
      <c r="B249" s="3"/>
      <c r="C249" s="3"/>
      <c r="D249" s="3"/>
      <c r="E249" s="3"/>
      <c r="F249" s="3"/>
      <c r="G249" s="3"/>
      <c r="H249" s="3"/>
      <c r="I249" s="3"/>
      <c r="J249" s="3"/>
    </row>
    <row r="250" spans="1:10" x14ac:dyDescent="0.25">
      <c r="A250" s="3"/>
      <c r="B250" s="3"/>
      <c r="C250" s="3"/>
      <c r="D250" s="3"/>
      <c r="E250" s="3"/>
      <c r="F250" s="3"/>
      <c r="G250" s="3"/>
      <c r="H250" s="3"/>
      <c r="I250" s="3"/>
      <c r="J250" s="3"/>
    </row>
    <row r="251" spans="1:10" x14ac:dyDescent="0.25">
      <c r="A251" s="3"/>
      <c r="B251" s="3"/>
      <c r="C251" s="3"/>
      <c r="D251" s="3"/>
      <c r="E251" s="3"/>
      <c r="F251" s="3"/>
      <c r="G251" s="3"/>
      <c r="H251" s="3"/>
      <c r="I251" s="3"/>
      <c r="J251" s="3"/>
    </row>
    <row r="252" spans="1:10" x14ac:dyDescent="0.25">
      <c r="A252" s="3"/>
      <c r="B252" s="3"/>
      <c r="C252" s="3"/>
      <c r="D252" s="3"/>
      <c r="E252" s="3"/>
      <c r="F252" s="3"/>
      <c r="G252" s="3"/>
      <c r="H252" s="3"/>
      <c r="I252" s="3"/>
      <c r="J252" s="3"/>
    </row>
    <row r="253" spans="1:10" x14ac:dyDescent="0.25">
      <c r="A253" s="3"/>
      <c r="B253" s="3"/>
      <c r="C253" s="3"/>
      <c r="D253" s="3"/>
      <c r="E253" s="3"/>
      <c r="F253" s="3"/>
      <c r="G253" s="3"/>
      <c r="H253" s="3"/>
      <c r="I253" s="3"/>
      <c r="J253" s="3"/>
    </row>
    <row r="254" spans="1:10" x14ac:dyDescent="0.25">
      <c r="A254" s="3"/>
      <c r="B254" s="3"/>
      <c r="C254" s="3"/>
      <c r="D254" s="3"/>
      <c r="E254" s="3"/>
      <c r="F254" s="3"/>
      <c r="G254" s="3"/>
      <c r="H254" s="3"/>
      <c r="I254" s="3"/>
      <c r="J254" s="3"/>
    </row>
    <row r="255" spans="1:10" x14ac:dyDescent="0.25">
      <c r="A255" s="3"/>
      <c r="B255" s="3"/>
      <c r="C255" s="3"/>
      <c r="D255" s="3"/>
      <c r="E255" s="3"/>
      <c r="F255" s="3"/>
      <c r="G255" s="3"/>
      <c r="H255" s="3"/>
      <c r="I255" s="3"/>
      <c r="J255" s="3"/>
    </row>
    <row r="256" spans="1:10" x14ac:dyDescent="0.25">
      <c r="A256" s="3"/>
      <c r="B256" s="3"/>
      <c r="C256" s="3"/>
      <c r="D256" s="3"/>
      <c r="E256" s="3"/>
      <c r="F256" s="3"/>
      <c r="G256" s="3"/>
      <c r="H256" s="3"/>
      <c r="I256" s="3"/>
      <c r="J256" s="3"/>
    </row>
    <row r="257" spans="1:10" x14ac:dyDescent="0.25">
      <c r="A257" s="3"/>
      <c r="B257" s="3"/>
      <c r="C257" s="3"/>
      <c r="D257" s="3"/>
      <c r="E257" s="3"/>
      <c r="F257" s="3"/>
      <c r="G257" s="3"/>
      <c r="H257" s="3"/>
      <c r="I257" s="3"/>
      <c r="J257" s="3"/>
    </row>
    <row r="258" spans="1:10" x14ac:dyDescent="0.25">
      <c r="A258" s="3"/>
      <c r="B258" s="3"/>
      <c r="C258" s="3"/>
      <c r="D258" s="3"/>
      <c r="E258" s="3"/>
      <c r="F258" s="3"/>
      <c r="G258" s="3"/>
      <c r="H258" s="3"/>
      <c r="I258" s="3"/>
      <c r="J258" s="3"/>
    </row>
    <row r="259" spans="1:10" x14ac:dyDescent="0.25">
      <c r="A259" s="3"/>
      <c r="B259" s="3"/>
      <c r="C259" s="3"/>
      <c r="D259" s="3"/>
      <c r="E259" s="3"/>
      <c r="F259" s="3"/>
      <c r="G259" s="3"/>
      <c r="H259" s="3"/>
      <c r="I259" s="3"/>
      <c r="J259" s="3"/>
    </row>
    <row r="260" spans="1:10" x14ac:dyDescent="0.25">
      <c r="A260" s="3"/>
      <c r="B260" s="3"/>
      <c r="C260" s="3"/>
      <c r="D260" s="3"/>
      <c r="E260" s="3"/>
      <c r="F260" s="3"/>
      <c r="G260" s="3"/>
      <c r="H260" s="3"/>
      <c r="I260" s="3"/>
      <c r="J260" s="3"/>
    </row>
    <row r="261" spans="1:10" x14ac:dyDescent="0.25">
      <c r="A261" s="3"/>
      <c r="B261" s="3"/>
      <c r="C261" s="3"/>
      <c r="D261" s="3"/>
      <c r="E261" s="3"/>
      <c r="F261" s="3"/>
      <c r="G261" s="3"/>
      <c r="H261" s="3"/>
      <c r="I261" s="3"/>
      <c r="J261" s="3"/>
    </row>
    <row r="262" spans="1:10" x14ac:dyDescent="0.25">
      <c r="A262" s="3"/>
      <c r="B262" s="3"/>
      <c r="C262" s="3"/>
      <c r="D262" s="3"/>
      <c r="E262" s="3"/>
      <c r="F262" s="3"/>
      <c r="G262" s="3"/>
      <c r="H262" s="3"/>
      <c r="I262" s="3"/>
      <c r="J262" s="3"/>
    </row>
    <row r="263" spans="1:10" x14ac:dyDescent="0.25">
      <c r="A263" s="3"/>
      <c r="B263" s="3"/>
      <c r="C263" s="3"/>
      <c r="D263" s="3"/>
      <c r="E263" s="3"/>
      <c r="F263" s="3"/>
      <c r="G263" s="3"/>
      <c r="H263" s="3"/>
      <c r="I263" s="3"/>
      <c r="J263" s="3"/>
    </row>
    <row r="264" spans="1:10" x14ac:dyDescent="0.25">
      <c r="A264" s="3"/>
      <c r="B264" s="3"/>
      <c r="C264" s="3"/>
      <c r="D264" s="3"/>
      <c r="E264" s="3"/>
      <c r="F264" s="3"/>
      <c r="G264" s="3"/>
      <c r="H264" s="3"/>
      <c r="I264" s="3"/>
      <c r="J264" s="3"/>
    </row>
    <row r="265" spans="1:10" x14ac:dyDescent="0.25">
      <c r="A265" s="3"/>
      <c r="B265" s="3"/>
      <c r="C265" s="3"/>
      <c r="D265" s="3"/>
      <c r="E265" s="3"/>
      <c r="F265" s="3"/>
      <c r="G265" s="3"/>
      <c r="H265" s="3"/>
      <c r="I265" s="3"/>
      <c r="J265" s="3"/>
    </row>
    <row r="266" spans="1:10" x14ac:dyDescent="0.25">
      <c r="A266" s="3"/>
      <c r="B266" s="3"/>
      <c r="C266" s="3"/>
      <c r="D266" s="3"/>
      <c r="E266" s="3"/>
      <c r="F266" s="3"/>
      <c r="G266" s="3"/>
      <c r="H266" s="3"/>
      <c r="I266" s="3"/>
      <c r="J266" s="3"/>
    </row>
    <row r="267" spans="1:10" x14ac:dyDescent="0.25">
      <c r="A267" s="3"/>
      <c r="B267" s="3"/>
      <c r="C267" s="3"/>
      <c r="D267" s="3"/>
      <c r="E267" s="3"/>
      <c r="F267" s="3"/>
      <c r="G267" s="3"/>
      <c r="H267" s="3"/>
      <c r="I267" s="3"/>
      <c r="J267" s="3"/>
    </row>
    <row r="268" spans="1:10" x14ac:dyDescent="0.25">
      <c r="A268" s="3"/>
      <c r="B268" s="3"/>
      <c r="C268" s="3"/>
      <c r="D268" s="3"/>
      <c r="E268" s="3"/>
      <c r="F268" s="3"/>
      <c r="G268" s="3"/>
      <c r="H268" s="3"/>
      <c r="I268" s="3"/>
      <c r="J268" s="3"/>
    </row>
    <row r="269" spans="1:10" x14ac:dyDescent="0.25">
      <c r="A269" s="3"/>
      <c r="B269" s="3"/>
      <c r="C269" s="3"/>
      <c r="D269" s="3"/>
      <c r="E269" s="3"/>
      <c r="F269" s="3"/>
      <c r="G269" s="3"/>
      <c r="H269" s="3"/>
      <c r="I269" s="3"/>
      <c r="J269" s="3"/>
    </row>
    <row r="270" spans="1:10" x14ac:dyDescent="0.25">
      <c r="A270" s="3"/>
      <c r="B270" s="3"/>
      <c r="C270" s="3"/>
      <c r="D270" s="3"/>
      <c r="E270" s="3"/>
      <c r="F270" s="3"/>
      <c r="G270" s="3"/>
      <c r="H270" s="3"/>
      <c r="I270" s="3"/>
      <c r="J270" s="3"/>
    </row>
    <row r="271" spans="1:10" x14ac:dyDescent="0.25">
      <c r="A271" s="3"/>
      <c r="B271" s="3"/>
      <c r="C271" s="3"/>
      <c r="D271" s="3"/>
      <c r="E271" s="3"/>
      <c r="F271" s="3"/>
      <c r="G271" s="3"/>
      <c r="H271" s="3"/>
      <c r="I271" s="3"/>
      <c r="J271" s="3"/>
    </row>
    <row r="272" spans="1:10" x14ac:dyDescent="0.25">
      <c r="A272" s="3"/>
      <c r="B272" s="3"/>
      <c r="C272" s="3"/>
      <c r="D272" s="3"/>
      <c r="E272" s="3"/>
      <c r="F272" s="3"/>
      <c r="G272" s="3"/>
      <c r="H272" s="3"/>
      <c r="I272" s="3"/>
      <c r="J272" s="3"/>
    </row>
    <row r="273" spans="1:10" x14ac:dyDescent="0.25">
      <c r="A273" s="3"/>
      <c r="B273" s="3"/>
      <c r="C273" s="3"/>
      <c r="D273" s="3"/>
      <c r="E273" s="3"/>
      <c r="F273" s="3"/>
      <c r="G273" s="3"/>
      <c r="H273" s="3"/>
      <c r="I273" s="3"/>
      <c r="J273" s="3"/>
    </row>
    <row r="274" spans="1:10" x14ac:dyDescent="0.25">
      <c r="A274" s="3"/>
      <c r="B274" s="3"/>
      <c r="C274" s="3"/>
      <c r="D274" s="3"/>
      <c r="E274" s="3"/>
      <c r="F274" s="3"/>
      <c r="G274" s="3"/>
      <c r="H274" s="3"/>
      <c r="I274" s="3"/>
      <c r="J274" s="3"/>
    </row>
    <row r="275" spans="1:10" x14ac:dyDescent="0.25">
      <c r="A275" s="3"/>
      <c r="B275" s="3"/>
      <c r="C275" s="3"/>
      <c r="D275" s="3"/>
      <c r="E275" s="3"/>
      <c r="F275" s="3"/>
      <c r="G275" s="3"/>
      <c r="H275" s="3"/>
      <c r="I275" s="3"/>
      <c r="J275" s="3"/>
    </row>
    <row r="276" spans="1:10" x14ac:dyDescent="0.25">
      <c r="A276" s="3"/>
      <c r="B276" s="3"/>
      <c r="C276" s="3"/>
      <c r="D276" s="3"/>
      <c r="E276" s="3"/>
      <c r="F276" s="3"/>
      <c r="G276" s="3"/>
      <c r="H276" s="3"/>
      <c r="I276" s="3"/>
      <c r="J276" s="3"/>
    </row>
    <row r="277" spans="1:10" x14ac:dyDescent="0.25">
      <c r="A277" s="3"/>
      <c r="B277" s="3"/>
      <c r="C277" s="3"/>
      <c r="D277" s="3"/>
      <c r="E277" s="3"/>
      <c r="F277" s="3"/>
      <c r="G277" s="3"/>
      <c r="H277" s="3"/>
      <c r="I277" s="3"/>
      <c r="J277" s="3"/>
    </row>
    <row r="278" spans="1:10" x14ac:dyDescent="0.25">
      <c r="A278" s="3"/>
      <c r="B278" s="3"/>
      <c r="C278" s="3"/>
      <c r="D278" s="3"/>
      <c r="E278" s="3"/>
      <c r="F278" s="3"/>
      <c r="G278" s="3"/>
      <c r="H278" s="3"/>
      <c r="I278" s="3"/>
      <c r="J278" s="3"/>
    </row>
    <row r="279" spans="1:10" x14ac:dyDescent="0.25">
      <c r="A279" s="3"/>
      <c r="B279" s="3"/>
      <c r="C279" s="3"/>
      <c r="D279" s="3"/>
      <c r="E279" s="3"/>
      <c r="F279" s="3"/>
      <c r="G279" s="3"/>
      <c r="H279" s="3"/>
      <c r="I279" s="3"/>
      <c r="J279" s="3"/>
    </row>
    <row r="280" spans="1:10" x14ac:dyDescent="0.25">
      <c r="A280" s="3"/>
      <c r="B280" s="3"/>
      <c r="C280" s="3"/>
      <c r="D280" s="3"/>
      <c r="E280" s="3"/>
      <c r="F280" s="3"/>
      <c r="G280" s="3"/>
      <c r="H280" s="3"/>
      <c r="I280" s="3"/>
      <c r="J280" s="3"/>
    </row>
    <row r="281" spans="1:10" x14ac:dyDescent="0.25">
      <c r="A281" s="3"/>
      <c r="B281" s="3"/>
      <c r="C281" s="3"/>
      <c r="D281" s="3"/>
      <c r="E281" s="3"/>
      <c r="F281" s="3"/>
      <c r="G281" s="3"/>
      <c r="H281" s="3"/>
      <c r="I281" s="3"/>
      <c r="J281" s="3"/>
    </row>
    <row r="282" spans="1:10" x14ac:dyDescent="0.25">
      <c r="A282" s="3"/>
      <c r="B282" s="3"/>
      <c r="C282" s="3"/>
      <c r="D282" s="3"/>
      <c r="E282" s="3"/>
      <c r="F282" s="3"/>
      <c r="G282" s="3"/>
      <c r="H282" s="3"/>
      <c r="I282" s="3"/>
      <c r="J282" s="3"/>
    </row>
    <row r="283" spans="1:10" x14ac:dyDescent="0.25">
      <c r="A283" s="3"/>
      <c r="B283" s="3"/>
      <c r="C283" s="3"/>
      <c r="D283" s="3"/>
      <c r="E283" s="3"/>
      <c r="F283" s="3"/>
      <c r="G283" s="3"/>
      <c r="H283" s="3"/>
      <c r="I283" s="3"/>
      <c r="J283" s="3"/>
    </row>
    <row r="284" spans="1:10" x14ac:dyDescent="0.25">
      <c r="A284" s="3"/>
      <c r="B284" s="3"/>
      <c r="C284" s="3"/>
      <c r="D284" s="3"/>
      <c r="E284" s="3"/>
      <c r="F284" s="3"/>
      <c r="G284" s="3"/>
      <c r="H284" s="3"/>
      <c r="I284" s="3"/>
      <c r="J284" s="3"/>
    </row>
    <row r="285" spans="1:10" x14ac:dyDescent="0.25">
      <c r="A285" s="3"/>
      <c r="B285" s="3"/>
      <c r="C285" s="3"/>
      <c r="D285" s="3"/>
      <c r="E285" s="3"/>
      <c r="F285" s="3"/>
      <c r="G285" s="3"/>
      <c r="H285" s="3"/>
      <c r="I285" s="3"/>
      <c r="J285" s="3"/>
    </row>
    <row r="286" spans="1:10" x14ac:dyDescent="0.25">
      <c r="A286" s="3"/>
      <c r="B286" s="3"/>
      <c r="C286" s="3"/>
      <c r="D286" s="3"/>
      <c r="E286" s="3"/>
      <c r="F286" s="3"/>
      <c r="G286" s="3"/>
      <c r="H286" s="3"/>
      <c r="I286" s="3"/>
      <c r="J286" s="3"/>
    </row>
    <row r="287" spans="1:10" x14ac:dyDescent="0.25">
      <c r="A287" s="3"/>
      <c r="B287" s="3"/>
      <c r="C287" s="3"/>
      <c r="D287" s="3"/>
      <c r="E287" s="3"/>
      <c r="F287" s="3"/>
      <c r="G287" s="3"/>
      <c r="H287" s="3"/>
      <c r="I287" s="3"/>
      <c r="J287" s="3"/>
    </row>
    <row r="288" spans="1:10" x14ac:dyDescent="0.25">
      <c r="A288" s="3"/>
      <c r="B288" s="3"/>
      <c r="C288" s="3"/>
      <c r="D288" s="3"/>
      <c r="E288" s="3"/>
      <c r="F288" s="3"/>
      <c r="G288" s="3"/>
      <c r="H288" s="3"/>
      <c r="I288" s="3"/>
      <c r="J288" s="3"/>
    </row>
    <row r="289" spans="1:10" x14ac:dyDescent="0.25">
      <c r="A289" s="3"/>
      <c r="B289" s="3"/>
      <c r="C289" s="3"/>
      <c r="D289" s="3"/>
      <c r="E289" s="3"/>
      <c r="F289" s="3"/>
      <c r="G289" s="3"/>
      <c r="H289" s="3"/>
      <c r="I289" s="3"/>
      <c r="J289" s="3"/>
    </row>
    <row r="290" spans="1:10" x14ac:dyDescent="0.25">
      <c r="A290" s="3"/>
      <c r="B290" s="3"/>
      <c r="C290" s="3"/>
      <c r="D290" s="3"/>
      <c r="E290" s="3"/>
      <c r="F290" s="3"/>
      <c r="G290" s="3"/>
      <c r="H290" s="3"/>
      <c r="I290" s="3"/>
      <c r="J290" s="3"/>
    </row>
    <row r="291" spans="1:10" x14ac:dyDescent="0.25">
      <c r="A291" s="3"/>
      <c r="B291" s="3"/>
      <c r="C291" s="3"/>
      <c r="D291" s="3"/>
      <c r="E291" s="3"/>
      <c r="F291" s="3"/>
      <c r="G291" s="3"/>
      <c r="H291" s="3"/>
      <c r="I291" s="3"/>
      <c r="J291" s="3"/>
    </row>
    <row r="292" spans="1:10" x14ac:dyDescent="0.25">
      <c r="A292" s="3"/>
      <c r="B292" s="3"/>
      <c r="C292" s="3"/>
      <c r="D292" s="3"/>
      <c r="E292" s="3"/>
      <c r="F292" s="3"/>
      <c r="G292" s="3"/>
      <c r="H292" s="3"/>
      <c r="I292" s="3"/>
      <c r="J292" s="3"/>
    </row>
    <row r="293" spans="1:10" x14ac:dyDescent="0.25">
      <c r="A293" s="3"/>
      <c r="B293" s="3"/>
      <c r="C293" s="3"/>
      <c r="D293" s="3"/>
      <c r="E293" s="3"/>
      <c r="F293" s="3"/>
      <c r="G293" s="3"/>
      <c r="H293" s="3"/>
      <c r="I293" s="3"/>
      <c r="J293" s="3"/>
    </row>
    <row r="294" spans="1:10" x14ac:dyDescent="0.25">
      <c r="A294" s="3"/>
      <c r="B294" s="3"/>
      <c r="C294" s="3"/>
      <c r="D294" s="3"/>
      <c r="E294" s="3"/>
      <c r="F294" s="3"/>
      <c r="G294" s="3"/>
      <c r="H294" s="3"/>
      <c r="I294" s="3"/>
      <c r="J294" s="3"/>
    </row>
    <row r="295" spans="1:10" x14ac:dyDescent="0.25">
      <c r="A295" s="3"/>
      <c r="B295" s="3"/>
      <c r="C295" s="3"/>
      <c r="D295" s="3"/>
      <c r="E295" s="3"/>
      <c r="F295" s="3"/>
      <c r="G295" s="3"/>
      <c r="H295" s="3"/>
      <c r="I295" s="3"/>
      <c r="J295" s="3"/>
    </row>
    <row r="296" spans="1:10" x14ac:dyDescent="0.25">
      <c r="A296" s="3"/>
      <c r="B296" s="3"/>
      <c r="C296" s="3"/>
      <c r="D296" s="3"/>
      <c r="E296" s="3"/>
      <c r="F296" s="3"/>
      <c r="G296" s="3"/>
      <c r="H296" s="3"/>
      <c r="I296" s="3"/>
      <c r="J296" s="3"/>
    </row>
    <row r="297" spans="1:10" x14ac:dyDescent="0.25">
      <c r="A297" s="3"/>
      <c r="B297" s="3"/>
      <c r="C297" s="3"/>
      <c r="D297" s="3"/>
      <c r="E297" s="3"/>
      <c r="F297" s="3"/>
      <c r="G297" s="3"/>
      <c r="H297" s="3"/>
      <c r="I297" s="3"/>
      <c r="J297" s="3"/>
    </row>
    <row r="298" spans="1:10" x14ac:dyDescent="0.25">
      <c r="A298" s="3"/>
      <c r="B298" s="3"/>
      <c r="C298" s="3"/>
      <c r="D298" s="3"/>
      <c r="E298" s="3"/>
      <c r="F298" s="3"/>
      <c r="G298" s="3"/>
      <c r="H298" s="3"/>
      <c r="I298" s="3"/>
      <c r="J298" s="3"/>
    </row>
    <row r="299" spans="1:10" x14ac:dyDescent="0.25">
      <c r="A299" s="3"/>
      <c r="B299" s="3"/>
      <c r="C299" s="3"/>
      <c r="D299" s="3"/>
      <c r="E299" s="3"/>
      <c r="F299" s="3"/>
      <c r="G299" s="3"/>
      <c r="H299" s="3"/>
      <c r="I299" s="3"/>
      <c r="J299" s="3"/>
    </row>
    <row r="300" spans="1:10" x14ac:dyDescent="0.25">
      <c r="A300" s="3"/>
      <c r="B300" s="3"/>
      <c r="C300" s="3"/>
      <c r="D300" s="3"/>
      <c r="E300" s="3"/>
      <c r="F300" s="3"/>
      <c r="G300" s="3"/>
      <c r="H300" s="3"/>
      <c r="I300" s="3"/>
      <c r="J300" s="3"/>
    </row>
    <row r="301" spans="1:10" x14ac:dyDescent="0.25">
      <c r="A301" s="3"/>
      <c r="B301" s="3"/>
      <c r="C301" s="3"/>
      <c r="D301" s="3"/>
      <c r="E301" s="3"/>
      <c r="F301" s="3"/>
      <c r="G301" s="3"/>
      <c r="H301" s="3"/>
      <c r="I301" s="3"/>
      <c r="J301" s="3"/>
    </row>
    <row r="302" spans="1:10" x14ac:dyDescent="0.25">
      <c r="A302" s="3"/>
      <c r="B302" s="3"/>
      <c r="C302" s="3"/>
      <c r="D302" s="3"/>
      <c r="E302" s="3"/>
      <c r="F302" s="3"/>
      <c r="G302" s="3"/>
      <c r="H302" s="3"/>
      <c r="I302" s="3"/>
      <c r="J302" s="3"/>
    </row>
    <row r="303" spans="1:10" x14ac:dyDescent="0.25">
      <c r="A303" s="3"/>
      <c r="B303" s="3"/>
      <c r="C303" s="3"/>
      <c r="D303" s="3"/>
      <c r="E303" s="3"/>
      <c r="F303" s="3"/>
      <c r="G303" s="3"/>
      <c r="H303" s="3"/>
      <c r="I303" s="3"/>
      <c r="J303" s="3"/>
    </row>
    <row r="304" spans="1:10" x14ac:dyDescent="0.25">
      <c r="A304" s="3"/>
      <c r="B304" s="3"/>
      <c r="C304" s="3"/>
      <c r="D304" s="3"/>
      <c r="E304" s="3"/>
      <c r="F304" s="3"/>
      <c r="G304" s="3"/>
      <c r="H304" s="3"/>
      <c r="I304" s="3"/>
      <c r="J304" s="3"/>
    </row>
    <row r="305" spans="1:10" x14ac:dyDescent="0.25">
      <c r="A305" s="3"/>
      <c r="B305" s="3"/>
      <c r="C305" s="3"/>
      <c r="D305" s="3"/>
      <c r="E305" s="3"/>
      <c r="F305" s="3"/>
      <c r="G305" s="3"/>
      <c r="H305" s="3"/>
      <c r="I305" s="3"/>
      <c r="J305" s="3"/>
    </row>
    <row r="306" spans="1:10" x14ac:dyDescent="0.25">
      <c r="A306" s="3"/>
      <c r="B306" s="3"/>
      <c r="C306" s="3"/>
      <c r="D306" s="3"/>
      <c r="E306" s="3"/>
      <c r="F306" s="3"/>
      <c r="G306" s="3"/>
      <c r="H306" s="3"/>
      <c r="I306" s="3"/>
      <c r="J306" s="3"/>
    </row>
    <row r="307" spans="1:10" x14ac:dyDescent="0.25">
      <c r="A307" s="3"/>
      <c r="B307" s="3"/>
      <c r="C307" s="3"/>
      <c r="D307" s="3"/>
      <c r="E307" s="3"/>
      <c r="F307" s="3"/>
      <c r="G307" s="3"/>
      <c r="H307" s="3"/>
      <c r="I307" s="3"/>
      <c r="J307" s="3"/>
    </row>
    <row r="308" spans="1:10" x14ac:dyDescent="0.25">
      <c r="A308" s="3"/>
      <c r="B308" s="3"/>
      <c r="C308" s="3"/>
      <c r="D308" s="3"/>
      <c r="E308" s="3"/>
      <c r="F308" s="3"/>
      <c r="G308" s="3"/>
      <c r="H308" s="3"/>
      <c r="I308" s="3"/>
      <c r="J308" s="3"/>
    </row>
    <row r="309" spans="1:10" x14ac:dyDescent="0.25">
      <c r="A309" s="3"/>
      <c r="B309" s="3"/>
      <c r="C309" s="3"/>
      <c r="D309" s="3"/>
      <c r="E309" s="3"/>
      <c r="F309" s="3"/>
      <c r="G309" s="3"/>
      <c r="H309" s="3"/>
      <c r="I309" s="3"/>
      <c r="J309" s="3"/>
    </row>
    <row r="310" spans="1:10" x14ac:dyDescent="0.25">
      <c r="A310" s="3"/>
      <c r="B310" s="3"/>
      <c r="C310" s="3"/>
      <c r="D310" s="3"/>
      <c r="E310" s="3"/>
      <c r="F310" s="3"/>
      <c r="G310" s="3"/>
      <c r="H310" s="3"/>
      <c r="I310" s="3"/>
      <c r="J310" s="3"/>
    </row>
    <row r="311" spans="1:10" x14ac:dyDescent="0.25">
      <c r="A311" s="3"/>
      <c r="B311" s="3"/>
      <c r="C311" s="3"/>
      <c r="D311" s="3"/>
      <c r="E311" s="3"/>
      <c r="F311" s="3"/>
      <c r="G311" s="3"/>
      <c r="H311" s="3"/>
      <c r="I311" s="3"/>
      <c r="J311" s="3"/>
    </row>
    <row r="312" spans="1:10" x14ac:dyDescent="0.25">
      <c r="A312" s="3"/>
      <c r="B312" s="3"/>
      <c r="C312" s="3"/>
      <c r="D312" s="3"/>
      <c r="E312" s="3"/>
      <c r="F312" s="3"/>
      <c r="G312" s="3"/>
      <c r="H312" s="3"/>
      <c r="I312" s="3"/>
      <c r="J312" s="3"/>
    </row>
    <row r="313" spans="1:10" x14ac:dyDescent="0.25">
      <c r="A313" s="3"/>
      <c r="B313" s="3"/>
      <c r="C313" s="3"/>
      <c r="D313" s="3"/>
      <c r="E313" s="3"/>
      <c r="F313" s="3"/>
      <c r="G313" s="3"/>
      <c r="H313" s="3"/>
      <c r="I313" s="3"/>
      <c r="J313" s="3"/>
    </row>
    <row r="314" spans="1:10" x14ac:dyDescent="0.25">
      <c r="A314" s="3"/>
      <c r="B314" s="3"/>
      <c r="C314" s="3"/>
      <c r="D314" s="3"/>
      <c r="E314" s="3"/>
      <c r="F314" s="3"/>
      <c r="G314" s="3"/>
      <c r="H314" s="3"/>
      <c r="I314" s="3"/>
      <c r="J314" s="3"/>
    </row>
    <row r="315" spans="1:10" x14ac:dyDescent="0.25">
      <c r="A315" s="3"/>
      <c r="B315" s="3"/>
      <c r="C315" s="3"/>
      <c r="D315" s="3"/>
      <c r="E315" s="3"/>
      <c r="F315" s="3"/>
      <c r="G315" s="3"/>
      <c r="H315" s="3"/>
      <c r="I315" s="3"/>
      <c r="J315" s="3"/>
    </row>
    <row r="316" spans="1:10" x14ac:dyDescent="0.25">
      <c r="A316" s="3"/>
      <c r="B316" s="3"/>
      <c r="C316" s="3"/>
      <c r="D316" s="3"/>
      <c r="E316" s="3"/>
      <c r="F316" s="3"/>
      <c r="G316" s="3"/>
      <c r="H316" s="3"/>
      <c r="I316" s="3"/>
      <c r="J316" s="3"/>
    </row>
    <row r="317" spans="1:10" x14ac:dyDescent="0.25">
      <c r="A317" s="3"/>
      <c r="B317" s="3"/>
      <c r="C317" s="3"/>
      <c r="D317" s="3"/>
      <c r="E317" s="3"/>
      <c r="F317" s="3"/>
      <c r="G317" s="3"/>
      <c r="H317" s="3"/>
      <c r="I317" s="3"/>
      <c r="J317" s="3"/>
    </row>
    <row r="318" spans="1:10" x14ac:dyDescent="0.25">
      <c r="A318" s="3"/>
      <c r="B318" s="3"/>
      <c r="C318" s="3"/>
      <c r="D318" s="3"/>
      <c r="E318" s="3"/>
      <c r="F318" s="3"/>
      <c r="G318" s="3"/>
      <c r="H318" s="3"/>
      <c r="I318" s="3"/>
      <c r="J318" s="3"/>
    </row>
    <row r="319" spans="1:10" x14ac:dyDescent="0.25">
      <c r="A319" s="3"/>
      <c r="B319" s="3"/>
      <c r="C319" s="3"/>
      <c r="D319" s="3"/>
      <c r="E319" s="3"/>
      <c r="F319" s="3"/>
      <c r="G319" s="3"/>
      <c r="H319" s="3"/>
      <c r="I319" s="3"/>
      <c r="J319" s="3"/>
    </row>
    <row r="320" spans="1:10" x14ac:dyDescent="0.25">
      <c r="A320" s="3"/>
      <c r="B320" s="3"/>
      <c r="C320" s="3"/>
      <c r="D320" s="3"/>
      <c r="E320" s="3"/>
      <c r="F320" s="3"/>
      <c r="G320" s="3"/>
      <c r="H320" s="3"/>
      <c r="I320" s="3"/>
      <c r="J320" s="3"/>
    </row>
    <row r="321" spans="1:10" x14ac:dyDescent="0.25">
      <c r="A321" s="3"/>
      <c r="B321" s="3"/>
      <c r="C321" s="3"/>
      <c r="D321" s="3"/>
      <c r="E321" s="3"/>
      <c r="F321" s="3"/>
      <c r="G321" s="3"/>
      <c r="H321" s="3"/>
      <c r="I321" s="3"/>
      <c r="J321" s="3"/>
    </row>
    <row r="322" spans="1:10" x14ac:dyDescent="0.25">
      <c r="A322" s="3"/>
      <c r="B322" s="3"/>
      <c r="C322" s="3"/>
      <c r="D322" s="3"/>
      <c r="E322" s="3"/>
      <c r="F322" s="3"/>
      <c r="G322" s="3"/>
      <c r="H322" s="3"/>
      <c r="I322" s="3"/>
      <c r="J322" s="3"/>
    </row>
    <row r="323" spans="1:10" x14ac:dyDescent="0.25">
      <c r="A323" s="3"/>
      <c r="B323" s="3"/>
      <c r="C323" s="3"/>
      <c r="D323" s="3"/>
      <c r="E323" s="3"/>
      <c r="F323" s="3"/>
      <c r="G323" s="3"/>
      <c r="H323" s="3"/>
      <c r="I323" s="3"/>
      <c r="J323" s="3"/>
    </row>
    <row r="324" spans="1:10" x14ac:dyDescent="0.25">
      <c r="A324" s="3"/>
      <c r="B324" s="3"/>
      <c r="C324" s="3"/>
      <c r="D324" s="3"/>
      <c r="E324" s="3"/>
      <c r="F324" s="3"/>
      <c r="G324" s="3"/>
      <c r="H324" s="3"/>
      <c r="I324" s="3"/>
      <c r="J324" s="3"/>
    </row>
    <row r="325" spans="1:10" x14ac:dyDescent="0.25">
      <c r="A325" s="3"/>
      <c r="B325" s="3"/>
      <c r="C325" s="3"/>
      <c r="D325" s="3"/>
      <c r="E325" s="3"/>
      <c r="F325" s="3"/>
      <c r="G325" s="3"/>
      <c r="H325" s="3"/>
      <c r="I325" s="3"/>
      <c r="J325" s="3"/>
    </row>
    <row r="326" spans="1:10" x14ac:dyDescent="0.25">
      <c r="A326" s="3"/>
      <c r="B326" s="3"/>
      <c r="C326" s="3"/>
      <c r="D326" s="3"/>
      <c r="E326" s="3"/>
      <c r="F326" s="3"/>
      <c r="G326" s="3"/>
      <c r="H326" s="3"/>
      <c r="I326" s="3"/>
      <c r="J326" s="3"/>
    </row>
    <row r="327" spans="1:10" x14ac:dyDescent="0.25">
      <c r="A327" s="3"/>
      <c r="B327" s="3"/>
      <c r="C327" s="3"/>
      <c r="D327" s="3"/>
      <c r="E327" s="3"/>
      <c r="F327" s="3"/>
      <c r="G327" s="3"/>
      <c r="H327" s="3"/>
      <c r="I327" s="3"/>
      <c r="J327" s="3"/>
    </row>
    <row r="328" spans="1:10" x14ac:dyDescent="0.25">
      <c r="A328" s="3"/>
      <c r="B328" s="3"/>
      <c r="C328" s="3"/>
      <c r="D328" s="3"/>
      <c r="E328" s="3"/>
      <c r="F328" s="3"/>
      <c r="G328" s="3"/>
      <c r="H328" s="3"/>
      <c r="I328" s="3"/>
      <c r="J328" s="3"/>
    </row>
    <row r="329" spans="1:10" x14ac:dyDescent="0.25">
      <c r="A329" s="3"/>
      <c r="B329" s="3"/>
      <c r="C329" s="3"/>
      <c r="D329" s="3"/>
      <c r="E329" s="3"/>
      <c r="F329" s="3"/>
      <c r="G329" s="3"/>
      <c r="H329" s="3"/>
      <c r="I329" s="3"/>
      <c r="J329" s="3"/>
    </row>
    <row r="330" spans="1:10" x14ac:dyDescent="0.25">
      <c r="A330" s="3"/>
      <c r="B330" s="3"/>
      <c r="C330" s="3"/>
      <c r="D330" s="3"/>
      <c r="E330" s="3"/>
      <c r="F330" s="3"/>
      <c r="G330" s="3"/>
      <c r="H330" s="3"/>
      <c r="I330" s="3"/>
      <c r="J330" s="3"/>
    </row>
    <row r="331" spans="1:10" x14ac:dyDescent="0.25">
      <c r="A331" s="3"/>
      <c r="B331" s="3"/>
      <c r="C331" s="3"/>
      <c r="D331" s="3"/>
      <c r="E331" s="3"/>
      <c r="F331" s="3"/>
      <c r="G331" s="3"/>
      <c r="H331" s="3"/>
      <c r="I331" s="3"/>
      <c r="J331" s="3"/>
    </row>
    <row r="332" spans="1:10" x14ac:dyDescent="0.25">
      <c r="A332" s="3"/>
      <c r="B332" s="3"/>
      <c r="C332" s="3"/>
      <c r="D332" s="3"/>
      <c r="E332" s="3"/>
      <c r="F332" s="3"/>
      <c r="G332" s="3"/>
      <c r="H332" s="3"/>
      <c r="I332" s="3"/>
      <c r="J332" s="3"/>
    </row>
    <row r="333" spans="1:10" x14ac:dyDescent="0.25">
      <c r="A333" s="3"/>
      <c r="B333" s="3"/>
      <c r="C333" s="3"/>
      <c r="D333" s="3"/>
      <c r="E333" s="3"/>
      <c r="F333" s="3"/>
      <c r="G333" s="3"/>
      <c r="H333" s="3"/>
      <c r="I333" s="3"/>
      <c r="J333" s="3"/>
    </row>
    <row r="334" spans="1:10" x14ac:dyDescent="0.25">
      <c r="A334" s="3"/>
      <c r="B334" s="3"/>
      <c r="C334" s="3"/>
      <c r="D334" s="3"/>
      <c r="E334" s="3"/>
      <c r="F334" s="3"/>
      <c r="G334" s="3"/>
      <c r="H334" s="3"/>
      <c r="I334" s="3"/>
      <c r="J334" s="3"/>
    </row>
    <row r="335" spans="1:10" x14ac:dyDescent="0.25">
      <c r="A335" s="3"/>
      <c r="B335" s="3"/>
      <c r="C335" s="3"/>
      <c r="D335" s="3"/>
      <c r="E335" s="3"/>
      <c r="F335" s="3"/>
      <c r="G335" s="3"/>
      <c r="H335" s="3"/>
      <c r="I335" s="3"/>
      <c r="J335" s="3"/>
    </row>
    <row r="336" spans="1:10" x14ac:dyDescent="0.25">
      <c r="A336" s="3"/>
      <c r="B336" s="3"/>
      <c r="C336" s="3"/>
      <c r="D336" s="3"/>
      <c r="E336" s="3"/>
      <c r="F336" s="3"/>
      <c r="G336" s="3"/>
      <c r="H336" s="3"/>
      <c r="I336" s="3"/>
      <c r="J336" s="3"/>
    </row>
    <row r="337" spans="1:10" x14ac:dyDescent="0.25">
      <c r="A337" s="3"/>
      <c r="B337" s="3"/>
      <c r="C337" s="3"/>
      <c r="D337" s="3"/>
      <c r="E337" s="3"/>
      <c r="F337" s="3"/>
      <c r="G337" s="3"/>
      <c r="H337" s="3"/>
      <c r="I337" s="3"/>
      <c r="J337" s="3"/>
    </row>
    <row r="338" spans="1:10" x14ac:dyDescent="0.25">
      <c r="A338" s="3"/>
      <c r="B338" s="3"/>
      <c r="C338" s="3"/>
      <c r="D338" s="3"/>
      <c r="E338" s="3"/>
      <c r="F338" s="3"/>
      <c r="G338" s="3"/>
      <c r="H338" s="3"/>
      <c r="I338" s="3"/>
      <c r="J338" s="3"/>
    </row>
    <row r="339" spans="1:10" x14ac:dyDescent="0.25">
      <c r="A339" s="3"/>
      <c r="B339" s="3"/>
      <c r="C339" s="3"/>
      <c r="D339" s="3"/>
      <c r="E339" s="3"/>
      <c r="F339" s="3"/>
      <c r="G339" s="3"/>
      <c r="H339" s="3"/>
      <c r="I339" s="3"/>
      <c r="J339" s="3"/>
    </row>
    <row r="340" spans="1:10" x14ac:dyDescent="0.25">
      <c r="A340" s="3"/>
      <c r="B340" s="3"/>
      <c r="C340" s="3"/>
      <c r="D340" s="3"/>
      <c r="E340" s="3"/>
      <c r="F340" s="3"/>
      <c r="G340" s="3"/>
      <c r="H340" s="3"/>
      <c r="I340" s="3"/>
      <c r="J340" s="3"/>
    </row>
    <row r="341" spans="1:10" x14ac:dyDescent="0.25">
      <c r="A341" s="3"/>
      <c r="B341" s="3"/>
      <c r="C341" s="3"/>
      <c r="D341" s="3"/>
      <c r="E341" s="3"/>
      <c r="F341" s="3"/>
      <c r="G341" s="3"/>
      <c r="H341" s="3"/>
      <c r="I341" s="3"/>
      <c r="J341" s="3"/>
    </row>
    <row r="342" spans="1:10" x14ac:dyDescent="0.25">
      <c r="A342" s="3"/>
      <c r="B342" s="3"/>
      <c r="C342" s="3"/>
      <c r="D342" s="3"/>
      <c r="E342" s="3"/>
      <c r="F342" s="3"/>
      <c r="G342" s="3"/>
      <c r="H342" s="3"/>
      <c r="I342" s="3"/>
      <c r="J342" s="3"/>
    </row>
    <row r="343" spans="1:10" x14ac:dyDescent="0.25">
      <c r="A343" s="3"/>
      <c r="B343" s="3"/>
      <c r="C343" s="3"/>
      <c r="D343" s="3"/>
      <c r="E343" s="3"/>
      <c r="F343" s="3"/>
      <c r="G343" s="3"/>
      <c r="H343" s="3"/>
      <c r="I343" s="3"/>
      <c r="J343" s="3"/>
    </row>
    <row r="344" spans="1:10" x14ac:dyDescent="0.25">
      <c r="A344" s="3"/>
      <c r="B344" s="3"/>
      <c r="C344" s="3"/>
      <c r="D344" s="3"/>
      <c r="E344" s="3"/>
      <c r="F344" s="3"/>
      <c r="G344" s="3"/>
      <c r="H344" s="3"/>
      <c r="I344" s="3"/>
      <c r="J344" s="3"/>
    </row>
    <row r="345" spans="1:10" x14ac:dyDescent="0.25">
      <c r="A345" s="3"/>
      <c r="B345" s="3"/>
      <c r="C345" s="3"/>
      <c r="D345" s="3"/>
      <c r="E345" s="3"/>
      <c r="F345" s="3"/>
      <c r="G345" s="3"/>
      <c r="H345" s="3"/>
      <c r="I345" s="3"/>
      <c r="J345" s="3"/>
    </row>
    <row r="346" spans="1:10" x14ac:dyDescent="0.25">
      <c r="A346" s="3"/>
      <c r="B346" s="3"/>
      <c r="C346" s="3"/>
      <c r="D346" s="3"/>
      <c r="E346" s="3"/>
      <c r="F346" s="3"/>
      <c r="G346" s="3"/>
      <c r="H346" s="3"/>
      <c r="I346" s="3"/>
      <c r="J346" s="3"/>
    </row>
    <row r="347" spans="1:10" x14ac:dyDescent="0.25">
      <c r="A347" s="3"/>
      <c r="B347" s="3"/>
      <c r="C347" s="3"/>
      <c r="D347" s="3"/>
      <c r="E347" s="3"/>
      <c r="F347" s="3"/>
      <c r="G347" s="3"/>
      <c r="H347" s="3"/>
      <c r="I347" s="3"/>
      <c r="J347" s="3"/>
    </row>
    <row r="348" spans="1:10" x14ac:dyDescent="0.25">
      <c r="A348" s="3"/>
      <c r="B348" s="3"/>
      <c r="C348" s="3"/>
      <c r="D348" s="3"/>
      <c r="E348" s="3"/>
      <c r="F348" s="3"/>
      <c r="G348" s="3"/>
      <c r="H348" s="3"/>
      <c r="I348" s="3"/>
      <c r="J348" s="3"/>
    </row>
    <row r="349" spans="1:10" x14ac:dyDescent="0.25">
      <c r="A349" s="3"/>
      <c r="B349" s="3"/>
      <c r="C349" s="3"/>
      <c r="D349" s="3"/>
      <c r="E349" s="3"/>
      <c r="F349" s="3"/>
      <c r="G349" s="3"/>
      <c r="H349" s="3"/>
      <c r="I349" s="3"/>
      <c r="J349" s="3"/>
    </row>
    <row r="350" spans="1:10" x14ac:dyDescent="0.25">
      <c r="A350" s="3"/>
      <c r="B350" s="3"/>
      <c r="C350" s="3"/>
      <c r="D350" s="3"/>
      <c r="E350" s="3"/>
      <c r="F350" s="3"/>
      <c r="G350" s="3"/>
      <c r="H350" s="3"/>
      <c r="I350" s="3"/>
      <c r="J350" s="3"/>
    </row>
    <row r="351" spans="1:10" x14ac:dyDescent="0.25">
      <c r="A351" s="3"/>
      <c r="B351" s="3"/>
      <c r="C351" s="3"/>
      <c r="D351" s="3"/>
      <c r="E351" s="3"/>
      <c r="F351" s="3"/>
      <c r="G351" s="3"/>
      <c r="H351" s="3"/>
      <c r="I351" s="3"/>
      <c r="J351" s="3"/>
    </row>
    <row r="352" spans="1:10" x14ac:dyDescent="0.25">
      <c r="A352" s="3"/>
      <c r="B352" s="3"/>
      <c r="C352" s="3"/>
      <c r="D352" s="3"/>
      <c r="E352" s="3"/>
      <c r="F352" s="3"/>
      <c r="G352" s="3"/>
      <c r="H352" s="3"/>
      <c r="I352" s="3"/>
      <c r="J352" s="3"/>
    </row>
    <row r="353" spans="1:10" x14ac:dyDescent="0.25">
      <c r="A353" s="3"/>
      <c r="B353" s="3"/>
      <c r="C353" s="3"/>
      <c r="D353" s="3"/>
      <c r="E353" s="3"/>
      <c r="F353" s="3"/>
      <c r="G353" s="3"/>
      <c r="H353" s="3"/>
      <c r="I353" s="3"/>
      <c r="J353" s="3"/>
    </row>
    <row r="354" spans="1:10" x14ac:dyDescent="0.25">
      <c r="A354" s="3"/>
      <c r="B354" s="3"/>
      <c r="C354" s="3"/>
      <c r="D354" s="3"/>
      <c r="E354" s="3"/>
      <c r="F354" s="3"/>
      <c r="G354" s="3"/>
      <c r="H354" s="3"/>
      <c r="I354" s="3"/>
      <c r="J354" s="3"/>
    </row>
    <row r="355" spans="1:10" x14ac:dyDescent="0.25">
      <c r="A355" s="3"/>
      <c r="B355" s="3"/>
      <c r="C355" s="3"/>
      <c r="D355" s="3"/>
      <c r="E355" s="3"/>
      <c r="F355" s="3"/>
      <c r="G355" s="3"/>
      <c r="H355" s="3"/>
      <c r="I355" s="3"/>
      <c r="J355" s="3"/>
    </row>
    <row r="356" spans="1:10" x14ac:dyDescent="0.25">
      <c r="A356" s="3"/>
      <c r="B356" s="3"/>
      <c r="C356" s="3"/>
      <c r="D356" s="3"/>
      <c r="E356" s="3"/>
      <c r="F356" s="3"/>
      <c r="G356" s="3"/>
      <c r="H356" s="3"/>
      <c r="I356" s="3"/>
      <c r="J356" s="3"/>
    </row>
    <row r="357" spans="1:10" x14ac:dyDescent="0.25">
      <c r="A357" s="3"/>
      <c r="B357" s="3"/>
      <c r="C357" s="3"/>
      <c r="D357" s="3"/>
      <c r="E357" s="3"/>
      <c r="F357" s="3"/>
      <c r="G357" s="3"/>
      <c r="H357" s="3"/>
      <c r="I357" s="3"/>
      <c r="J357" s="3"/>
    </row>
    <row r="358" spans="1:10" x14ac:dyDescent="0.25">
      <c r="A358" s="3"/>
      <c r="B358" s="3"/>
      <c r="C358" s="3"/>
      <c r="D358" s="3"/>
      <c r="E358" s="3"/>
      <c r="F358" s="3"/>
      <c r="G358" s="3"/>
      <c r="H358" s="3"/>
      <c r="I358" s="3"/>
      <c r="J358" s="3"/>
    </row>
    <row r="359" spans="1:10" x14ac:dyDescent="0.25">
      <c r="A359" s="3"/>
      <c r="B359" s="3"/>
      <c r="C359" s="3"/>
      <c r="D359" s="3"/>
      <c r="E359" s="3"/>
      <c r="F359" s="3"/>
      <c r="G359" s="3"/>
      <c r="H359" s="3"/>
      <c r="I359" s="3"/>
      <c r="J359" s="3"/>
    </row>
    <row r="360" spans="1:10" x14ac:dyDescent="0.25">
      <c r="A360" s="3"/>
      <c r="B360" s="3"/>
      <c r="C360" s="3"/>
      <c r="D360" s="3"/>
      <c r="E360" s="3"/>
      <c r="F360" s="3"/>
      <c r="G360" s="3"/>
      <c r="H360" s="3"/>
      <c r="I360" s="3"/>
      <c r="J360" s="3"/>
    </row>
    <row r="361" spans="1:10" x14ac:dyDescent="0.25">
      <c r="A361" s="3"/>
      <c r="B361" s="3"/>
      <c r="C361" s="3"/>
      <c r="D361" s="3"/>
      <c r="E361" s="3"/>
      <c r="F361" s="3"/>
      <c r="G361" s="3"/>
      <c r="H361" s="3"/>
      <c r="I361" s="3"/>
      <c r="J361" s="3"/>
    </row>
    <row r="362" spans="1:10" x14ac:dyDescent="0.25">
      <c r="A362" s="3"/>
      <c r="B362" s="3"/>
      <c r="C362" s="3"/>
      <c r="D362" s="3"/>
      <c r="E362" s="3"/>
      <c r="F362" s="3"/>
      <c r="G362" s="3"/>
      <c r="H362" s="3"/>
      <c r="I362" s="3"/>
      <c r="J362" s="3"/>
    </row>
    <row r="363" spans="1:10" x14ac:dyDescent="0.25">
      <c r="A363" s="3"/>
      <c r="B363" s="3"/>
      <c r="C363" s="3"/>
      <c r="D363" s="3"/>
      <c r="E363" s="3"/>
      <c r="F363" s="3"/>
      <c r="G363" s="3"/>
      <c r="H363" s="3"/>
      <c r="I363" s="3"/>
      <c r="J363" s="3"/>
    </row>
    <row r="364" spans="1:10" x14ac:dyDescent="0.25">
      <c r="A364" s="3"/>
      <c r="B364" s="3"/>
      <c r="C364" s="3"/>
      <c r="D364" s="3"/>
      <c r="E364" s="3"/>
      <c r="F364" s="3"/>
      <c r="G364" s="3"/>
      <c r="H364" s="3"/>
      <c r="I364" s="3"/>
      <c r="J364" s="3"/>
    </row>
    <row r="365" spans="1:10" x14ac:dyDescent="0.25">
      <c r="A365" s="3"/>
      <c r="B365" s="3"/>
      <c r="C365" s="3"/>
      <c r="D365" s="3"/>
      <c r="E365" s="3"/>
      <c r="F365" s="3"/>
      <c r="G365" s="3"/>
      <c r="H365" s="3"/>
      <c r="I365" s="3"/>
      <c r="J365" s="3"/>
    </row>
    <row r="366" spans="1:10" x14ac:dyDescent="0.25">
      <c r="A366" s="3"/>
      <c r="B366" s="3"/>
      <c r="C366" s="3"/>
      <c r="D366" s="3"/>
      <c r="E366" s="3"/>
      <c r="F366" s="3"/>
      <c r="G366" s="3"/>
      <c r="H366" s="3"/>
      <c r="I366" s="3"/>
      <c r="J366" s="3"/>
    </row>
    <row r="367" spans="1:10" x14ac:dyDescent="0.25">
      <c r="A367" s="3"/>
      <c r="B367" s="3"/>
      <c r="C367" s="3"/>
      <c r="D367" s="3"/>
      <c r="E367" s="3"/>
      <c r="F367" s="3"/>
      <c r="G367" s="3"/>
      <c r="H367" s="3"/>
      <c r="I367" s="3"/>
      <c r="J367" s="3"/>
    </row>
    <row r="368" spans="1:10" x14ac:dyDescent="0.25">
      <c r="A368" s="3"/>
      <c r="B368" s="3"/>
      <c r="C368" s="3"/>
      <c r="D368" s="3"/>
      <c r="E368" s="3"/>
      <c r="F368" s="3"/>
      <c r="G368" s="3"/>
      <c r="H368" s="3"/>
      <c r="I368" s="3"/>
      <c r="J368" s="3"/>
    </row>
    <row r="369" spans="1:10" x14ac:dyDescent="0.25">
      <c r="A369" s="3"/>
      <c r="B369" s="3"/>
      <c r="C369" s="3"/>
      <c r="D369" s="3"/>
      <c r="E369" s="3"/>
      <c r="F369" s="3"/>
      <c r="G369" s="3"/>
      <c r="H369" s="3"/>
      <c r="I369" s="3"/>
      <c r="J369" s="3"/>
    </row>
    <row r="370" spans="1:10" x14ac:dyDescent="0.25">
      <c r="A370" s="3"/>
      <c r="B370" s="3"/>
      <c r="C370" s="3"/>
      <c r="D370" s="3"/>
      <c r="E370" s="3"/>
      <c r="F370" s="3"/>
      <c r="G370" s="3"/>
      <c r="H370" s="3"/>
      <c r="I370" s="3"/>
      <c r="J370" s="3"/>
    </row>
    <row r="371" spans="1:10" x14ac:dyDescent="0.25">
      <c r="A371" s="3"/>
      <c r="B371" s="3"/>
      <c r="C371" s="3"/>
      <c r="D371" s="3"/>
      <c r="E371" s="3"/>
      <c r="F371" s="3"/>
      <c r="G371" s="3"/>
      <c r="H371" s="3"/>
      <c r="I371" s="3"/>
      <c r="J371" s="3"/>
    </row>
    <row r="372" spans="1:10" x14ac:dyDescent="0.25">
      <c r="A372" s="3"/>
      <c r="B372" s="3"/>
      <c r="C372" s="3"/>
      <c r="D372" s="3"/>
      <c r="E372" s="3"/>
      <c r="F372" s="3"/>
      <c r="G372" s="3"/>
      <c r="H372" s="3"/>
      <c r="I372" s="3"/>
      <c r="J372" s="3"/>
    </row>
    <row r="373" spans="1:10" x14ac:dyDescent="0.25">
      <c r="A373" s="3"/>
      <c r="B373" s="3"/>
      <c r="C373" s="3"/>
      <c r="D373" s="3"/>
      <c r="E373" s="3"/>
      <c r="F373" s="3"/>
      <c r="G373" s="3"/>
      <c r="H373" s="3"/>
      <c r="I373" s="3"/>
      <c r="J373" s="3"/>
    </row>
    <row r="374" spans="1:10" x14ac:dyDescent="0.25">
      <c r="A374" s="3"/>
      <c r="B374" s="3"/>
      <c r="C374" s="3"/>
      <c r="D374" s="3"/>
      <c r="E374" s="3"/>
      <c r="F374" s="3"/>
      <c r="G374" s="3"/>
      <c r="H374" s="3"/>
      <c r="I374" s="3"/>
      <c r="J374" s="3"/>
    </row>
    <row r="375" spans="1:10" x14ac:dyDescent="0.25">
      <c r="A375" s="3"/>
      <c r="B375" s="3"/>
      <c r="C375" s="3"/>
      <c r="D375" s="3"/>
      <c r="E375" s="3"/>
      <c r="F375" s="3"/>
      <c r="G375" s="3"/>
      <c r="H375" s="3"/>
      <c r="I375" s="3"/>
      <c r="J375" s="3"/>
    </row>
    <row r="376" spans="1:10" x14ac:dyDescent="0.25">
      <c r="A376" s="3"/>
      <c r="B376" s="3"/>
      <c r="C376" s="3"/>
      <c r="D376" s="3"/>
      <c r="E376" s="3"/>
      <c r="F376" s="3"/>
      <c r="G376" s="3"/>
      <c r="H376" s="3"/>
      <c r="I376" s="3"/>
      <c r="J376" s="3"/>
    </row>
    <row r="377" spans="1:10" x14ac:dyDescent="0.25">
      <c r="A377" s="3"/>
      <c r="B377" s="3"/>
      <c r="C377" s="3"/>
      <c r="D377" s="3"/>
      <c r="E377" s="3"/>
      <c r="F377" s="3"/>
      <c r="G377" s="3"/>
      <c r="H377" s="3"/>
      <c r="I377" s="3"/>
      <c r="J377" s="3"/>
    </row>
    <row r="378" spans="1:10" x14ac:dyDescent="0.25">
      <c r="A378" s="3"/>
      <c r="B378" s="3"/>
      <c r="C378" s="3"/>
      <c r="D378" s="3"/>
      <c r="E378" s="3"/>
      <c r="F378" s="3"/>
      <c r="G378" s="3"/>
      <c r="H378" s="3"/>
      <c r="I378" s="3"/>
      <c r="J378" s="3"/>
    </row>
    <row r="379" spans="1:10" x14ac:dyDescent="0.25">
      <c r="A379" s="3"/>
      <c r="B379" s="3"/>
      <c r="C379" s="3"/>
      <c r="D379" s="3"/>
      <c r="E379" s="3"/>
      <c r="F379" s="3"/>
      <c r="G379" s="3"/>
      <c r="H379" s="3"/>
      <c r="I379" s="3"/>
      <c r="J379" s="3"/>
    </row>
    <row r="380" spans="1:10" x14ac:dyDescent="0.25">
      <c r="A380" s="3"/>
      <c r="B380" s="3"/>
      <c r="C380" s="3"/>
      <c r="D380" s="3"/>
      <c r="E380" s="3"/>
      <c r="F380" s="3"/>
      <c r="G380" s="3"/>
      <c r="H380" s="3"/>
      <c r="I380" s="3"/>
      <c r="J380" s="3"/>
    </row>
    <row r="381" spans="1:10" x14ac:dyDescent="0.25">
      <c r="A381" s="3"/>
      <c r="B381" s="3"/>
      <c r="C381" s="3"/>
      <c r="D381" s="3"/>
      <c r="E381" s="3"/>
      <c r="F381" s="3"/>
      <c r="G381" s="3"/>
      <c r="H381" s="3"/>
      <c r="I381" s="3"/>
      <c r="J381" s="3"/>
    </row>
    <row r="382" spans="1:10" x14ac:dyDescent="0.25">
      <c r="A382" s="3"/>
      <c r="B382" s="3"/>
      <c r="C382" s="3"/>
      <c r="D382" s="3"/>
      <c r="E382" s="3"/>
      <c r="F382" s="3"/>
      <c r="G382" s="3"/>
      <c r="H382" s="3"/>
      <c r="I382" s="3"/>
      <c r="J382" s="3"/>
    </row>
    <row r="383" spans="1:10" x14ac:dyDescent="0.25">
      <c r="A383" s="3"/>
      <c r="B383" s="3"/>
      <c r="C383" s="3"/>
      <c r="D383" s="3"/>
      <c r="E383" s="3"/>
      <c r="F383" s="3"/>
      <c r="G383" s="3"/>
      <c r="H383" s="3"/>
      <c r="I383" s="3"/>
      <c r="J383" s="3"/>
    </row>
    <row r="384" spans="1:10" x14ac:dyDescent="0.25">
      <c r="A384" s="3"/>
      <c r="B384" s="3"/>
      <c r="C384" s="3"/>
      <c r="D384" s="3"/>
      <c r="E384" s="3"/>
      <c r="F384" s="3"/>
      <c r="G384" s="3"/>
      <c r="H384" s="3"/>
      <c r="I384" s="3"/>
      <c r="J384" s="3"/>
    </row>
    <row r="385" spans="1:10" x14ac:dyDescent="0.25">
      <c r="A385" s="3"/>
      <c r="B385" s="3"/>
      <c r="C385" s="3"/>
      <c r="D385" s="3"/>
      <c r="E385" s="3"/>
      <c r="F385" s="3"/>
      <c r="G385" s="3"/>
      <c r="H385" s="3"/>
      <c r="I385" s="3"/>
      <c r="J385" s="3"/>
    </row>
    <row r="386" spans="1:10" x14ac:dyDescent="0.25">
      <c r="A386" s="3"/>
      <c r="B386" s="3"/>
      <c r="C386" s="3"/>
      <c r="D386" s="3"/>
      <c r="E386" s="3"/>
      <c r="F386" s="3"/>
      <c r="G386" s="3"/>
      <c r="H386" s="3"/>
      <c r="I386" s="3"/>
      <c r="J386" s="3"/>
    </row>
    <row r="387" spans="1:10" x14ac:dyDescent="0.25">
      <c r="A387" s="3"/>
      <c r="B387" s="3"/>
      <c r="C387" s="3"/>
      <c r="D387" s="3"/>
      <c r="E387" s="3"/>
      <c r="F387" s="3"/>
      <c r="G387" s="3"/>
      <c r="H387" s="3"/>
      <c r="I387" s="3"/>
      <c r="J387" s="3"/>
    </row>
    <row r="388" spans="1:10" x14ac:dyDescent="0.25">
      <c r="A388" s="3"/>
      <c r="B388" s="3"/>
      <c r="C388" s="3"/>
      <c r="D388" s="3"/>
      <c r="E388" s="3"/>
      <c r="F388" s="3"/>
      <c r="G388" s="3"/>
      <c r="H388" s="3"/>
      <c r="I388" s="3"/>
      <c r="J388" s="3"/>
    </row>
    <row r="389" spans="1:10" x14ac:dyDescent="0.25">
      <c r="A389" s="3"/>
      <c r="B389" s="3"/>
      <c r="C389" s="3"/>
      <c r="D389" s="3"/>
      <c r="E389" s="3"/>
      <c r="F389" s="3"/>
      <c r="G389" s="3"/>
      <c r="H389" s="3"/>
      <c r="I389" s="3"/>
      <c r="J389" s="3"/>
    </row>
    <row r="390" spans="1:10" x14ac:dyDescent="0.25">
      <c r="A390" s="3"/>
      <c r="B390" s="3"/>
      <c r="C390" s="3"/>
      <c r="D390" s="3"/>
      <c r="E390" s="3"/>
      <c r="F390" s="3"/>
      <c r="G390" s="3"/>
      <c r="H390" s="3"/>
      <c r="I390" s="3"/>
      <c r="J390" s="3"/>
    </row>
    <row r="391" spans="1:10" x14ac:dyDescent="0.25">
      <c r="A391" s="3"/>
      <c r="B391" s="3"/>
      <c r="C391" s="3"/>
      <c r="D391" s="3"/>
      <c r="E391" s="3"/>
      <c r="F391" s="3"/>
      <c r="G391" s="3"/>
      <c r="H391" s="3"/>
      <c r="I391" s="3"/>
      <c r="J391" s="3"/>
    </row>
    <row r="392" spans="1:10" x14ac:dyDescent="0.25">
      <c r="A392" s="3"/>
      <c r="B392" s="3"/>
      <c r="C392" s="3"/>
      <c r="D392" s="3"/>
      <c r="E392" s="3"/>
      <c r="F392" s="3"/>
      <c r="G392" s="3"/>
      <c r="H392" s="3"/>
      <c r="I392" s="3"/>
      <c r="J392" s="3"/>
    </row>
    <row r="393" spans="1:10" x14ac:dyDescent="0.25">
      <c r="A393" s="3"/>
      <c r="B393" s="3"/>
      <c r="C393" s="3"/>
      <c r="D393" s="3"/>
      <c r="E393" s="3"/>
      <c r="F393" s="3"/>
      <c r="G393" s="3"/>
      <c r="H393" s="3"/>
      <c r="I393" s="3"/>
      <c r="J393" s="3"/>
    </row>
    <row r="394" spans="1:10" x14ac:dyDescent="0.25">
      <c r="A394" s="3"/>
      <c r="B394" s="3"/>
      <c r="C394" s="3"/>
      <c r="D394" s="3"/>
      <c r="E394" s="3"/>
      <c r="F394" s="3"/>
      <c r="G394" s="3"/>
      <c r="H394" s="3"/>
      <c r="I394" s="3"/>
      <c r="J394" s="3"/>
    </row>
    <row r="395" spans="1:10" x14ac:dyDescent="0.25">
      <c r="A395" s="3"/>
      <c r="B395" s="3"/>
      <c r="C395" s="3"/>
      <c r="D395" s="3"/>
      <c r="E395" s="3"/>
      <c r="F395" s="3"/>
      <c r="G395" s="3"/>
      <c r="H395" s="3"/>
      <c r="I395" s="3"/>
      <c r="J395" s="3"/>
    </row>
    <row r="396" spans="1:10" x14ac:dyDescent="0.25">
      <c r="A396" s="3"/>
      <c r="B396" s="3"/>
      <c r="C396" s="3"/>
      <c r="D396" s="3"/>
      <c r="E396" s="3"/>
      <c r="F396" s="3"/>
      <c r="G396" s="3"/>
      <c r="H396" s="3"/>
      <c r="I396" s="3"/>
      <c r="J396" s="3"/>
    </row>
    <row r="397" spans="1:10" x14ac:dyDescent="0.25">
      <c r="A397" s="3"/>
      <c r="B397" s="3"/>
      <c r="C397" s="3"/>
      <c r="D397" s="3"/>
      <c r="E397" s="3"/>
      <c r="F397" s="3"/>
      <c r="G397" s="3"/>
      <c r="H397" s="3"/>
      <c r="I397" s="3"/>
      <c r="J397" s="3"/>
    </row>
    <row r="398" spans="1:10" x14ac:dyDescent="0.25">
      <c r="A398" s="3"/>
      <c r="B398" s="3"/>
      <c r="C398" s="3"/>
      <c r="D398" s="3"/>
      <c r="E398" s="3"/>
      <c r="F398" s="3"/>
      <c r="G398" s="3"/>
      <c r="H398" s="3"/>
      <c r="I398" s="3"/>
      <c r="J398" s="3"/>
    </row>
    <row r="399" spans="1:10" x14ac:dyDescent="0.25">
      <c r="A399" s="3"/>
      <c r="B399" s="3"/>
      <c r="C399" s="3"/>
      <c r="D399" s="3"/>
      <c r="E399" s="3"/>
      <c r="F399" s="3"/>
      <c r="G399" s="3"/>
      <c r="H399" s="3"/>
      <c r="I399" s="3"/>
      <c r="J399" s="3"/>
    </row>
    <row r="400" spans="1:10" x14ac:dyDescent="0.25">
      <c r="A400" s="3"/>
      <c r="B400" s="3"/>
      <c r="C400" s="3"/>
      <c r="D400" s="3"/>
      <c r="E400" s="3"/>
      <c r="F400" s="3"/>
      <c r="G400" s="3"/>
      <c r="H400" s="3"/>
      <c r="I400" s="3"/>
      <c r="J400" s="3"/>
    </row>
    <row r="401" spans="1:10" x14ac:dyDescent="0.25">
      <c r="A401" s="3"/>
      <c r="B401" s="3"/>
      <c r="C401" s="3"/>
      <c r="D401" s="3"/>
      <c r="E401" s="3"/>
      <c r="F401" s="3"/>
      <c r="G401" s="3"/>
      <c r="H401" s="3"/>
      <c r="I401" s="3"/>
      <c r="J401" s="3"/>
    </row>
    <row r="402" spans="1:10" x14ac:dyDescent="0.25">
      <c r="A402" s="3"/>
      <c r="B402" s="3"/>
      <c r="C402" s="3"/>
      <c r="D402" s="3"/>
      <c r="E402" s="3"/>
      <c r="F402" s="3"/>
      <c r="G402" s="3"/>
      <c r="H402" s="3"/>
      <c r="I402" s="3"/>
      <c r="J402" s="3"/>
    </row>
    <row r="403" spans="1:10" x14ac:dyDescent="0.25">
      <c r="A403" s="3"/>
      <c r="B403" s="3"/>
      <c r="C403" s="3"/>
      <c r="D403" s="3"/>
      <c r="E403" s="3"/>
      <c r="F403" s="3"/>
      <c r="G403" s="3"/>
      <c r="H403" s="3"/>
      <c r="I403" s="3"/>
      <c r="J403" s="3"/>
    </row>
    <row r="404" spans="1:10" x14ac:dyDescent="0.25">
      <c r="A404" s="3"/>
      <c r="B404" s="3"/>
      <c r="C404" s="3"/>
      <c r="D404" s="3"/>
      <c r="E404" s="3"/>
      <c r="F404" s="3"/>
      <c r="G404" s="3"/>
      <c r="H404" s="3"/>
      <c r="I404" s="3"/>
      <c r="J404" s="3"/>
    </row>
    <row r="405" spans="1:10" x14ac:dyDescent="0.25">
      <c r="A405" s="3"/>
      <c r="B405" s="3"/>
      <c r="C405" s="3"/>
      <c r="D405" s="3"/>
      <c r="E405" s="3"/>
      <c r="F405" s="3"/>
      <c r="G405" s="3"/>
      <c r="H405" s="3"/>
      <c r="I405" s="3"/>
      <c r="J405" s="3"/>
    </row>
    <row r="406" spans="1:10" x14ac:dyDescent="0.25">
      <c r="A406" s="3"/>
      <c r="B406" s="3"/>
      <c r="C406" s="3"/>
      <c r="D406" s="3"/>
      <c r="E406" s="3"/>
      <c r="F406" s="3"/>
      <c r="G406" s="3"/>
      <c r="H406" s="3"/>
      <c r="I406" s="3"/>
      <c r="J406" s="3"/>
    </row>
    <row r="407" spans="1:10" x14ac:dyDescent="0.25">
      <c r="A407" s="3"/>
      <c r="B407" s="3"/>
      <c r="C407" s="3"/>
      <c r="D407" s="3"/>
      <c r="E407" s="3"/>
      <c r="F407" s="3"/>
      <c r="G407" s="3"/>
      <c r="H407" s="3"/>
      <c r="I407" s="3"/>
      <c r="J407" s="3"/>
    </row>
    <row r="408" spans="1:10" x14ac:dyDescent="0.25">
      <c r="A408" s="3"/>
      <c r="B408" s="3"/>
      <c r="C408" s="3"/>
      <c r="D408" s="3"/>
      <c r="E408" s="3"/>
      <c r="F408" s="3"/>
      <c r="G408" s="3"/>
      <c r="H408" s="3"/>
      <c r="I408" s="3"/>
      <c r="J408" s="3"/>
    </row>
    <row r="409" spans="1:10" x14ac:dyDescent="0.25">
      <c r="A409" s="3"/>
      <c r="B409" s="3"/>
      <c r="C409" s="3"/>
      <c r="D409" s="3"/>
      <c r="E409" s="3"/>
      <c r="F409" s="3"/>
      <c r="G409" s="3"/>
      <c r="H409" s="3"/>
      <c r="I409" s="3"/>
      <c r="J409" s="3"/>
    </row>
    <row r="410" spans="1:10" x14ac:dyDescent="0.25">
      <c r="A410" s="3"/>
      <c r="B410" s="3"/>
      <c r="C410" s="3"/>
      <c r="D410" s="3"/>
      <c r="E410" s="3"/>
      <c r="F410" s="3"/>
      <c r="G410" s="3"/>
      <c r="H410" s="3"/>
      <c r="I410" s="3"/>
      <c r="J410" s="3"/>
    </row>
    <row r="411" spans="1:10" x14ac:dyDescent="0.25">
      <c r="A411" s="3"/>
      <c r="B411" s="3"/>
      <c r="C411" s="3"/>
      <c r="D411" s="3"/>
      <c r="E411" s="3"/>
      <c r="F411" s="3"/>
      <c r="G411" s="3"/>
      <c r="H411" s="3"/>
      <c r="I411" s="3"/>
      <c r="J411" s="3"/>
    </row>
    <row r="412" spans="1:10" x14ac:dyDescent="0.25">
      <c r="A412" s="3"/>
      <c r="B412" s="3"/>
      <c r="C412" s="3"/>
      <c r="D412" s="3"/>
      <c r="E412" s="3"/>
      <c r="F412" s="3"/>
      <c r="G412" s="3"/>
      <c r="H412" s="3"/>
      <c r="I412" s="3"/>
      <c r="J412" s="3"/>
    </row>
    <row r="413" spans="1:10" x14ac:dyDescent="0.25">
      <c r="A413" s="3"/>
      <c r="B413" s="3"/>
      <c r="C413" s="3"/>
      <c r="D413" s="3"/>
      <c r="E413" s="3"/>
      <c r="F413" s="3"/>
      <c r="G413" s="3"/>
      <c r="H413" s="3"/>
      <c r="I413" s="3"/>
      <c r="J413" s="3"/>
    </row>
    <row r="414" spans="1:10" x14ac:dyDescent="0.25">
      <c r="A414" s="3"/>
      <c r="B414" s="3"/>
      <c r="C414" s="3"/>
      <c r="D414" s="3"/>
      <c r="E414" s="3"/>
      <c r="F414" s="3"/>
      <c r="G414" s="3"/>
      <c r="H414" s="3"/>
      <c r="I414" s="3"/>
      <c r="J414" s="3"/>
    </row>
    <row r="415" spans="1:10" x14ac:dyDescent="0.25">
      <c r="A415" s="3"/>
      <c r="B415" s="3"/>
      <c r="C415" s="3"/>
      <c r="D415" s="3"/>
      <c r="E415" s="3"/>
      <c r="F415" s="3"/>
      <c r="G415" s="3"/>
      <c r="H415" s="3"/>
      <c r="I415" s="3"/>
      <c r="J415" s="3"/>
    </row>
    <row r="416" spans="1:10" x14ac:dyDescent="0.25">
      <c r="A416" s="3"/>
      <c r="B416" s="3"/>
      <c r="C416" s="3"/>
      <c r="D416" s="3"/>
      <c r="E416" s="3"/>
      <c r="F416" s="3"/>
      <c r="G416" s="3"/>
      <c r="H416" s="3"/>
      <c r="I416" s="3"/>
      <c r="J416" s="3"/>
    </row>
    <row r="417" spans="1:10" x14ac:dyDescent="0.25">
      <c r="A417" s="3"/>
      <c r="B417" s="3"/>
      <c r="C417" s="3"/>
      <c r="D417" s="3"/>
      <c r="E417" s="3"/>
      <c r="F417" s="3"/>
      <c r="G417" s="3"/>
      <c r="H417" s="3"/>
      <c r="I417" s="3"/>
      <c r="J417" s="3"/>
    </row>
    <row r="418" spans="1:10" x14ac:dyDescent="0.25">
      <c r="A418" s="3"/>
      <c r="B418" s="3"/>
      <c r="C418" s="3"/>
      <c r="D418" s="3"/>
      <c r="E418" s="3"/>
      <c r="F418" s="3"/>
      <c r="G418" s="3"/>
      <c r="H418" s="3"/>
      <c r="I418" s="3"/>
      <c r="J418" s="3"/>
    </row>
    <row r="419" spans="1:10" x14ac:dyDescent="0.25">
      <c r="A419" s="3"/>
      <c r="B419" s="3"/>
      <c r="C419" s="3"/>
      <c r="D419" s="3"/>
      <c r="E419" s="3"/>
      <c r="F419" s="3"/>
      <c r="G419" s="3"/>
      <c r="H419" s="3"/>
      <c r="I419" s="3"/>
      <c r="J419" s="3"/>
    </row>
    <row r="420" spans="1:10" x14ac:dyDescent="0.25">
      <c r="A420" s="3"/>
      <c r="B420" s="3"/>
      <c r="C420" s="3"/>
      <c r="D420" s="3"/>
      <c r="E420" s="3"/>
      <c r="F420" s="3"/>
      <c r="G420" s="3"/>
      <c r="H420" s="3"/>
      <c r="I420" s="3"/>
      <c r="J420" s="3"/>
    </row>
    <row r="421" spans="1:10" x14ac:dyDescent="0.25">
      <c r="A421" s="3"/>
      <c r="B421" s="3"/>
      <c r="C421" s="3"/>
      <c r="D421" s="3"/>
      <c r="E421" s="3"/>
      <c r="F421" s="3"/>
      <c r="G421" s="3"/>
      <c r="H421" s="3"/>
      <c r="I421" s="3"/>
      <c r="J421" s="3"/>
    </row>
    <row r="422" spans="1:10" x14ac:dyDescent="0.25">
      <c r="A422" s="3"/>
      <c r="B422" s="3"/>
      <c r="C422" s="3"/>
      <c r="D422" s="3"/>
      <c r="E422" s="3"/>
      <c r="F422" s="3"/>
      <c r="G422" s="3"/>
      <c r="H422" s="3"/>
      <c r="I422" s="3"/>
      <c r="J422" s="3"/>
    </row>
    <row r="423" spans="1:10" x14ac:dyDescent="0.25">
      <c r="A423" s="3"/>
      <c r="B423" s="3"/>
      <c r="C423" s="3"/>
      <c r="D423" s="3"/>
      <c r="E423" s="3"/>
      <c r="F423" s="3"/>
      <c r="G423" s="3"/>
      <c r="H423" s="3"/>
      <c r="I423" s="3"/>
      <c r="J423" s="3"/>
    </row>
    <row r="424" spans="1:10" x14ac:dyDescent="0.25">
      <c r="A424" s="3"/>
      <c r="B424" s="3"/>
      <c r="C424" s="3"/>
      <c r="D424" s="3"/>
      <c r="E424" s="3"/>
      <c r="F424" s="3"/>
      <c r="G424" s="3"/>
      <c r="H424" s="3"/>
      <c r="I424" s="3"/>
      <c r="J424" s="3"/>
    </row>
    <row r="425" spans="1:10" x14ac:dyDescent="0.25">
      <c r="A425" s="3"/>
      <c r="B425" s="3"/>
      <c r="C425" s="3"/>
      <c r="D425" s="3"/>
      <c r="E425" s="3"/>
      <c r="F425" s="3"/>
      <c r="G425" s="3"/>
      <c r="H425" s="3"/>
      <c r="I425" s="3"/>
      <c r="J425" s="3"/>
    </row>
    <row r="426" spans="1:10" x14ac:dyDescent="0.25">
      <c r="A426" s="3"/>
      <c r="B426" s="3"/>
      <c r="C426" s="3"/>
      <c r="D426" s="3"/>
      <c r="E426" s="3"/>
      <c r="F426" s="3"/>
      <c r="G426" s="3"/>
      <c r="H426" s="3"/>
      <c r="I426" s="3"/>
      <c r="J426" s="3"/>
    </row>
    <row r="427" spans="1:10" x14ac:dyDescent="0.25">
      <c r="A427" s="3"/>
      <c r="B427" s="3"/>
      <c r="C427" s="3"/>
      <c r="D427" s="3"/>
      <c r="E427" s="3"/>
      <c r="F427" s="3"/>
      <c r="G427" s="3"/>
      <c r="H427" s="3"/>
      <c r="I427" s="3"/>
      <c r="J427" s="3"/>
    </row>
    <row r="428" spans="1:10" x14ac:dyDescent="0.25">
      <c r="A428" s="3"/>
      <c r="B428" s="3"/>
      <c r="C428" s="3"/>
      <c r="D428" s="3"/>
      <c r="E428" s="3"/>
      <c r="F428" s="3"/>
      <c r="G428" s="3"/>
      <c r="H428" s="3"/>
      <c r="I428" s="3"/>
      <c r="J428" s="3"/>
    </row>
    <row r="429" spans="1:10" x14ac:dyDescent="0.25">
      <c r="A429" s="3"/>
      <c r="B429" s="3"/>
      <c r="C429" s="3"/>
      <c r="D429" s="3"/>
      <c r="E429" s="3"/>
      <c r="F429" s="3"/>
      <c r="G429" s="3"/>
      <c r="H429" s="3"/>
      <c r="I429" s="3"/>
      <c r="J429" s="3"/>
    </row>
    <row r="430" spans="1:10" x14ac:dyDescent="0.25">
      <c r="A430" s="3"/>
      <c r="B430" s="3"/>
      <c r="C430" s="3"/>
      <c r="D430" s="3"/>
      <c r="E430" s="3"/>
      <c r="F430" s="3"/>
      <c r="G430" s="3"/>
      <c r="H430" s="3"/>
      <c r="I430" s="3"/>
      <c r="J430" s="3"/>
    </row>
    <row r="431" spans="1:10" x14ac:dyDescent="0.25">
      <c r="A431" s="3"/>
      <c r="B431" s="3"/>
      <c r="C431" s="3"/>
      <c r="D431" s="3"/>
      <c r="E431" s="3"/>
      <c r="F431" s="3"/>
      <c r="G431" s="3"/>
      <c r="H431" s="3"/>
      <c r="I431" s="3"/>
      <c r="J431" s="3"/>
    </row>
    <row r="432" spans="1:10" x14ac:dyDescent="0.25">
      <c r="A432" s="3"/>
      <c r="B432" s="3"/>
      <c r="C432" s="3"/>
      <c r="D432" s="3"/>
      <c r="E432" s="3"/>
      <c r="F432" s="3"/>
      <c r="G432" s="3"/>
      <c r="H432" s="3"/>
      <c r="I432" s="3"/>
      <c r="J432" s="3"/>
    </row>
    <row r="433" spans="1:10" x14ac:dyDescent="0.25">
      <c r="A433" s="3"/>
      <c r="B433" s="3"/>
      <c r="C433" s="3"/>
      <c r="D433" s="3"/>
      <c r="E433" s="3"/>
      <c r="F433" s="3"/>
      <c r="G433" s="3"/>
      <c r="H433" s="3"/>
      <c r="I433" s="3"/>
      <c r="J433" s="3"/>
    </row>
    <row r="434" spans="1:10" x14ac:dyDescent="0.25">
      <c r="A434" s="3"/>
      <c r="B434" s="3"/>
      <c r="C434" s="3"/>
      <c r="D434" s="3"/>
      <c r="E434" s="3"/>
      <c r="F434" s="3"/>
      <c r="G434" s="3"/>
      <c r="H434" s="3"/>
      <c r="I434" s="3"/>
      <c r="J434" s="3"/>
    </row>
    <row r="435" spans="1:10" x14ac:dyDescent="0.25">
      <c r="A435" s="3"/>
      <c r="B435" s="3"/>
      <c r="C435" s="3"/>
      <c r="D435" s="3"/>
      <c r="E435" s="3"/>
      <c r="F435" s="3"/>
      <c r="G435" s="3"/>
      <c r="H435" s="3"/>
      <c r="I435" s="3"/>
      <c r="J435" s="3"/>
    </row>
    <row r="436" spans="1:10" x14ac:dyDescent="0.25">
      <c r="A436" s="3"/>
      <c r="B436" s="3"/>
      <c r="C436" s="3"/>
      <c r="D436" s="3"/>
      <c r="E436" s="3"/>
      <c r="F436" s="3"/>
      <c r="G436" s="3"/>
      <c r="H436" s="3"/>
      <c r="I436" s="3"/>
      <c r="J436" s="3"/>
    </row>
    <row r="437" spans="1:10" x14ac:dyDescent="0.25">
      <c r="A437" s="3"/>
      <c r="B437" s="3"/>
      <c r="C437" s="3"/>
      <c r="D437" s="3"/>
      <c r="E437" s="3"/>
      <c r="F437" s="3"/>
      <c r="G437" s="3"/>
      <c r="H437" s="3"/>
      <c r="I437" s="3"/>
      <c r="J437" s="3"/>
    </row>
    <row r="438" spans="1:10" x14ac:dyDescent="0.25">
      <c r="A438" s="3"/>
      <c r="B438" s="3"/>
      <c r="C438" s="3"/>
      <c r="D438" s="3"/>
      <c r="E438" s="3"/>
      <c r="F438" s="3"/>
      <c r="G438" s="3"/>
      <c r="H438" s="3"/>
      <c r="I438" s="3"/>
      <c r="J438" s="3"/>
    </row>
    <row r="439" spans="1:10" x14ac:dyDescent="0.25">
      <c r="A439" s="3"/>
      <c r="B439" s="3"/>
      <c r="C439" s="3"/>
      <c r="D439" s="3"/>
      <c r="E439" s="3"/>
      <c r="F439" s="3"/>
      <c r="G439" s="3"/>
      <c r="H439" s="3"/>
      <c r="I439" s="3"/>
      <c r="J439" s="3"/>
    </row>
    <row r="440" spans="1:10" x14ac:dyDescent="0.25">
      <c r="A440" s="3"/>
      <c r="B440" s="3"/>
      <c r="C440" s="3"/>
      <c r="D440" s="3"/>
      <c r="E440" s="3"/>
      <c r="F440" s="3"/>
      <c r="G440" s="3"/>
      <c r="H440" s="3"/>
      <c r="I440" s="3"/>
      <c r="J440" s="3"/>
    </row>
    <row r="441" spans="1:10" x14ac:dyDescent="0.25">
      <c r="A441" s="3"/>
      <c r="B441" s="3"/>
      <c r="C441" s="3"/>
      <c r="D441" s="3"/>
      <c r="E441" s="3"/>
      <c r="F441" s="3"/>
      <c r="G441" s="3"/>
      <c r="H441" s="3"/>
      <c r="I441" s="3"/>
      <c r="J441" s="3"/>
    </row>
    <row r="442" spans="1:10" x14ac:dyDescent="0.25">
      <c r="A442" s="3"/>
      <c r="B442" s="3"/>
      <c r="C442" s="3"/>
      <c r="D442" s="3"/>
      <c r="E442" s="3"/>
      <c r="F442" s="3"/>
      <c r="G442" s="3"/>
      <c r="H442" s="3"/>
      <c r="I442" s="3"/>
      <c r="J442" s="3"/>
    </row>
    <row r="443" spans="1:10" x14ac:dyDescent="0.25">
      <c r="A443" s="3"/>
      <c r="B443" s="3"/>
      <c r="C443" s="3"/>
      <c r="D443" s="3"/>
      <c r="E443" s="3"/>
      <c r="F443" s="3"/>
      <c r="G443" s="3"/>
      <c r="H443" s="3"/>
      <c r="I443" s="3"/>
      <c r="J443" s="3"/>
    </row>
    <row r="444" spans="1:10" x14ac:dyDescent="0.25">
      <c r="A444" s="3"/>
      <c r="B444" s="3"/>
      <c r="C444" s="3"/>
      <c r="D444" s="3"/>
      <c r="E444" s="3"/>
      <c r="F444" s="3"/>
      <c r="G444" s="3"/>
      <c r="H444" s="3"/>
      <c r="I444" s="3"/>
      <c r="J444" s="3"/>
    </row>
    <row r="445" spans="1:10" x14ac:dyDescent="0.25">
      <c r="A445" s="3"/>
      <c r="B445" s="3"/>
      <c r="C445" s="3"/>
      <c r="D445" s="3"/>
      <c r="E445" s="3"/>
      <c r="F445" s="3"/>
      <c r="G445" s="3"/>
      <c r="H445" s="3"/>
      <c r="I445" s="3"/>
      <c r="J445" s="3"/>
    </row>
    <row r="446" spans="1:10" x14ac:dyDescent="0.25">
      <c r="A446" s="3"/>
      <c r="B446" s="3"/>
      <c r="C446" s="3"/>
      <c r="D446" s="3"/>
      <c r="E446" s="3"/>
      <c r="F446" s="3"/>
      <c r="G446" s="3"/>
      <c r="H446" s="3"/>
      <c r="I446" s="3"/>
      <c r="J446" s="3"/>
    </row>
    <row r="447" spans="1:10" x14ac:dyDescent="0.25">
      <c r="A447" s="3"/>
      <c r="B447" s="3"/>
      <c r="C447" s="3"/>
      <c r="D447" s="3"/>
      <c r="E447" s="3"/>
      <c r="F447" s="3"/>
      <c r="G447" s="3"/>
      <c r="H447" s="3"/>
      <c r="I447" s="3"/>
      <c r="J447" s="3"/>
    </row>
    <row r="448" spans="1:10" x14ac:dyDescent="0.25">
      <c r="A448" s="3"/>
      <c r="B448" s="3"/>
      <c r="C448" s="3"/>
      <c r="D448" s="3"/>
      <c r="E448" s="3"/>
      <c r="F448" s="3"/>
      <c r="G448" s="3"/>
      <c r="H448" s="3"/>
      <c r="I448" s="3"/>
      <c r="J448" s="3"/>
    </row>
    <row r="449" spans="1:10" x14ac:dyDescent="0.25">
      <c r="A449" s="3"/>
      <c r="B449" s="3"/>
      <c r="C449" s="3"/>
      <c r="D449" s="3"/>
      <c r="E449" s="3"/>
      <c r="F449" s="3"/>
      <c r="G449" s="3"/>
      <c r="H449" s="3"/>
      <c r="I449" s="3"/>
      <c r="J449" s="3"/>
    </row>
    <row r="450" spans="1:10" x14ac:dyDescent="0.25">
      <c r="A450" s="3"/>
      <c r="B450" s="3"/>
      <c r="C450" s="3"/>
      <c r="D450" s="3"/>
      <c r="E450" s="3"/>
      <c r="F450" s="3"/>
      <c r="G450" s="3"/>
      <c r="H450" s="3"/>
      <c r="I450" s="3"/>
      <c r="J450" s="3"/>
    </row>
    <row r="451" spans="1:10" x14ac:dyDescent="0.25">
      <c r="A451" s="3"/>
      <c r="B451" s="3"/>
      <c r="C451" s="3"/>
      <c r="D451" s="3"/>
      <c r="E451" s="3"/>
      <c r="F451" s="3"/>
      <c r="G451" s="3"/>
      <c r="H451" s="3"/>
      <c r="I451" s="3"/>
      <c r="J451" s="3"/>
    </row>
    <row r="452" spans="1:10" x14ac:dyDescent="0.25">
      <c r="A452" s="3"/>
      <c r="B452" s="3"/>
      <c r="C452" s="3"/>
      <c r="D452" s="3"/>
      <c r="E452" s="3"/>
      <c r="F452" s="3"/>
      <c r="G452" s="3"/>
      <c r="H452" s="3"/>
      <c r="I452" s="3"/>
      <c r="J452" s="3"/>
    </row>
    <row r="453" spans="1:10" x14ac:dyDescent="0.25">
      <c r="A453" s="3"/>
      <c r="B453" s="3"/>
      <c r="C453" s="3"/>
      <c r="D453" s="3"/>
      <c r="E453" s="3"/>
      <c r="F453" s="3"/>
      <c r="G453" s="3"/>
      <c r="H453" s="3"/>
      <c r="I453" s="3"/>
      <c r="J453" s="3"/>
    </row>
    <row r="454" spans="1:10" x14ac:dyDescent="0.25">
      <c r="A454" s="3"/>
      <c r="B454" s="3"/>
      <c r="C454" s="3"/>
      <c r="D454" s="3"/>
      <c r="E454" s="3"/>
      <c r="F454" s="3"/>
      <c r="G454" s="3"/>
      <c r="H454" s="3"/>
      <c r="I454" s="3"/>
      <c r="J454" s="3"/>
    </row>
    <row r="455" spans="1:10" x14ac:dyDescent="0.25">
      <c r="A455" s="3"/>
      <c r="B455" s="3"/>
      <c r="C455" s="3"/>
      <c r="D455" s="3"/>
      <c r="E455" s="3"/>
      <c r="F455" s="3"/>
      <c r="G455" s="3"/>
      <c r="H455" s="3"/>
      <c r="I455" s="3"/>
      <c r="J455" s="3"/>
    </row>
    <row r="456" spans="1:10" x14ac:dyDescent="0.25">
      <c r="A456" s="3"/>
      <c r="B456" s="3"/>
      <c r="C456" s="3"/>
      <c r="D456" s="3"/>
      <c r="E456" s="3"/>
      <c r="F456" s="3"/>
      <c r="G456" s="3"/>
      <c r="H456" s="3"/>
      <c r="I456" s="3"/>
      <c r="J456" s="3"/>
    </row>
    <row r="457" spans="1:10" x14ac:dyDescent="0.25">
      <c r="A457" s="3"/>
      <c r="B457" s="3"/>
      <c r="C457" s="3"/>
      <c r="D457" s="3"/>
      <c r="E457" s="3"/>
      <c r="F457" s="3"/>
      <c r="G457" s="3"/>
      <c r="H457" s="3"/>
      <c r="I457" s="3"/>
      <c r="J457" s="3"/>
    </row>
    <row r="458" spans="1:10" x14ac:dyDescent="0.25">
      <c r="A458" s="3"/>
      <c r="B458" s="3"/>
      <c r="C458" s="3"/>
      <c r="D458" s="3"/>
      <c r="E458" s="3"/>
      <c r="F458" s="3"/>
      <c r="G458" s="3"/>
      <c r="H458" s="3"/>
      <c r="I458" s="3"/>
      <c r="J458" s="3"/>
    </row>
    <row r="459" spans="1:10" x14ac:dyDescent="0.25">
      <c r="A459" s="3"/>
      <c r="B459" s="3"/>
      <c r="C459" s="3"/>
      <c r="D459" s="3"/>
      <c r="E459" s="3"/>
      <c r="F459" s="3"/>
      <c r="G459" s="3"/>
      <c r="H459" s="3"/>
      <c r="I459" s="3"/>
      <c r="J459" s="3"/>
    </row>
    <row r="460" spans="1:10" x14ac:dyDescent="0.25">
      <c r="A460" s="3"/>
      <c r="B460" s="3"/>
      <c r="C460" s="3"/>
      <c r="D460" s="3"/>
      <c r="E460" s="3"/>
      <c r="F460" s="3"/>
      <c r="G460" s="3"/>
      <c r="H460" s="3"/>
      <c r="I460" s="3"/>
      <c r="J460" s="3"/>
    </row>
    <row r="461" spans="1:10" x14ac:dyDescent="0.25">
      <c r="A461" s="3"/>
      <c r="B461" s="3"/>
      <c r="C461" s="3"/>
      <c r="D461" s="3"/>
      <c r="E461" s="3"/>
      <c r="F461" s="3"/>
      <c r="G461" s="3"/>
      <c r="H461" s="3"/>
      <c r="I461" s="3"/>
      <c r="J461" s="3"/>
    </row>
    <row r="462" spans="1:10" x14ac:dyDescent="0.25">
      <c r="A462" s="3"/>
      <c r="B462" s="3"/>
      <c r="C462" s="3"/>
      <c r="D462" s="3"/>
      <c r="E462" s="3"/>
      <c r="F462" s="3"/>
      <c r="G462" s="3"/>
      <c r="H462" s="3"/>
      <c r="I462" s="3"/>
      <c r="J462" s="3"/>
    </row>
    <row r="463" spans="1:10" x14ac:dyDescent="0.25">
      <c r="A463" s="3"/>
      <c r="B463" s="3"/>
      <c r="C463" s="3"/>
      <c r="D463" s="3"/>
      <c r="E463" s="3"/>
      <c r="F463" s="3"/>
      <c r="G463" s="3"/>
      <c r="H463" s="3"/>
      <c r="I463" s="3"/>
      <c r="J463" s="3"/>
    </row>
    <row r="464" spans="1:10" x14ac:dyDescent="0.25">
      <c r="A464" s="3"/>
      <c r="B464" s="3"/>
      <c r="C464" s="3"/>
      <c r="D464" s="3"/>
      <c r="E464" s="3"/>
      <c r="F464" s="3"/>
      <c r="G464" s="3"/>
      <c r="H464" s="3"/>
      <c r="I464" s="3"/>
      <c r="J464" s="3"/>
    </row>
    <row r="465" spans="1:10" x14ac:dyDescent="0.25">
      <c r="A465" s="3"/>
      <c r="B465" s="3"/>
      <c r="C465" s="3"/>
      <c r="D465" s="3"/>
      <c r="E465" s="3"/>
      <c r="F465" s="3"/>
      <c r="G465" s="3"/>
      <c r="H465" s="3"/>
      <c r="I465" s="3"/>
      <c r="J465" s="3"/>
    </row>
    <row r="466" spans="1:10" x14ac:dyDescent="0.25">
      <c r="A466" s="3"/>
      <c r="B466" s="3"/>
      <c r="C466" s="3"/>
      <c r="D466" s="3"/>
      <c r="E466" s="3"/>
      <c r="F466" s="3"/>
      <c r="G466" s="3"/>
      <c r="H466" s="3"/>
      <c r="I466" s="3"/>
      <c r="J466" s="3"/>
    </row>
    <row r="467" spans="1:10" x14ac:dyDescent="0.25">
      <c r="A467" s="3"/>
      <c r="B467" s="3"/>
      <c r="C467" s="3"/>
      <c r="D467" s="3"/>
      <c r="E467" s="3"/>
      <c r="F467" s="3"/>
      <c r="G467" s="3"/>
      <c r="H467" s="3"/>
      <c r="I467" s="3"/>
      <c r="J467" s="3"/>
    </row>
    <row r="468" spans="1:10" x14ac:dyDescent="0.25">
      <c r="A468" s="3"/>
      <c r="B468" s="3"/>
      <c r="C468" s="3"/>
      <c r="D468" s="3"/>
      <c r="E468" s="3"/>
      <c r="F468" s="3"/>
      <c r="G468" s="3"/>
      <c r="H468" s="3"/>
      <c r="I468" s="3"/>
      <c r="J468" s="3"/>
    </row>
    <row r="469" spans="1:10" x14ac:dyDescent="0.25">
      <c r="A469" s="3"/>
      <c r="B469" s="3"/>
      <c r="C469" s="3"/>
      <c r="D469" s="3"/>
      <c r="E469" s="3"/>
      <c r="F469" s="3"/>
      <c r="G469" s="3"/>
      <c r="H469" s="3"/>
      <c r="I469" s="3"/>
      <c r="J469" s="3"/>
    </row>
    <row r="470" spans="1:10" x14ac:dyDescent="0.25">
      <c r="A470" s="3"/>
      <c r="B470" s="3"/>
      <c r="C470" s="3"/>
      <c r="D470" s="3"/>
      <c r="E470" s="3"/>
      <c r="F470" s="3"/>
      <c r="G470" s="3"/>
      <c r="H470" s="3"/>
      <c r="I470" s="3"/>
      <c r="J470" s="3"/>
    </row>
    <row r="471" spans="1:10" x14ac:dyDescent="0.25">
      <c r="A471" s="3"/>
      <c r="B471" s="3"/>
      <c r="C471" s="3"/>
      <c r="D471" s="3"/>
      <c r="E471" s="3"/>
      <c r="F471" s="3"/>
      <c r="G471" s="3"/>
      <c r="H471" s="3"/>
      <c r="I471" s="3"/>
      <c r="J471" s="3"/>
    </row>
    <row r="472" spans="1:10" x14ac:dyDescent="0.25">
      <c r="A472" s="3"/>
      <c r="B472" s="3"/>
      <c r="C472" s="3"/>
      <c r="D472" s="3"/>
      <c r="E472" s="3"/>
      <c r="F472" s="3"/>
      <c r="G472" s="3"/>
      <c r="H472" s="3"/>
      <c r="I472" s="3"/>
      <c r="J472" s="3"/>
    </row>
    <row r="473" spans="1:10" x14ac:dyDescent="0.25">
      <c r="A473" s="3"/>
      <c r="B473" s="3"/>
      <c r="C473" s="3"/>
      <c r="D473" s="3"/>
      <c r="E473" s="3"/>
      <c r="F473" s="3"/>
      <c r="G473" s="3"/>
      <c r="H473" s="3"/>
      <c r="I473" s="3"/>
      <c r="J473" s="3"/>
    </row>
    <row r="474" spans="1:10" x14ac:dyDescent="0.25">
      <c r="A474" s="3"/>
      <c r="B474" s="3"/>
      <c r="C474" s="3"/>
      <c r="D474" s="3"/>
      <c r="E474" s="3"/>
      <c r="F474" s="3"/>
      <c r="G474" s="3"/>
      <c r="H474" s="3"/>
      <c r="I474" s="3"/>
      <c r="J474" s="3"/>
    </row>
    <row r="475" spans="1:10" x14ac:dyDescent="0.25">
      <c r="A475" s="3"/>
      <c r="B475" s="3"/>
      <c r="C475" s="3"/>
      <c r="D475" s="3"/>
      <c r="E475" s="3"/>
      <c r="F475" s="3"/>
      <c r="G475" s="3"/>
      <c r="H475" s="3"/>
      <c r="I475" s="3"/>
      <c r="J475" s="3"/>
    </row>
    <row r="476" spans="1:10" x14ac:dyDescent="0.25">
      <c r="A476" s="3"/>
      <c r="B476" s="3"/>
      <c r="C476" s="3"/>
      <c r="D476" s="3"/>
      <c r="E476" s="3"/>
      <c r="F476" s="3"/>
      <c r="G476" s="3"/>
      <c r="H476" s="3"/>
      <c r="I476" s="3"/>
      <c r="J476" s="3"/>
    </row>
    <row r="477" spans="1:10" x14ac:dyDescent="0.25">
      <c r="A477" s="3"/>
      <c r="B477" s="3"/>
      <c r="C477" s="3"/>
      <c r="D477" s="3"/>
      <c r="E477" s="3"/>
      <c r="F477" s="3"/>
      <c r="G477" s="3"/>
      <c r="H477" s="3"/>
      <c r="I477" s="3"/>
      <c r="J477" s="3"/>
    </row>
    <row r="478" spans="1:10" x14ac:dyDescent="0.25">
      <c r="A478" s="3"/>
      <c r="B478" s="3"/>
      <c r="C478" s="3"/>
      <c r="D478" s="3"/>
      <c r="E478" s="3"/>
      <c r="F478" s="3"/>
      <c r="G478" s="3"/>
      <c r="H478" s="3"/>
      <c r="I478" s="3"/>
      <c r="J478" s="3"/>
    </row>
    <row r="479" spans="1:10" x14ac:dyDescent="0.25">
      <c r="A479" s="3"/>
      <c r="B479" s="3"/>
      <c r="C479" s="3"/>
      <c r="D479" s="3"/>
      <c r="E479" s="3"/>
      <c r="F479" s="3"/>
      <c r="G479" s="3"/>
      <c r="H479" s="3"/>
      <c r="I479" s="3"/>
      <c r="J479" s="3"/>
    </row>
    <row r="480" spans="1:10" x14ac:dyDescent="0.25">
      <c r="A480" s="3"/>
      <c r="B480" s="3"/>
      <c r="C480" s="3"/>
      <c r="D480" s="3"/>
      <c r="E480" s="3"/>
      <c r="F480" s="3"/>
      <c r="G480" s="3"/>
      <c r="H480" s="3"/>
      <c r="I480" s="3"/>
      <c r="J480" s="3"/>
    </row>
    <row r="481" spans="1:10" x14ac:dyDescent="0.25">
      <c r="A481" s="3"/>
      <c r="B481" s="3"/>
      <c r="C481" s="3"/>
      <c r="D481" s="3"/>
      <c r="E481" s="3"/>
      <c r="F481" s="3"/>
      <c r="G481" s="3"/>
      <c r="H481" s="3"/>
      <c r="I481" s="3"/>
      <c r="J481" s="3"/>
    </row>
    <row r="482" spans="1:10" x14ac:dyDescent="0.25">
      <c r="A482" s="3"/>
      <c r="B482" s="3"/>
      <c r="C482" s="3"/>
      <c r="D482" s="3"/>
      <c r="E482" s="3"/>
      <c r="F482" s="3"/>
      <c r="G482" s="3"/>
      <c r="H482" s="3"/>
      <c r="I482" s="3"/>
      <c r="J482" s="3"/>
    </row>
    <row r="483" spans="1:10" x14ac:dyDescent="0.25">
      <c r="A483" s="3"/>
      <c r="B483" s="3"/>
      <c r="C483" s="3"/>
      <c r="D483" s="3"/>
      <c r="E483" s="3"/>
      <c r="F483" s="3"/>
      <c r="G483" s="3"/>
      <c r="H483" s="3"/>
      <c r="I483" s="3"/>
      <c r="J483" s="3"/>
    </row>
    <row r="484" spans="1:10" x14ac:dyDescent="0.25">
      <c r="A484" s="3"/>
      <c r="B484" s="3"/>
      <c r="C484" s="3"/>
      <c r="D484" s="3"/>
      <c r="E484" s="3"/>
      <c r="F484" s="3"/>
      <c r="G484" s="3"/>
      <c r="H484" s="3"/>
      <c r="I484" s="3"/>
      <c r="J484" s="3"/>
    </row>
    <row r="485" spans="1:10" x14ac:dyDescent="0.25">
      <c r="A485" s="3"/>
      <c r="B485" s="3"/>
      <c r="C485" s="3"/>
      <c r="D485" s="3"/>
      <c r="E485" s="3"/>
      <c r="F485" s="3"/>
      <c r="G485" s="3"/>
      <c r="H485" s="3"/>
      <c r="I485" s="3"/>
      <c r="J485" s="3"/>
    </row>
    <row r="486" spans="1:10" x14ac:dyDescent="0.25">
      <c r="A486" s="3"/>
      <c r="B486" s="3"/>
      <c r="C486" s="3"/>
      <c r="D486" s="3"/>
      <c r="E486" s="3"/>
      <c r="F486" s="3"/>
      <c r="G486" s="3"/>
      <c r="H486" s="3"/>
      <c r="I486" s="3"/>
      <c r="J486" s="3"/>
    </row>
    <row r="487" spans="1:10" x14ac:dyDescent="0.25">
      <c r="A487" s="3"/>
      <c r="B487" s="3"/>
      <c r="C487" s="3"/>
      <c r="D487" s="3"/>
      <c r="E487" s="3"/>
      <c r="F487" s="3"/>
      <c r="G487" s="3"/>
      <c r="H487" s="3"/>
      <c r="I487" s="3"/>
      <c r="J487" s="3"/>
    </row>
    <row r="488" spans="1:10" x14ac:dyDescent="0.25">
      <c r="A488" s="3"/>
      <c r="B488" s="3"/>
      <c r="C488" s="3"/>
      <c r="D488" s="3"/>
      <c r="E488" s="3"/>
      <c r="F488" s="3"/>
      <c r="G488" s="3"/>
      <c r="H488" s="3"/>
      <c r="I488" s="3"/>
      <c r="J488" s="3"/>
    </row>
    <row r="489" spans="1:10" x14ac:dyDescent="0.25">
      <c r="A489" s="3"/>
      <c r="B489" s="3"/>
      <c r="C489" s="3"/>
      <c r="D489" s="3"/>
      <c r="E489" s="3"/>
      <c r="F489" s="3"/>
      <c r="G489" s="3"/>
      <c r="H489" s="3"/>
      <c r="I489" s="3"/>
      <c r="J489" s="3"/>
    </row>
    <row r="490" spans="1:10" x14ac:dyDescent="0.25">
      <c r="A490" s="3"/>
      <c r="B490" s="3"/>
      <c r="C490" s="3"/>
      <c r="D490" s="3"/>
      <c r="E490" s="3"/>
      <c r="F490" s="3"/>
      <c r="G490" s="3"/>
      <c r="H490" s="3"/>
      <c r="I490" s="3"/>
      <c r="J490" s="3"/>
    </row>
    <row r="491" spans="1:10" x14ac:dyDescent="0.25">
      <c r="A491" s="3"/>
      <c r="B491" s="3"/>
      <c r="C491" s="3"/>
      <c r="D491" s="3"/>
      <c r="E491" s="3"/>
      <c r="F491" s="3"/>
      <c r="G491" s="3"/>
      <c r="H491" s="3"/>
      <c r="I491" s="3"/>
      <c r="J491" s="3"/>
    </row>
    <row r="492" spans="1:10" x14ac:dyDescent="0.25">
      <c r="A492" s="3"/>
      <c r="B492" s="3"/>
      <c r="C492" s="3"/>
      <c r="D492" s="3"/>
      <c r="E492" s="3"/>
      <c r="F492" s="3"/>
      <c r="G492" s="3"/>
      <c r="H492" s="3"/>
      <c r="I492" s="3"/>
      <c r="J492" s="3"/>
    </row>
    <row r="493" spans="1:10" x14ac:dyDescent="0.25">
      <c r="A493" s="3"/>
      <c r="B493" s="3"/>
      <c r="C493" s="3"/>
      <c r="D493" s="3"/>
      <c r="E493" s="3"/>
      <c r="F493" s="3"/>
      <c r="G493" s="3"/>
      <c r="H493" s="3"/>
      <c r="I493" s="3"/>
      <c r="J493" s="3"/>
    </row>
    <row r="494" spans="1:10" x14ac:dyDescent="0.25">
      <c r="A494" s="3"/>
      <c r="B494" s="3"/>
      <c r="C494" s="3"/>
      <c r="D494" s="3"/>
      <c r="E494" s="3"/>
      <c r="F494" s="3"/>
      <c r="G494" s="3"/>
      <c r="H494" s="3"/>
      <c r="I494" s="3"/>
      <c r="J494" s="3"/>
    </row>
    <row r="495" spans="1:10" x14ac:dyDescent="0.25">
      <c r="A495" s="3"/>
      <c r="B495" s="3"/>
      <c r="C495" s="3"/>
      <c r="D495" s="3"/>
      <c r="E495" s="3"/>
      <c r="F495" s="3"/>
      <c r="G495" s="3"/>
      <c r="H495" s="3"/>
      <c r="I495" s="3"/>
      <c r="J495" s="3"/>
    </row>
    <row r="496" spans="1:10" x14ac:dyDescent="0.25">
      <c r="A496" s="3"/>
      <c r="B496" s="3"/>
      <c r="C496" s="3"/>
      <c r="D496" s="3"/>
      <c r="E496" s="3"/>
      <c r="F496" s="3"/>
      <c r="G496" s="3"/>
      <c r="H496" s="3"/>
      <c r="I496" s="3"/>
      <c r="J496" s="3"/>
    </row>
    <row r="497" spans="1:10" x14ac:dyDescent="0.25">
      <c r="A497" s="3"/>
      <c r="B497" s="3"/>
      <c r="C497" s="3"/>
      <c r="D497" s="3"/>
      <c r="E497" s="3"/>
      <c r="F497" s="3"/>
      <c r="G497" s="3"/>
      <c r="H497" s="3"/>
      <c r="I497" s="3"/>
      <c r="J497" s="3"/>
    </row>
    <row r="498" spans="1:10" x14ac:dyDescent="0.25">
      <c r="A498" s="3"/>
      <c r="B498" s="3"/>
      <c r="C498" s="3"/>
      <c r="D498" s="3"/>
      <c r="E498" s="3"/>
      <c r="F498" s="3"/>
      <c r="G498" s="3"/>
      <c r="H498" s="3"/>
      <c r="I498" s="3"/>
      <c r="J498" s="3"/>
    </row>
    <row r="499" spans="1:10" x14ac:dyDescent="0.25">
      <c r="A499" s="3"/>
      <c r="B499" s="3"/>
      <c r="C499" s="3"/>
      <c r="D499" s="3"/>
      <c r="E499" s="3"/>
      <c r="F499" s="3"/>
      <c r="G499" s="3"/>
      <c r="H499" s="3"/>
      <c r="I499" s="3"/>
      <c r="J499" s="3"/>
    </row>
    <row r="500" spans="1:10" x14ac:dyDescent="0.25">
      <c r="A500" s="3"/>
      <c r="B500" s="3"/>
      <c r="C500" s="3"/>
      <c r="D500" s="3"/>
      <c r="E500" s="3"/>
      <c r="F500" s="3"/>
      <c r="G500" s="3"/>
      <c r="H500" s="3"/>
      <c r="I500" s="3"/>
      <c r="J500" s="3"/>
    </row>
    <row r="501" spans="1:10" x14ac:dyDescent="0.25">
      <c r="A501" s="3"/>
      <c r="B501" s="3"/>
      <c r="C501" s="3"/>
      <c r="D501" s="3"/>
      <c r="E501" s="3"/>
      <c r="F501" s="3"/>
      <c r="G501" s="3"/>
      <c r="H501" s="3"/>
      <c r="I501" s="3"/>
      <c r="J501" s="3"/>
    </row>
    <row r="502" spans="1:10" x14ac:dyDescent="0.25">
      <c r="A502" s="3"/>
      <c r="B502" s="3"/>
      <c r="C502" s="3"/>
      <c r="D502" s="3"/>
      <c r="E502" s="3"/>
      <c r="F502" s="3"/>
      <c r="G502" s="3"/>
      <c r="H502" s="3"/>
      <c r="I502" s="3"/>
      <c r="J502" s="3"/>
    </row>
    <row r="503" spans="1:10" x14ac:dyDescent="0.25">
      <c r="A503" s="3"/>
      <c r="B503" s="3"/>
      <c r="C503" s="3"/>
      <c r="D503" s="3"/>
      <c r="E503" s="3"/>
      <c r="F503" s="3"/>
      <c r="G503" s="3"/>
      <c r="H503" s="3"/>
      <c r="I503" s="3"/>
      <c r="J503" s="3"/>
    </row>
    <row r="504" spans="1:10" x14ac:dyDescent="0.25">
      <c r="A504" s="3"/>
      <c r="B504" s="3"/>
      <c r="C504" s="3"/>
      <c r="D504" s="3"/>
      <c r="E504" s="3"/>
      <c r="F504" s="3"/>
      <c r="G504" s="3"/>
      <c r="H504" s="3"/>
      <c r="I504" s="3"/>
      <c r="J504" s="3"/>
    </row>
    <row r="505" spans="1:10" x14ac:dyDescent="0.25">
      <c r="A505" s="3"/>
      <c r="B505" s="3"/>
      <c r="C505" s="3"/>
      <c r="D505" s="3"/>
      <c r="E505" s="3"/>
      <c r="F505" s="3"/>
      <c r="G505" s="3"/>
      <c r="H505" s="3"/>
      <c r="I505" s="3"/>
      <c r="J505" s="3"/>
    </row>
    <row r="506" spans="1:10" x14ac:dyDescent="0.25">
      <c r="A506" s="3"/>
      <c r="B506" s="3"/>
      <c r="C506" s="3"/>
      <c r="D506" s="3"/>
      <c r="E506" s="3"/>
      <c r="F506" s="3"/>
      <c r="G506" s="3"/>
      <c r="H506" s="3"/>
      <c r="I506" s="3"/>
      <c r="J506" s="3"/>
    </row>
    <row r="507" spans="1:10" x14ac:dyDescent="0.25">
      <c r="A507" s="3"/>
      <c r="B507" s="3"/>
      <c r="C507" s="3"/>
      <c r="D507" s="3"/>
      <c r="E507" s="3"/>
      <c r="F507" s="3"/>
      <c r="G507" s="3"/>
      <c r="H507" s="3"/>
      <c r="I507" s="3"/>
      <c r="J507" s="3"/>
    </row>
    <row r="508" spans="1:10" x14ac:dyDescent="0.25">
      <c r="A508" s="3"/>
      <c r="B508" s="3"/>
      <c r="C508" s="3"/>
      <c r="D508" s="3"/>
      <c r="E508" s="3"/>
      <c r="F508" s="3"/>
      <c r="G508" s="3"/>
      <c r="H508" s="3"/>
      <c r="I508" s="3"/>
      <c r="J508" s="3"/>
    </row>
    <row r="509" spans="1:10" x14ac:dyDescent="0.25">
      <c r="A509" s="3"/>
      <c r="B509" s="3"/>
      <c r="C509" s="3"/>
      <c r="D509" s="3"/>
      <c r="E509" s="3"/>
      <c r="F509" s="3"/>
      <c r="G509" s="3"/>
      <c r="H509" s="3"/>
      <c r="I509" s="3"/>
      <c r="J509" s="3"/>
    </row>
    <row r="510" spans="1:10" x14ac:dyDescent="0.25">
      <c r="A510" s="3"/>
      <c r="B510" s="3"/>
      <c r="C510" s="3"/>
      <c r="D510" s="3"/>
      <c r="E510" s="3"/>
      <c r="F510" s="3"/>
      <c r="G510" s="3"/>
      <c r="H510" s="3"/>
      <c r="I510" s="3"/>
      <c r="J510" s="3"/>
    </row>
    <row r="511" spans="1:10" x14ac:dyDescent="0.25">
      <c r="A511" s="3"/>
      <c r="B511" s="3"/>
      <c r="C511" s="3"/>
      <c r="D511" s="3"/>
      <c r="E511" s="3"/>
      <c r="F511" s="3"/>
      <c r="G511" s="3"/>
      <c r="H511" s="3"/>
      <c r="I511" s="3"/>
      <c r="J511" s="3"/>
    </row>
    <row r="512" spans="1:10" x14ac:dyDescent="0.25">
      <c r="A512" s="3"/>
      <c r="B512" s="3"/>
      <c r="C512" s="3"/>
      <c r="D512" s="3"/>
      <c r="E512" s="3"/>
      <c r="F512" s="3"/>
      <c r="G512" s="3"/>
      <c r="H512" s="3"/>
      <c r="I512" s="3"/>
      <c r="J512" s="3"/>
    </row>
    <row r="513" spans="1:10" x14ac:dyDescent="0.25">
      <c r="A513" s="3"/>
      <c r="B513" s="3"/>
      <c r="C513" s="3"/>
      <c r="D513" s="3"/>
      <c r="E513" s="3"/>
      <c r="F513" s="3"/>
      <c r="G513" s="3"/>
      <c r="H513" s="3"/>
      <c r="I513" s="3"/>
      <c r="J513" s="3"/>
    </row>
    <row r="514" spans="1:10" x14ac:dyDescent="0.25">
      <c r="A514" s="3"/>
      <c r="B514" s="3"/>
      <c r="C514" s="3"/>
      <c r="D514" s="3"/>
      <c r="E514" s="3"/>
      <c r="F514" s="3"/>
      <c r="G514" s="3"/>
      <c r="H514" s="3"/>
      <c r="I514" s="3"/>
      <c r="J514" s="3"/>
    </row>
    <row r="515" spans="1:10" x14ac:dyDescent="0.25">
      <c r="A515" s="3"/>
      <c r="B515" s="3"/>
      <c r="C515" s="3"/>
      <c r="D515" s="3"/>
      <c r="E515" s="3"/>
      <c r="F515" s="3"/>
      <c r="G515" s="3"/>
      <c r="H515" s="3"/>
      <c r="I515" s="3"/>
      <c r="J515" s="3"/>
    </row>
    <row r="516" spans="1:10" x14ac:dyDescent="0.25">
      <c r="A516" s="3"/>
      <c r="B516" s="3"/>
      <c r="C516" s="3"/>
      <c r="D516" s="3"/>
      <c r="E516" s="3"/>
      <c r="F516" s="3"/>
      <c r="G516" s="3"/>
      <c r="H516" s="3"/>
      <c r="I516" s="3"/>
      <c r="J516" s="3"/>
    </row>
    <row r="517" spans="1:10" x14ac:dyDescent="0.25">
      <c r="A517" s="3"/>
      <c r="B517" s="3"/>
      <c r="C517" s="3"/>
      <c r="D517" s="3"/>
      <c r="E517" s="3"/>
      <c r="F517" s="3"/>
      <c r="G517" s="3"/>
      <c r="H517" s="3"/>
      <c r="I517" s="3"/>
      <c r="J517" s="3"/>
    </row>
    <row r="518" spans="1:10" x14ac:dyDescent="0.25">
      <c r="A518" s="3"/>
      <c r="B518" s="3"/>
      <c r="C518" s="3"/>
      <c r="D518" s="3"/>
      <c r="E518" s="3"/>
      <c r="F518" s="3"/>
      <c r="G518" s="3"/>
      <c r="H518" s="3"/>
      <c r="I518" s="3"/>
      <c r="J518" s="3"/>
    </row>
    <row r="519" spans="1:10" x14ac:dyDescent="0.25">
      <c r="A519" s="3"/>
      <c r="B519" s="3"/>
      <c r="C519" s="3"/>
      <c r="D519" s="3"/>
      <c r="E519" s="3"/>
      <c r="F519" s="3"/>
      <c r="G519" s="3"/>
      <c r="H519" s="3"/>
      <c r="I519" s="3"/>
      <c r="J519" s="3"/>
    </row>
    <row r="520" spans="1:10" x14ac:dyDescent="0.25">
      <c r="A520" s="3"/>
      <c r="B520" s="3"/>
      <c r="C520" s="3"/>
      <c r="D520" s="3"/>
      <c r="E520" s="3"/>
      <c r="F520" s="3"/>
      <c r="G520" s="3"/>
      <c r="H520" s="3"/>
      <c r="I520" s="3"/>
      <c r="J520" s="3"/>
    </row>
    <row r="521" spans="1:10" x14ac:dyDescent="0.25">
      <c r="A521" s="3"/>
      <c r="B521" s="3"/>
      <c r="C521" s="3"/>
      <c r="D521" s="3"/>
      <c r="E521" s="3"/>
      <c r="F521" s="3"/>
      <c r="G521" s="3"/>
      <c r="H521" s="3"/>
      <c r="I521" s="3"/>
      <c r="J521" s="3"/>
    </row>
    <row r="522" spans="1:10" x14ac:dyDescent="0.25">
      <c r="A522" s="3"/>
      <c r="B522" s="3"/>
      <c r="C522" s="3"/>
      <c r="D522" s="3"/>
      <c r="E522" s="3"/>
      <c r="F522" s="3"/>
      <c r="G522" s="3"/>
      <c r="H522" s="3"/>
      <c r="I522" s="3"/>
      <c r="J522" s="3"/>
    </row>
    <row r="523" spans="1:10" x14ac:dyDescent="0.25">
      <c r="A523" s="3"/>
      <c r="B523" s="3"/>
      <c r="C523" s="3"/>
      <c r="D523" s="3"/>
      <c r="E523" s="3"/>
      <c r="F523" s="3"/>
      <c r="G523" s="3"/>
      <c r="H523" s="3"/>
      <c r="I523" s="3"/>
      <c r="J523" s="3"/>
    </row>
    <row r="524" spans="1:10" x14ac:dyDescent="0.25">
      <c r="A524" s="3"/>
      <c r="B524" s="3"/>
      <c r="C524" s="3"/>
      <c r="D524" s="3"/>
      <c r="E524" s="3"/>
      <c r="F524" s="3"/>
      <c r="G524" s="3"/>
      <c r="H524" s="3"/>
      <c r="I524" s="3"/>
      <c r="J524" s="3"/>
    </row>
    <row r="525" spans="1:10" x14ac:dyDescent="0.25">
      <c r="A525" s="3"/>
      <c r="B525" s="3"/>
      <c r="C525" s="3"/>
      <c r="D525" s="3"/>
      <c r="E525" s="3"/>
      <c r="F525" s="3"/>
      <c r="G525" s="3"/>
      <c r="H525" s="3"/>
      <c r="I525" s="3"/>
      <c r="J525" s="3"/>
    </row>
    <row r="526" spans="1:10" x14ac:dyDescent="0.25">
      <c r="A526" s="3"/>
      <c r="B526" s="3"/>
      <c r="C526" s="3"/>
      <c r="D526" s="3"/>
      <c r="E526" s="3"/>
      <c r="F526" s="3"/>
      <c r="G526" s="3"/>
      <c r="H526" s="3"/>
      <c r="I526" s="3"/>
      <c r="J526" s="3"/>
    </row>
    <row r="527" spans="1:10" x14ac:dyDescent="0.25">
      <c r="A527" s="3"/>
      <c r="B527" s="3"/>
      <c r="C527" s="3"/>
      <c r="D527" s="3"/>
      <c r="E527" s="3"/>
      <c r="F527" s="3"/>
      <c r="G527" s="3"/>
      <c r="H527" s="3"/>
      <c r="I527" s="3"/>
      <c r="J527" s="3"/>
    </row>
    <row r="528" spans="1:10" x14ac:dyDescent="0.25">
      <c r="A528" s="3"/>
      <c r="B528" s="3"/>
      <c r="C528" s="3"/>
      <c r="D528" s="3"/>
      <c r="E528" s="3"/>
      <c r="F528" s="3"/>
      <c r="G528" s="3"/>
      <c r="H528" s="3"/>
      <c r="I528" s="3"/>
      <c r="J528" s="3"/>
    </row>
    <row r="529" spans="1:10" x14ac:dyDescent="0.25">
      <c r="A529" s="3"/>
      <c r="B529" s="3"/>
      <c r="C529" s="3"/>
      <c r="D529" s="3"/>
      <c r="E529" s="3"/>
      <c r="F529" s="3"/>
      <c r="G529" s="3"/>
      <c r="H529" s="3"/>
      <c r="I529" s="3"/>
      <c r="J529" s="3"/>
    </row>
    <row r="530" spans="1:10" x14ac:dyDescent="0.25">
      <c r="A530" s="3"/>
      <c r="B530" s="3"/>
      <c r="C530" s="3"/>
      <c r="D530" s="3"/>
      <c r="E530" s="3"/>
      <c r="F530" s="3"/>
      <c r="G530" s="3"/>
      <c r="H530" s="3"/>
      <c r="I530" s="3"/>
      <c r="J530" s="3"/>
    </row>
    <row r="531" spans="1:10" x14ac:dyDescent="0.25">
      <c r="A531" s="3"/>
      <c r="B531" s="3"/>
      <c r="C531" s="3"/>
      <c r="D531" s="3"/>
      <c r="E531" s="3"/>
      <c r="F531" s="3"/>
      <c r="G531" s="3"/>
      <c r="H531" s="3"/>
      <c r="I531" s="3"/>
      <c r="J531" s="3"/>
    </row>
    <row r="532" spans="1:10" x14ac:dyDescent="0.25">
      <c r="A532" s="3"/>
      <c r="B532" s="3"/>
      <c r="C532" s="3"/>
      <c r="D532" s="3"/>
      <c r="E532" s="3"/>
      <c r="F532" s="3"/>
      <c r="G532" s="3"/>
      <c r="H532" s="3"/>
      <c r="I532" s="3"/>
      <c r="J532" s="3"/>
    </row>
    <row r="533" spans="1:10" x14ac:dyDescent="0.25">
      <c r="A533" s="3"/>
      <c r="B533" s="3"/>
      <c r="C533" s="3"/>
      <c r="D533" s="3"/>
      <c r="E533" s="3"/>
      <c r="F533" s="3"/>
      <c r="G533" s="3"/>
      <c r="H533" s="3"/>
      <c r="I533" s="3"/>
      <c r="J533" s="3"/>
    </row>
    <row r="534" spans="1:10" x14ac:dyDescent="0.25">
      <c r="A534" s="3"/>
      <c r="B534" s="3"/>
      <c r="C534" s="3"/>
      <c r="D534" s="3"/>
      <c r="E534" s="3"/>
      <c r="F534" s="3"/>
      <c r="G534" s="3"/>
      <c r="H534" s="3"/>
      <c r="I534" s="3"/>
      <c r="J534" s="3"/>
    </row>
    <row r="535" spans="1:10" x14ac:dyDescent="0.25">
      <c r="A535" s="3"/>
      <c r="B535" s="3"/>
      <c r="C535" s="3"/>
      <c r="D535" s="3"/>
      <c r="E535" s="3"/>
      <c r="F535" s="3"/>
      <c r="G535" s="3"/>
      <c r="H535" s="3"/>
      <c r="I535" s="3"/>
      <c r="J535" s="3"/>
    </row>
    <row r="536" spans="1:10" x14ac:dyDescent="0.25">
      <c r="A536" s="3"/>
      <c r="B536" s="3"/>
      <c r="C536" s="3"/>
      <c r="D536" s="3"/>
      <c r="E536" s="3"/>
      <c r="F536" s="3"/>
      <c r="G536" s="3"/>
      <c r="H536" s="3"/>
      <c r="I536" s="3"/>
      <c r="J536" s="3"/>
    </row>
    <row r="537" spans="1:10" x14ac:dyDescent="0.25">
      <c r="A537" s="3"/>
      <c r="B537" s="3"/>
      <c r="C537" s="3"/>
      <c r="D537" s="3"/>
      <c r="E537" s="3"/>
      <c r="F537" s="3"/>
      <c r="G537" s="3"/>
      <c r="H537" s="3"/>
      <c r="I537" s="3"/>
      <c r="J537" s="3"/>
    </row>
    <row r="538" spans="1:10" x14ac:dyDescent="0.25">
      <c r="A538" s="3"/>
      <c r="B538" s="3"/>
      <c r="C538" s="3"/>
      <c r="D538" s="3"/>
      <c r="E538" s="3"/>
      <c r="F538" s="3"/>
      <c r="G538" s="3"/>
      <c r="H538" s="3"/>
      <c r="I538" s="3"/>
      <c r="J538" s="3"/>
    </row>
    <row r="539" spans="1:10" x14ac:dyDescent="0.25">
      <c r="A539" s="3"/>
      <c r="B539" s="3"/>
      <c r="C539" s="3"/>
      <c r="D539" s="3"/>
      <c r="E539" s="3"/>
      <c r="F539" s="3"/>
      <c r="G539" s="3"/>
      <c r="H539" s="3"/>
      <c r="I539" s="3"/>
      <c r="J539" s="3"/>
    </row>
    <row r="540" spans="1:10" x14ac:dyDescent="0.25">
      <c r="A540" s="3"/>
      <c r="B540" s="3"/>
      <c r="C540" s="3"/>
      <c r="D540" s="3"/>
      <c r="E540" s="3"/>
      <c r="F540" s="3"/>
      <c r="G540" s="3"/>
      <c r="H540" s="3"/>
      <c r="I540" s="3"/>
      <c r="J540" s="3"/>
    </row>
    <row r="541" spans="1:10" x14ac:dyDescent="0.25">
      <c r="A541" s="3"/>
      <c r="B541" s="3"/>
      <c r="C541" s="3"/>
      <c r="D541" s="3"/>
      <c r="E541" s="3"/>
      <c r="F541" s="3"/>
      <c r="G541" s="3"/>
      <c r="H541" s="3"/>
      <c r="I541" s="3"/>
      <c r="J541" s="3"/>
    </row>
    <row r="542" spans="1:10" x14ac:dyDescent="0.25">
      <c r="A542" s="3"/>
      <c r="B542" s="3"/>
      <c r="C542" s="3"/>
      <c r="D542" s="3"/>
      <c r="E542" s="3"/>
      <c r="F542" s="3"/>
      <c r="G542" s="3"/>
      <c r="H542" s="3"/>
      <c r="I542" s="3"/>
      <c r="J542" s="3"/>
    </row>
    <row r="543" spans="1:10" x14ac:dyDescent="0.25">
      <c r="A543" s="3"/>
      <c r="B543" s="3"/>
      <c r="C543" s="3"/>
      <c r="D543" s="3"/>
      <c r="E543" s="3"/>
      <c r="F543" s="3"/>
      <c r="G543" s="3"/>
      <c r="H543" s="3"/>
      <c r="I543" s="3"/>
      <c r="J543" s="3"/>
    </row>
    <row r="544" spans="1:10" x14ac:dyDescent="0.25">
      <c r="A544" s="3"/>
      <c r="B544" s="3"/>
      <c r="C544" s="3"/>
      <c r="D544" s="3"/>
      <c r="E544" s="3"/>
      <c r="F544" s="3"/>
      <c r="G544" s="3"/>
      <c r="H544" s="3"/>
      <c r="I544" s="3"/>
      <c r="J544" s="3"/>
    </row>
    <row r="545" spans="1:10" x14ac:dyDescent="0.25">
      <c r="A545" s="3"/>
      <c r="B545" s="3"/>
      <c r="C545" s="3"/>
      <c r="D545" s="3"/>
      <c r="E545" s="3"/>
      <c r="F545" s="3"/>
      <c r="G545" s="3"/>
      <c r="H545" s="3"/>
      <c r="I545" s="3"/>
      <c r="J545" s="3"/>
    </row>
    <row r="546" spans="1:10" x14ac:dyDescent="0.25">
      <c r="A546" s="3"/>
      <c r="B546" s="3"/>
      <c r="C546" s="3"/>
      <c r="D546" s="3"/>
      <c r="E546" s="3"/>
      <c r="F546" s="3"/>
      <c r="G546" s="3"/>
      <c r="H546" s="3"/>
      <c r="I546" s="3"/>
      <c r="J546" s="3"/>
    </row>
    <row r="547" spans="1:10" x14ac:dyDescent="0.25">
      <c r="A547" s="3"/>
      <c r="B547" s="3"/>
      <c r="C547" s="3"/>
      <c r="D547" s="3"/>
      <c r="E547" s="3"/>
      <c r="F547" s="3"/>
      <c r="G547" s="3"/>
      <c r="H547" s="3"/>
      <c r="I547" s="3"/>
      <c r="J547" s="3"/>
    </row>
    <row r="548" spans="1:10" x14ac:dyDescent="0.25">
      <c r="A548" s="3"/>
      <c r="B548" s="3"/>
      <c r="C548" s="3"/>
      <c r="D548" s="3"/>
      <c r="E548" s="3"/>
      <c r="F548" s="3"/>
      <c r="G548" s="3"/>
      <c r="H548" s="3"/>
      <c r="I548" s="3"/>
      <c r="J548" s="3"/>
    </row>
    <row r="549" spans="1:10" x14ac:dyDescent="0.25">
      <c r="A549" s="3"/>
      <c r="B549" s="3"/>
      <c r="C549" s="3"/>
      <c r="D549" s="3"/>
      <c r="E549" s="3"/>
      <c r="F549" s="3"/>
      <c r="G549" s="3"/>
      <c r="H549" s="3"/>
      <c r="I549" s="3"/>
      <c r="J549" s="3"/>
    </row>
    <row r="550" spans="1:10" x14ac:dyDescent="0.25">
      <c r="A550" s="3"/>
      <c r="B550" s="3"/>
      <c r="C550" s="3"/>
      <c r="D550" s="3"/>
      <c r="E550" s="3"/>
      <c r="F550" s="3"/>
      <c r="G550" s="3"/>
      <c r="H550" s="3"/>
      <c r="I550" s="3"/>
      <c r="J550" s="3"/>
    </row>
    <row r="551" spans="1:10" x14ac:dyDescent="0.25">
      <c r="A551" s="3"/>
      <c r="B551" s="3"/>
      <c r="C551" s="3"/>
      <c r="D551" s="3"/>
      <c r="E551" s="3"/>
      <c r="F551" s="3"/>
      <c r="G551" s="3"/>
      <c r="H551" s="3"/>
      <c r="I551" s="3"/>
      <c r="J551" s="3"/>
    </row>
    <row r="552" spans="1:10" x14ac:dyDescent="0.25">
      <c r="A552" s="3"/>
      <c r="B552" s="3"/>
      <c r="C552" s="3"/>
      <c r="D552" s="3"/>
      <c r="E552" s="3"/>
      <c r="F552" s="3"/>
      <c r="G552" s="3"/>
      <c r="H552" s="3"/>
      <c r="I552" s="3"/>
      <c r="J552" s="3"/>
    </row>
    <row r="553" spans="1:10" x14ac:dyDescent="0.25">
      <c r="A553" s="3"/>
      <c r="B553" s="3"/>
      <c r="C553" s="3"/>
      <c r="D553" s="3"/>
      <c r="E553" s="3"/>
      <c r="F553" s="3"/>
      <c r="G553" s="3"/>
      <c r="H553" s="3"/>
      <c r="I553" s="3"/>
      <c r="J553" s="3"/>
    </row>
    <row r="554" spans="1:10" x14ac:dyDescent="0.25">
      <c r="A554" s="3"/>
      <c r="B554" s="3"/>
      <c r="C554" s="3"/>
      <c r="D554" s="3"/>
      <c r="E554" s="3"/>
      <c r="F554" s="3"/>
      <c r="G554" s="3"/>
      <c r="H554" s="3"/>
      <c r="I554" s="3"/>
      <c r="J554" s="3"/>
    </row>
    <row r="555" spans="1:10" x14ac:dyDescent="0.25">
      <c r="A555" s="3"/>
      <c r="B555" s="3"/>
      <c r="C555" s="3"/>
      <c r="D555" s="3"/>
      <c r="E555" s="3"/>
      <c r="F555" s="3"/>
      <c r="G555" s="3"/>
      <c r="H555" s="3"/>
      <c r="I555" s="3"/>
      <c r="J555" s="3"/>
    </row>
    <row r="556" spans="1:10" x14ac:dyDescent="0.25">
      <c r="A556" s="3"/>
      <c r="B556" s="3"/>
      <c r="C556" s="3"/>
      <c r="D556" s="3"/>
      <c r="E556" s="3"/>
      <c r="F556" s="3"/>
      <c r="G556" s="3"/>
      <c r="H556" s="3"/>
      <c r="I556" s="3"/>
      <c r="J556" s="3"/>
    </row>
    <row r="557" spans="1:10" x14ac:dyDescent="0.25">
      <c r="A557" s="3"/>
      <c r="B557" s="3"/>
      <c r="C557" s="3"/>
      <c r="D557" s="3"/>
      <c r="E557" s="3"/>
      <c r="F557" s="3"/>
      <c r="G557" s="3"/>
      <c r="H557" s="3"/>
      <c r="I557" s="3"/>
      <c r="J557" s="3"/>
    </row>
    <row r="558" spans="1:10" x14ac:dyDescent="0.25">
      <c r="A558" s="3"/>
      <c r="B558" s="3"/>
      <c r="C558" s="3"/>
      <c r="D558" s="3"/>
      <c r="E558" s="3"/>
      <c r="F558" s="3"/>
      <c r="G558" s="3"/>
      <c r="H558" s="3"/>
      <c r="I558" s="3"/>
      <c r="J558" s="3"/>
    </row>
    <row r="559" spans="1:10" x14ac:dyDescent="0.25">
      <c r="A559" s="3"/>
      <c r="B559" s="3"/>
      <c r="C559" s="3"/>
      <c r="D559" s="3"/>
      <c r="E559" s="3"/>
      <c r="F559" s="3"/>
      <c r="G559" s="3"/>
      <c r="H559" s="3"/>
      <c r="I559" s="3"/>
      <c r="J559" s="3"/>
    </row>
    <row r="560" spans="1:10" x14ac:dyDescent="0.25">
      <c r="A560" s="3"/>
      <c r="B560" s="3"/>
      <c r="C560" s="3"/>
      <c r="D560" s="3"/>
      <c r="E560" s="3"/>
      <c r="F560" s="3"/>
      <c r="G560" s="3"/>
      <c r="H560" s="3"/>
      <c r="I560" s="3"/>
      <c r="J560" s="3"/>
    </row>
    <row r="561" spans="1:10" x14ac:dyDescent="0.25">
      <c r="A561" s="3"/>
      <c r="B561" s="3"/>
      <c r="C561" s="3"/>
      <c r="D561" s="3"/>
      <c r="E561" s="3"/>
      <c r="F561" s="3"/>
      <c r="G561" s="3"/>
      <c r="H561" s="3"/>
      <c r="I561" s="3"/>
      <c r="J561" s="3"/>
    </row>
    <row r="562" spans="1:10" x14ac:dyDescent="0.25">
      <c r="A562" s="3"/>
      <c r="B562" s="3"/>
      <c r="C562" s="3"/>
      <c r="D562" s="3"/>
      <c r="E562" s="3"/>
      <c r="F562" s="3"/>
      <c r="G562" s="3"/>
      <c r="H562" s="3"/>
      <c r="I562" s="3"/>
      <c r="J562" s="3"/>
    </row>
    <row r="563" spans="1:10" x14ac:dyDescent="0.25">
      <c r="A563" s="3"/>
      <c r="B563" s="3"/>
      <c r="C563" s="3"/>
      <c r="D563" s="3"/>
      <c r="E563" s="3"/>
      <c r="F563" s="3"/>
      <c r="G563" s="3"/>
      <c r="H563" s="3"/>
      <c r="I563" s="3"/>
      <c r="J563" s="3"/>
    </row>
    <row r="564" spans="1:10" x14ac:dyDescent="0.25">
      <c r="A564" s="3"/>
      <c r="B564" s="3"/>
      <c r="C564" s="3"/>
      <c r="D564" s="3"/>
      <c r="E564" s="3"/>
      <c r="F564" s="3"/>
      <c r="G564" s="3"/>
      <c r="H564" s="3"/>
      <c r="I564" s="3"/>
      <c r="J564" s="3"/>
    </row>
    <row r="565" spans="1:10" x14ac:dyDescent="0.25">
      <c r="A565" s="3"/>
      <c r="B565" s="3"/>
      <c r="C565" s="3"/>
      <c r="D565" s="3"/>
      <c r="E565" s="3"/>
      <c r="F565" s="3"/>
      <c r="G565" s="3"/>
      <c r="H565" s="3"/>
      <c r="I565" s="3"/>
      <c r="J565" s="3"/>
    </row>
    <row r="566" spans="1:10" x14ac:dyDescent="0.25">
      <c r="A566" s="3"/>
      <c r="B566" s="3"/>
      <c r="C566" s="3"/>
      <c r="D566" s="3"/>
      <c r="E566" s="3"/>
      <c r="F566" s="3"/>
      <c r="G566" s="3"/>
      <c r="H566" s="3"/>
      <c r="I566" s="3"/>
      <c r="J566" s="3"/>
    </row>
    <row r="567" spans="1:10" x14ac:dyDescent="0.25">
      <c r="A567" s="3"/>
      <c r="B567" s="3"/>
      <c r="C567" s="3"/>
      <c r="D567" s="3"/>
      <c r="E567" s="3"/>
      <c r="F567" s="3"/>
      <c r="G567" s="3"/>
      <c r="H567" s="3"/>
      <c r="I567" s="3"/>
      <c r="J567" s="3"/>
    </row>
    <row r="568" spans="1:10" x14ac:dyDescent="0.25">
      <c r="A568" s="3"/>
      <c r="B568" s="3"/>
      <c r="C568" s="3"/>
      <c r="D568" s="3"/>
      <c r="E568" s="3"/>
      <c r="F568" s="3"/>
      <c r="G568" s="3"/>
      <c r="H568" s="3"/>
      <c r="I568" s="3"/>
      <c r="J568" s="3"/>
    </row>
    <row r="569" spans="1:10" x14ac:dyDescent="0.25">
      <c r="A569" s="3"/>
      <c r="B569" s="3"/>
      <c r="C569" s="3"/>
      <c r="D569" s="3"/>
      <c r="E569" s="3"/>
      <c r="F569" s="3"/>
      <c r="G569" s="3"/>
      <c r="H569" s="3"/>
      <c r="I569" s="3"/>
      <c r="J569" s="3"/>
    </row>
    <row r="570" spans="1:10" x14ac:dyDescent="0.25">
      <c r="A570" s="3"/>
      <c r="B570" s="3"/>
      <c r="C570" s="3"/>
      <c r="D570" s="3"/>
      <c r="E570" s="3"/>
      <c r="F570" s="3"/>
      <c r="G570" s="3"/>
      <c r="H570" s="3"/>
      <c r="I570" s="3"/>
      <c r="J570" s="3"/>
    </row>
    <row r="571" spans="1:10" x14ac:dyDescent="0.25">
      <c r="A571" s="3"/>
      <c r="B571" s="3"/>
      <c r="C571" s="3"/>
      <c r="D571" s="3"/>
      <c r="E571" s="3"/>
      <c r="F571" s="3"/>
      <c r="G571" s="3"/>
      <c r="H571" s="3"/>
      <c r="I571" s="3"/>
      <c r="J571" s="3"/>
    </row>
    <row r="572" spans="1:10" x14ac:dyDescent="0.25">
      <c r="A572" s="3"/>
      <c r="B572" s="3"/>
      <c r="C572" s="3"/>
      <c r="D572" s="3"/>
      <c r="E572" s="3"/>
      <c r="F572" s="3"/>
      <c r="G572" s="3"/>
      <c r="H572" s="3"/>
      <c r="I572" s="3"/>
      <c r="J572" s="3"/>
    </row>
    <row r="573" spans="1:10" x14ac:dyDescent="0.25">
      <c r="A573" s="3"/>
      <c r="B573" s="3"/>
      <c r="C573" s="3"/>
      <c r="D573" s="3"/>
      <c r="E573" s="3"/>
      <c r="F573" s="3"/>
      <c r="G573" s="3"/>
      <c r="H573" s="3"/>
      <c r="I573" s="3"/>
      <c r="J573" s="3"/>
    </row>
    <row r="574" spans="1:10" x14ac:dyDescent="0.25">
      <c r="A574" s="3"/>
      <c r="B574" s="3"/>
      <c r="C574" s="3"/>
      <c r="D574" s="3"/>
      <c r="E574" s="3"/>
      <c r="F574" s="3"/>
      <c r="G574" s="3"/>
      <c r="H574" s="3"/>
      <c r="I574" s="3"/>
      <c r="J574" s="3"/>
    </row>
    <row r="575" spans="1:10" x14ac:dyDescent="0.25">
      <c r="A575" s="3"/>
      <c r="B575" s="3"/>
      <c r="C575" s="3"/>
      <c r="D575" s="3"/>
      <c r="E575" s="3"/>
      <c r="F575" s="3"/>
      <c r="G575" s="3"/>
      <c r="H575" s="3"/>
      <c r="I575" s="3"/>
      <c r="J575" s="3"/>
    </row>
    <row r="576" spans="1:10" x14ac:dyDescent="0.25">
      <c r="A576" s="3"/>
      <c r="B576" s="3"/>
      <c r="C576" s="3"/>
      <c r="D576" s="3"/>
      <c r="E576" s="3"/>
      <c r="F576" s="3"/>
      <c r="G576" s="3"/>
      <c r="H576" s="3"/>
      <c r="I576" s="3"/>
      <c r="J576" s="3"/>
    </row>
    <row r="577" spans="1:10" x14ac:dyDescent="0.25">
      <c r="A577" s="3"/>
      <c r="B577" s="3"/>
      <c r="C577" s="3"/>
      <c r="D577" s="3"/>
      <c r="E577" s="3"/>
      <c r="F577" s="3"/>
      <c r="G577" s="3"/>
      <c r="H577" s="3"/>
      <c r="I577" s="3"/>
      <c r="J577" s="3"/>
    </row>
    <row r="578" spans="1:10" x14ac:dyDescent="0.25">
      <c r="A578" s="3"/>
      <c r="B578" s="3"/>
      <c r="C578" s="3"/>
      <c r="D578" s="3"/>
      <c r="E578" s="3"/>
      <c r="F578" s="3"/>
      <c r="G578" s="3"/>
      <c r="H578" s="3"/>
      <c r="I578" s="3"/>
      <c r="J578" s="3"/>
    </row>
    <row r="579" spans="1:10" x14ac:dyDescent="0.25">
      <c r="A579" s="3"/>
      <c r="B579" s="3"/>
      <c r="C579" s="3"/>
      <c r="D579" s="3"/>
      <c r="E579" s="3"/>
      <c r="F579" s="3"/>
      <c r="G579" s="3"/>
      <c r="H579" s="3"/>
      <c r="I579" s="3"/>
      <c r="J579" s="3"/>
    </row>
    <row r="580" spans="1:10" x14ac:dyDescent="0.25">
      <c r="A580" s="3"/>
      <c r="B580" s="3"/>
      <c r="C580" s="3"/>
      <c r="D580" s="3"/>
      <c r="E580" s="3"/>
      <c r="F580" s="3"/>
      <c r="G580" s="3"/>
      <c r="H580" s="3"/>
      <c r="I580" s="3"/>
      <c r="J580" s="3"/>
    </row>
    <row r="581" spans="1:10" x14ac:dyDescent="0.25">
      <c r="A581" s="3"/>
      <c r="B581" s="3"/>
      <c r="C581" s="3"/>
      <c r="D581" s="3"/>
      <c r="E581" s="3"/>
      <c r="F581" s="3"/>
      <c r="G581" s="3"/>
      <c r="H581" s="3"/>
      <c r="I581" s="3"/>
      <c r="J581" s="3"/>
    </row>
    <row r="582" spans="1:10" x14ac:dyDescent="0.25">
      <c r="A582" s="3"/>
      <c r="B582" s="3"/>
      <c r="C582" s="3"/>
      <c r="D582" s="3"/>
      <c r="E582" s="3"/>
      <c r="F582" s="3"/>
      <c r="G582" s="3"/>
      <c r="H582" s="3"/>
      <c r="I582" s="3"/>
      <c r="J582" s="3"/>
    </row>
    <row r="583" spans="1:10" x14ac:dyDescent="0.25">
      <c r="A583" s="3"/>
      <c r="B583" s="3"/>
      <c r="C583" s="3"/>
      <c r="D583" s="3"/>
      <c r="E583" s="3"/>
      <c r="F583" s="3"/>
      <c r="G583" s="3"/>
      <c r="H583" s="3"/>
      <c r="I583" s="3"/>
      <c r="J583" s="3"/>
    </row>
    <row r="584" spans="1:10" x14ac:dyDescent="0.25">
      <c r="A584" s="3"/>
      <c r="B584" s="3"/>
      <c r="C584" s="3"/>
      <c r="D584" s="3"/>
      <c r="E584" s="3"/>
      <c r="F584" s="3"/>
      <c r="G584" s="3"/>
      <c r="H584" s="3"/>
      <c r="I584" s="3"/>
      <c r="J584" s="3"/>
    </row>
    <row r="585" spans="1:10" x14ac:dyDescent="0.25">
      <c r="A585" s="3"/>
      <c r="B585" s="3"/>
      <c r="C585" s="3"/>
      <c r="D585" s="3"/>
      <c r="E585" s="3"/>
      <c r="F585" s="3"/>
      <c r="G585" s="3"/>
      <c r="H585" s="3"/>
      <c r="I585" s="3"/>
      <c r="J585" s="3"/>
    </row>
    <row r="586" spans="1:10" x14ac:dyDescent="0.25">
      <c r="A586" s="3"/>
      <c r="B586" s="3"/>
      <c r="C586" s="3"/>
      <c r="D586" s="3"/>
      <c r="E586" s="3"/>
      <c r="F586" s="3"/>
      <c r="G586" s="3"/>
      <c r="H586" s="3"/>
      <c r="I586" s="3"/>
      <c r="J586" s="3"/>
    </row>
    <row r="587" spans="1:10" x14ac:dyDescent="0.25">
      <c r="A587" s="3"/>
      <c r="B587" s="3"/>
      <c r="C587" s="3"/>
      <c r="D587" s="3"/>
      <c r="E587" s="3"/>
      <c r="F587" s="3"/>
      <c r="G587" s="3"/>
      <c r="H587" s="3"/>
      <c r="I587" s="3"/>
      <c r="J587" s="3"/>
    </row>
    <row r="588" spans="1:10" x14ac:dyDescent="0.25">
      <c r="A588" s="3"/>
      <c r="B588" s="3"/>
      <c r="C588" s="3"/>
      <c r="D588" s="3"/>
      <c r="E588" s="3"/>
      <c r="F588" s="3"/>
      <c r="G588" s="3"/>
      <c r="H588" s="3"/>
      <c r="I588" s="3"/>
      <c r="J588" s="3"/>
    </row>
    <row r="589" spans="1:10" x14ac:dyDescent="0.25">
      <c r="A589" s="3"/>
      <c r="B589" s="3"/>
      <c r="C589" s="3"/>
      <c r="D589" s="3"/>
      <c r="E589" s="3"/>
      <c r="F589" s="3"/>
      <c r="G589" s="3"/>
      <c r="H589" s="3"/>
      <c r="I589" s="3"/>
      <c r="J589" s="3"/>
    </row>
    <row r="590" spans="1:10" x14ac:dyDescent="0.25">
      <c r="A590" s="3"/>
      <c r="B590" s="3"/>
      <c r="C590" s="3"/>
      <c r="D590" s="3"/>
      <c r="E590" s="3"/>
      <c r="F590" s="3"/>
      <c r="G590" s="3"/>
      <c r="H590" s="3"/>
      <c r="I590" s="3"/>
      <c r="J590" s="3"/>
    </row>
    <row r="591" spans="1:10" x14ac:dyDescent="0.25">
      <c r="A591" s="3"/>
      <c r="B591" s="3"/>
      <c r="C591" s="3"/>
      <c r="D591" s="3"/>
      <c r="E591" s="3"/>
      <c r="F591" s="3"/>
      <c r="G591" s="3"/>
      <c r="H591" s="3"/>
      <c r="I591" s="3"/>
      <c r="J591" s="3"/>
    </row>
    <row r="592" spans="1:10" x14ac:dyDescent="0.25">
      <c r="A592" s="3"/>
      <c r="B592" s="3"/>
      <c r="C592" s="3"/>
      <c r="D592" s="3"/>
      <c r="E592" s="3"/>
      <c r="F592" s="3"/>
      <c r="G592" s="3"/>
      <c r="H592" s="3"/>
      <c r="I592" s="3"/>
      <c r="J592" s="3"/>
    </row>
    <row r="593" spans="1:10" x14ac:dyDescent="0.25">
      <c r="A593" s="3"/>
      <c r="B593" s="3"/>
      <c r="C593" s="3"/>
      <c r="D593" s="3"/>
      <c r="E593" s="3"/>
      <c r="F593" s="3"/>
      <c r="G593" s="3"/>
      <c r="H593" s="3"/>
      <c r="I593" s="3"/>
      <c r="J593" s="3"/>
    </row>
    <row r="594" spans="1:10" x14ac:dyDescent="0.25">
      <c r="A594" s="3"/>
      <c r="B594" s="3"/>
      <c r="C594" s="3"/>
      <c r="D594" s="3"/>
      <c r="E594" s="3"/>
      <c r="F594" s="3"/>
      <c r="G594" s="3"/>
      <c r="H594" s="3"/>
      <c r="I594" s="3"/>
      <c r="J594" s="3"/>
    </row>
    <row r="595" spans="1:10" x14ac:dyDescent="0.25">
      <c r="A595" s="3"/>
      <c r="B595" s="3"/>
      <c r="C595" s="3"/>
      <c r="D595" s="3"/>
      <c r="E595" s="3"/>
      <c r="F595" s="3"/>
      <c r="G595" s="3"/>
      <c r="H595" s="3"/>
      <c r="I595" s="3"/>
      <c r="J595" s="3"/>
    </row>
    <row r="596" spans="1:10" x14ac:dyDescent="0.25">
      <c r="A596" s="3"/>
      <c r="B596" s="3"/>
      <c r="C596" s="3"/>
      <c r="D596" s="3"/>
      <c r="E596" s="3"/>
      <c r="F596" s="3"/>
      <c r="G596" s="3"/>
      <c r="H596" s="3"/>
      <c r="I596" s="3"/>
      <c r="J596" s="3"/>
    </row>
    <row r="597" spans="1:10" x14ac:dyDescent="0.25">
      <c r="A597" s="3"/>
      <c r="B597" s="3"/>
      <c r="C597" s="3"/>
      <c r="D597" s="3"/>
      <c r="E597" s="3"/>
      <c r="F597" s="3"/>
      <c r="G597" s="3"/>
      <c r="H597" s="3"/>
      <c r="I597" s="3"/>
      <c r="J597" s="3"/>
    </row>
    <row r="598" spans="1:10" x14ac:dyDescent="0.25">
      <c r="A598" s="3"/>
      <c r="B598" s="3"/>
      <c r="C598" s="3"/>
      <c r="D598" s="3"/>
      <c r="E598" s="3"/>
      <c r="F598" s="3"/>
      <c r="G598" s="3"/>
      <c r="H598" s="3"/>
      <c r="I598" s="3"/>
      <c r="J598" s="3"/>
    </row>
    <row r="599" spans="1:10" x14ac:dyDescent="0.25">
      <c r="A599" s="3"/>
      <c r="B599" s="3"/>
      <c r="C599" s="3"/>
      <c r="D599" s="3"/>
      <c r="E599" s="3"/>
      <c r="F599" s="3"/>
      <c r="G599" s="3"/>
      <c r="H599" s="3"/>
      <c r="I599" s="3"/>
      <c r="J599" s="3"/>
    </row>
    <row r="600" spans="1:10" x14ac:dyDescent="0.25">
      <c r="A600" s="3"/>
      <c r="B600" s="3"/>
      <c r="C600" s="3"/>
      <c r="D600" s="3"/>
      <c r="E600" s="3"/>
      <c r="F600" s="3"/>
      <c r="G600" s="3"/>
      <c r="H600" s="3"/>
      <c r="I600" s="3"/>
      <c r="J600" s="3"/>
    </row>
    <row r="601" spans="1:10" x14ac:dyDescent="0.25">
      <c r="A601" s="3"/>
      <c r="B601" s="3"/>
      <c r="C601" s="3"/>
      <c r="D601" s="3"/>
      <c r="E601" s="3"/>
      <c r="F601" s="3"/>
      <c r="G601" s="3"/>
      <c r="H601" s="3"/>
      <c r="I601" s="3"/>
      <c r="J601" s="3"/>
    </row>
    <row r="602" spans="1:10" x14ac:dyDescent="0.25">
      <c r="A602" s="3"/>
      <c r="B602" s="3"/>
      <c r="C602" s="3"/>
      <c r="D602" s="3"/>
      <c r="E602" s="3"/>
      <c r="F602" s="3"/>
      <c r="G602" s="3"/>
      <c r="H602" s="3"/>
      <c r="I602" s="3"/>
      <c r="J602" s="3"/>
    </row>
    <row r="603" spans="1:10" x14ac:dyDescent="0.25">
      <c r="A603" s="3"/>
      <c r="B603" s="3"/>
      <c r="C603" s="3"/>
      <c r="D603" s="3"/>
      <c r="E603" s="3"/>
      <c r="F603" s="3"/>
      <c r="G603" s="3"/>
      <c r="H603" s="3"/>
      <c r="I603" s="3"/>
      <c r="J603" s="3"/>
    </row>
    <row r="604" spans="1:10" x14ac:dyDescent="0.25">
      <c r="A604" s="3"/>
      <c r="B604" s="3"/>
      <c r="C604" s="3"/>
      <c r="D604" s="3"/>
      <c r="E604" s="3"/>
      <c r="F604" s="3"/>
      <c r="G604" s="3"/>
      <c r="H604" s="3"/>
      <c r="I604" s="3"/>
      <c r="J604" s="3"/>
    </row>
    <row r="605" spans="1:10" x14ac:dyDescent="0.25">
      <c r="A605" s="3"/>
      <c r="B605" s="3"/>
      <c r="C605" s="3"/>
      <c r="D605" s="3"/>
      <c r="E605" s="3"/>
      <c r="F605" s="3"/>
      <c r="G605" s="3"/>
      <c r="H605" s="3"/>
      <c r="I605" s="3"/>
      <c r="J605" s="3"/>
    </row>
    <row r="606" spans="1:10" x14ac:dyDescent="0.25">
      <c r="A606" s="3"/>
      <c r="B606" s="3"/>
      <c r="C606" s="3"/>
      <c r="D606" s="3"/>
      <c r="E606" s="3"/>
      <c r="F606" s="3"/>
      <c r="G606" s="3"/>
      <c r="H606" s="3"/>
      <c r="I606" s="3"/>
      <c r="J606" s="3"/>
    </row>
    <row r="607" spans="1:10" x14ac:dyDescent="0.25">
      <c r="A607" s="3"/>
      <c r="B607" s="3"/>
      <c r="C607" s="3"/>
      <c r="D607" s="3"/>
      <c r="E607" s="3"/>
      <c r="F607" s="3"/>
      <c r="G607" s="3"/>
      <c r="H607" s="3"/>
      <c r="I607" s="3"/>
      <c r="J607" s="3"/>
    </row>
    <row r="608" spans="1:10" x14ac:dyDescent="0.25">
      <c r="A608" s="3"/>
      <c r="B608" s="3"/>
      <c r="C608" s="3"/>
      <c r="D608" s="3"/>
      <c r="E608" s="3"/>
      <c r="F608" s="3"/>
      <c r="G608" s="3"/>
      <c r="H608" s="3"/>
      <c r="I608" s="3"/>
      <c r="J608" s="3"/>
    </row>
    <row r="609" spans="1:10" x14ac:dyDescent="0.25">
      <c r="A609" s="3"/>
      <c r="B609" s="3"/>
      <c r="C609" s="3"/>
      <c r="D609" s="3"/>
      <c r="E609" s="3"/>
      <c r="F609" s="3"/>
      <c r="G609" s="3"/>
      <c r="H609" s="3"/>
      <c r="I609" s="3"/>
      <c r="J609" s="3"/>
    </row>
    <row r="610" spans="1:10" x14ac:dyDescent="0.25">
      <c r="A610" s="3"/>
      <c r="B610" s="3"/>
      <c r="C610" s="3"/>
      <c r="D610" s="3"/>
      <c r="E610" s="3"/>
      <c r="F610" s="3"/>
      <c r="G610" s="3"/>
      <c r="H610" s="3"/>
      <c r="I610" s="3"/>
      <c r="J610" s="3"/>
    </row>
    <row r="611" spans="1:10" x14ac:dyDescent="0.25">
      <c r="A611" s="3"/>
      <c r="B611" s="3"/>
      <c r="C611" s="3"/>
      <c r="D611" s="3"/>
      <c r="E611" s="3"/>
      <c r="F611" s="3"/>
      <c r="G611" s="3"/>
      <c r="H611" s="3"/>
      <c r="I611" s="3"/>
      <c r="J611" s="3"/>
    </row>
    <row r="612" spans="1:10" x14ac:dyDescent="0.25">
      <c r="A612" s="3"/>
      <c r="B612" s="3"/>
      <c r="C612" s="3"/>
      <c r="D612" s="3"/>
      <c r="E612" s="3"/>
      <c r="F612" s="3"/>
      <c r="G612" s="3"/>
      <c r="H612" s="3"/>
      <c r="I612" s="3"/>
      <c r="J612" s="3"/>
    </row>
    <row r="613" spans="1:10" x14ac:dyDescent="0.25">
      <c r="A613" s="3"/>
      <c r="B613" s="3"/>
      <c r="C613" s="3"/>
      <c r="D613" s="3"/>
      <c r="E613" s="3"/>
      <c r="F613" s="3"/>
      <c r="G613" s="3"/>
      <c r="H613" s="3"/>
      <c r="I613" s="3"/>
      <c r="J613" s="3"/>
    </row>
    <row r="614" spans="1:10" x14ac:dyDescent="0.25">
      <c r="A614" s="3"/>
      <c r="B614" s="3"/>
      <c r="C614" s="3"/>
      <c r="D614" s="3"/>
      <c r="E614" s="3"/>
      <c r="F614" s="3"/>
      <c r="G614" s="3"/>
      <c r="H614" s="3"/>
      <c r="I614" s="3"/>
      <c r="J614" s="3"/>
    </row>
    <row r="615" spans="1:10" x14ac:dyDescent="0.25">
      <c r="A615" s="3"/>
      <c r="B615" s="3"/>
      <c r="C615" s="3"/>
      <c r="D615" s="3"/>
      <c r="E615" s="3"/>
      <c r="F615" s="3"/>
      <c r="G615" s="3"/>
      <c r="H615" s="3"/>
      <c r="I615" s="3"/>
      <c r="J615" s="3"/>
    </row>
    <row r="616" spans="1:10" x14ac:dyDescent="0.25">
      <c r="A616" s="3"/>
      <c r="B616" s="3"/>
      <c r="C616" s="3"/>
      <c r="D616" s="3"/>
      <c r="E616" s="3"/>
      <c r="F616" s="3"/>
      <c r="G616" s="3"/>
      <c r="H616" s="3"/>
      <c r="I616" s="3"/>
      <c r="J616" s="3"/>
    </row>
    <row r="617" spans="1:10" x14ac:dyDescent="0.25">
      <c r="A617" s="3"/>
      <c r="B617" s="3"/>
      <c r="C617" s="3"/>
      <c r="D617" s="3"/>
      <c r="E617" s="3"/>
      <c r="F617" s="3"/>
      <c r="G617" s="3"/>
      <c r="H617" s="3"/>
      <c r="I617" s="3"/>
      <c r="J617" s="3"/>
    </row>
    <row r="618" spans="1:10" x14ac:dyDescent="0.25">
      <c r="A618" s="3"/>
      <c r="B618" s="3"/>
      <c r="C618" s="3"/>
      <c r="D618" s="3"/>
      <c r="E618" s="3"/>
      <c r="F618" s="3"/>
      <c r="G618" s="3"/>
      <c r="H618" s="3"/>
      <c r="I618" s="3"/>
      <c r="J618" s="3"/>
    </row>
    <row r="619" spans="1:10" x14ac:dyDescent="0.25">
      <c r="A619" s="3"/>
      <c r="B619" s="3"/>
      <c r="C619" s="3"/>
      <c r="D619" s="3"/>
      <c r="E619" s="3"/>
      <c r="F619" s="3"/>
      <c r="G619" s="3"/>
      <c r="H619" s="3"/>
      <c r="I619" s="3"/>
      <c r="J619" s="3"/>
    </row>
    <row r="620" spans="1:10" x14ac:dyDescent="0.25">
      <c r="A620" s="3"/>
      <c r="B620" s="3"/>
      <c r="C620" s="3"/>
      <c r="D620" s="3"/>
      <c r="E620" s="3"/>
      <c r="F620" s="3"/>
      <c r="G620" s="3"/>
      <c r="H620" s="3"/>
      <c r="I620" s="3"/>
      <c r="J620" s="3"/>
    </row>
    <row r="621" spans="1:10" x14ac:dyDescent="0.25">
      <c r="A621" s="3"/>
      <c r="B621" s="3"/>
      <c r="C621" s="3"/>
      <c r="D621" s="3"/>
      <c r="E621" s="3"/>
      <c r="F621" s="3"/>
      <c r="G621" s="3"/>
      <c r="H621" s="3"/>
      <c r="I621" s="3"/>
      <c r="J621" s="3"/>
    </row>
    <row r="622" spans="1:10" x14ac:dyDescent="0.25">
      <c r="A622" s="3"/>
      <c r="B622" s="3"/>
      <c r="C622" s="3"/>
      <c r="D622" s="3"/>
      <c r="E622" s="3"/>
      <c r="F622" s="3"/>
      <c r="H622" s="3"/>
      <c r="I622" s="3"/>
      <c r="J622" s="3"/>
    </row>
    <row r="623" spans="1:10" x14ac:dyDescent="0.25">
      <c r="A623" s="3"/>
      <c r="B623" s="3"/>
      <c r="C623" s="3"/>
      <c r="D623" s="3"/>
      <c r="E623" s="3"/>
      <c r="F623" s="3"/>
      <c r="H623" s="3"/>
      <c r="I623" s="3"/>
      <c r="J623" s="3"/>
    </row>
    <row r="624" spans="1:10" x14ac:dyDescent="0.25">
      <c r="A624" s="3"/>
      <c r="B624" s="3"/>
      <c r="C624" s="3"/>
      <c r="D624" s="3"/>
      <c r="E624" s="3"/>
      <c r="F624" s="3"/>
      <c r="H624" s="3"/>
      <c r="I624" s="3"/>
      <c r="J624" s="3"/>
    </row>
    <row r="625" spans="1:10" x14ac:dyDescent="0.25">
      <c r="A625" s="3"/>
      <c r="B625" s="3"/>
      <c r="C625" s="3"/>
      <c r="D625" s="3"/>
      <c r="E625" s="3"/>
      <c r="H625" s="3"/>
      <c r="I625" s="3"/>
      <c r="J625" s="3"/>
    </row>
    <row r="626" spans="1:10" x14ac:dyDescent="0.25">
      <c r="A626" s="3"/>
      <c r="B626" s="3"/>
      <c r="C626" s="3"/>
      <c r="D626" s="3"/>
      <c r="E626" s="3"/>
      <c r="H626" s="3"/>
      <c r="I626" s="3"/>
      <c r="J626" s="3"/>
    </row>
    <row r="627" spans="1:10" x14ac:dyDescent="0.25">
      <c r="A627" s="3"/>
      <c r="B627" s="3"/>
      <c r="C627" s="3"/>
      <c r="D627" s="3"/>
      <c r="I627" s="3"/>
      <c r="J627" s="3"/>
    </row>
    <row r="628" spans="1:10" x14ac:dyDescent="0.25">
      <c r="A628" s="3"/>
      <c r="B628" s="3"/>
      <c r="C628" s="3"/>
      <c r="D628" s="3"/>
    </row>
    <row r="629" spans="1:10" x14ac:dyDescent="0.25">
      <c r="A629" s="3"/>
      <c r="B629" s="3"/>
      <c r="C629" s="3"/>
      <c r="D629" s="3"/>
    </row>
    <row r="630" spans="1:10" x14ac:dyDescent="0.25">
      <c r="A630" s="3"/>
      <c r="B630" s="3"/>
      <c r="C630" s="3"/>
      <c r="D630" s="3"/>
    </row>
    <row r="631" spans="1:10" x14ac:dyDescent="0.25">
      <c r="A631" s="3"/>
      <c r="B631" s="3"/>
      <c r="C631" s="3"/>
      <c r="D631" s="3"/>
    </row>
    <row r="632" spans="1:10" x14ac:dyDescent="0.25">
      <c r="A632" s="3"/>
      <c r="B632" s="3"/>
      <c r="C632" s="3"/>
      <c r="D632" s="3"/>
    </row>
    <row r="633" spans="1:10" x14ac:dyDescent="0.25">
      <c r="A633" s="3"/>
      <c r="B633" s="3"/>
      <c r="C633" s="3"/>
      <c r="D633" s="3"/>
    </row>
    <row r="634" spans="1:10" x14ac:dyDescent="0.25">
      <c r="A634" s="3"/>
      <c r="B634" s="3"/>
      <c r="C634" s="3"/>
      <c r="D634" s="3"/>
    </row>
    <row r="635" spans="1:10" x14ac:dyDescent="0.25">
      <c r="A635" s="3"/>
      <c r="B635" s="3"/>
      <c r="C635" s="3"/>
      <c r="D635" s="3"/>
    </row>
    <row r="636" spans="1:10" x14ac:dyDescent="0.25">
      <c r="A636" s="3"/>
      <c r="B636" s="3"/>
      <c r="C636" s="3"/>
      <c r="D636" s="3"/>
    </row>
    <row r="637" spans="1:10" x14ac:dyDescent="0.25">
      <c r="A637" s="3"/>
      <c r="B637" s="3"/>
      <c r="C637" s="3"/>
      <c r="D637" s="3"/>
    </row>
    <row r="638" spans="1:10" x14ac:dyDescent="0.25">
      <c r="A638" s="3"/>
      <c r="B638" s="3"/>
      <c r="C638" s="3"/>
      <c r="D638" s="3"/>
    </row>
    <row r="639" spans="1:10" x14ac:dyDescent="0.25">
      <c r="A639" s="3"/>
      <c r="B639" s="3"/>
      <c r="C639" s="3"/>
      <c r="D639" s="3"/>
    </row>
    <row r="640" spans="1:10" x14ac:dyDescent="0.25">
      <c r="A640" s="3"/>
      <c r="B640" s="3"/>
      <c r="C640" s="3"/>
      <c r="D640" s="3"/>
    </row>
    <row r="641" spans="1:4" x14ac:dyDescent="0.25">
      <c r="A641" s="3"/>
      <c r="B641" s="3"/>
      <c r="C641" s="3"/>
      <c r="D641" s="3"/>
    </row>
    <row r="642" spans="1:4" x14ac:dyDescent="0.25">
      <c r="A642" s="3"/>
      <c r="B642" s="3"/>
      <c r="C642" s="3"/>
      <c r="D642" s="3"/>
    </row>
    <row r="643" spans="1:4" x14ac:dyDescent="0.25">
      <c r="A643" s="3"/>
      <c r="B643" s="3"/>
      <c r="C643" s="3"/>
      <c r="D643" s="3"/>
    </row>
    <row r="644" spans="1:4" x14ac:dyDescent="0.25">
      <c r="A644" s="3"/>
      <c r="B644" s="3"/>
      <c r="C644" s="3"/>
      <c r="D644" s="3"/>
    </row>
    <row r="645" spans="1:4" x14ac:dyDescent="0.25">
      <c r="A645" s="3"/>
      <c r="B645" s="3"/>
      <c r="C645" s="3"/>
      <c r="D645" s="3"/>
    </row>
    <row r="646" spans="1:4" x14ac:dyDescent="0.25">
      <c r="A646" s="3"/>
      <c r="B646" s="3"/>
      <c r="C646" s="3"/>
      <c r="D646" s="3"/>
    </row>
    <row r="647" spans="1:4" x14ac:dyDescent="0.25">
      <c r="A647" s="3"/>
      <c r="B647" s="3"/>
      <c r="C647" s="3"/>
      <c r="D647" s="3"/>
    </row>
    <row r="648" spans="1:4" x14ac:dyDescent="0.25">
      <c r="A648" s="3"/>
      <c r="B648" s="3"/>
      <c r="C648" s="3"/>
      <c r="D648" s="3"/>
    </row>
    <row r="649" spans="1:4" x14ac:dyDescent="0.25">
      <c r="A649" s="3"/>
      <c r="B649" s="3"/>
      <c r="C649" s="3"/>
      <c r="D649" s="3"/>
    </row>
    <row r="650" spans="1:4" x14ac:dyDescent="0.25">
      <c r="A650" s="3"/>
      <c r="B650" s="3"/>
      <c r="C650" s="3"/>
      <c r="D650" s="3"/>
    </row>
    <row r="651" spans="1:4" x14ac:dyDescent="0.25">
      <c r="A651" s="3"/>
      <c r="B651" s="3"/>
      <c r="C651" s="3"/>
      <c r="D651" s="3"/>
    </row>
    <row r="652" spans="1:4" x14ac:dyDescent="0.25">
      <c r="A652" s="3"/>
      <c r="B652" s="3"/>
      <c r="C652" s="3"/>
      <c r="D652" s="3"/>
    </row>
    <row r="653" spans="1:4" x14ac:dyDescent="0.25">
      <c r="A653" s="3"/>
      <c r="B653" s="3"/>
      <c r="C653" s="3"/>
      <c r="D653" s="3"/>
    </row>
    <row r="654" spans="1:4" x14ac:dyDescent="0.25">
      <c r="A654" s="3"/>
      <c r="B654" s="3"/>
      <c r="C654" s="3"/>
      <c r="D654" s="3"/>
    </row>
    <row r="655" spans="1:4" x14ac:dyDescent="0.25">
      <c r="A655" s="3"/>
      <c r="B655" s="3"/>
      <c r="C655" s="3"/>
      <c r="D655" s="3"/>
    </row>
    <row r="656" spans="1:4" x14ac:dyDescent="0.25">
      <c r="A656" s="3"/>
      <c r="B656" s="3"/>
      <c r="C656" s="3"/>
      <c r="D656" s="3"/>
    </row>
    <row r="657" spans="1:4" x14ac:dyDescent="0.25">
      <c r="A657" s="3"/>
      <c r="B657" s="3"/>
      <c r="C657" s="3"/>
      <c r="D657" s="3"/>
    </row>
    <row r="658" spans="1:4" x14ac:dyDescent="0.25">
      <c r="A658" s="3"/>
      <c r="B658" s="3"/>
      <c r="C658" s="3"/>
      <c r="D658" s="3"/>
    </row>
    <row r="659" spans="1:4" x14ac:dyDescent="0.25">
      <c r="A659" s="3"/>
      <c r="B659" s="3"/>
      <c r="C659" s="3"/>
      <c r="D659" s="3"/>
    </row>
    <row r="660" spans="1:4" x14ac:dyDescent="0.25">
      <c r="A660" s="3"/>
      <c r="B660" s="3"/>
      <c r="C660" s="3"/>
      <c r="D660" s="3"/>
    </row>
    <row r="661" spans="1:4" x14ac:dyDescent="0.25">
      <c r="A661" s="3"/>
      <c r="B661" s="3"/>
      <c r="C661" s="3"/>
      <c r="D661" s="3"/>
    </row>
    <row r="662" spans="1:4" x14ac:dyDescent="0.25">
      <c r="A662" s="3"/>
      <c r="B662" s="3"/>
      <c r="C662" s="3"/>
      <c r="D662" s="3"/>
    </row>
    <row r="663" spans="1:4" x14ac:dyDescent="0.25">
      <c r="A663" s="3"/>
      <c r="B663" s="3"/>
      <c r="C663" s="3"/>
      <c r="D663" s="3"/>
    </row>
    <row r="664" spans="1:4" x14ac:dyDescent="0.25">
      <c r="A664" s="3"/>
      <c r="B664" s="3"/>
      <c r="C664" s="3"/>
      <c r="D664" s="3"/>
    </row>
    <row r="665" spans="1:4" x14ac:dyDescent="0.25">
      <c r="C665" s="3"/>
      <c r="D665" s="3"/>
    </row>
    <row r="666" spans="1:4" x14ac:dyDescent="0.25">
      <c r="C666" s="3"/>
      <c r="D666" s="3"/>
    </row>
    <row r="667" spans="1:4" x14ac:dyDescent="0.25">
      <c r="C667" s="3"/>
      <c r="D667" s="3"/>
    </row>
    <row r="668" spans="1:4" x14ac:dyDescent="0.25">
      <c r="C668" s="3"/>
      <c r="D668" s="3"/>
    </row>
    <row r="669" spans="1:4" x14ac:dyDescent="0.25">
      <c r="C669" s="3"/>
      <c r="D669" s="3"/>
    </row>
  </sheetData>
  <mergeCells count="50">
    <mergeCell ref="I1:N2"/>
    <mergeCell ref="X29:Y29"/>
    <mergeCell ref="Z29:AA29"/>
    <mergeCell ref="V29:W29"/>
    <mergeCell ref="D8:E8"/>
    <mergeCell ref="H8:I8"/>
    <mergeCell ref="A8:B8"/>
    <mergeCell ref="B3:C3"/>
    <mergeCell ref="B4:C4"/>
    <mergeCell ref="B5:C5"/>
    <mergeCell ref="B6:C6"/>
    <mergeCell ref="A14:B14"/>
    <mergeCell ref="A15:B15"/>
    <mergeCell ref="A16:B16"/>
    <mergeCell ref="A17:B17"/>
    <mergeCell ref="A10:B10"/>
    <mergeCell ref="A11:B11"/>
    <mergeCell ref="A12:B12"/>
    <mergeCell ref="A13:B13"/>
    <mergeCell ref="A22:B22"/>
    <mergeCell ref="A23:B23"/>
    <mergeCell ref="A24:B24"/>
    <mergeCell ref="A25:B25"/>
    <mergeCell ref="A18:B18"/>
    <mergeCell ref="A19:B19"/>
    <mergeCell ref="A20:B20"/>
    <mergeCell ref="A21:B21"/>
    <mergeCell ref="A30:B30"/>
    <mergeCell ref="A31:B31"/>
    <mergeCell ref="A32:B32"/>
    <mergeCell ref="A33:B33"/>
    <mergeCell ref="A26:B26"/>
    <mergeCell ref="A27:B27"/>
    <mergeCell ref="A28:B28"/>
    <mergeCell ref="A29:B29"/>
    <mergeCell ref="A40:B40"/>
    <mergeCell ref="A41:B41"/>
    <mergeCell ref="A34:B34"/>
    <mergeCell ref="A35:B35"/>
    <mergeCell ref="A36:B36"/>
    <mergeCell ref="A37:B37"/>
    <mergeCell ref="A38:B38"/>
    <mergeCell ref="A39:B39"/>
    <mergeCell ref="A46:B46"/>
    <mergeCell ref="A47:B47"/>
    <mergeCell ref="A48:B48"/>
    <mergeCell ref="A42:B42"/>
    <mergeCell ref="A43:B43"/>
    <mergeCell ref="A44:B44"/>
    <mergeCell ref="A45:B45"/>
  </mergeCells>
  <phoneticPr fontId="0" type="noConversion"/>
  <printOptions horizontalCentered="1" verticalCentered="1"/>
  <pageMargins left="0.4" right="0" top="0.39" bottom="0.54" header="0.13" footer="0.54"/>
  <pageSetup scale="62" orientation="portrait" horizontalDpi="360" verticalDpi="360"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dimension ref="A1:AZ14"/>
  <sheetViews>
    <sheetView workbookViewId="0">
      <selection activeCell="A5" sqref="A5:BH108"/>
    </sheetView>
  </sheetViews>
  <sheetFormatPr baseColWidth="10" defaultColWidth="8.88671875" defaultRowHeight="13.2" x14ac:dyDescent="0.25"/>
  <cols>
    <col min="2" max="2" width="31.109375" customWidth="1"/>
    <col min="3" max="3" width="31.88671875" customWidth="1"/>
  </cols>
  <sheetData>
    <row r="1" spans="1:52" ht="12.75" customHeight="1" x14ac:dyDescent="0.25">
      <c r="A1" s="843" t="s">
        <v>158</v>
      </c>
      <c r="B1" s="844"/>
      <c r="C1" s="844"/>
      <c r="D1" s="844"/>
      <c r="E1" s="844"/>
      <c r="F1" s="844"/>
      <c r="G1" s="844"/>
      <c r="H1" s="844"/>
      <c r="I1" s="844"/>
      <c r="AX1" t="s">
        <v>162</v>
      </c>
      <c r="AZ1">
        <v>2204.62</v>
      </c>
    </row>
    <row r="2" spans="1:52" ht="12.75" customHeight="1" x14ac:dyDescent="0.25">
      <c r="A2" s="844"/>
      <c r="B2" s="844"/>
      <c r="C2" s="844"/>
      <c r="D2" s="844"/>
      <c r="E2" s="844"/>
      <c r="F2" s="844"/>
      <c r="G2" s="844"/>
      <c r="H2" s="844"/>
      <c r="I2" s="844"/>
    </row>
    <row r="4" spans="1:52" x14ac:dyDescent="0.25">
      <c r="A4" s="255" t="s">
        <v>144</v>
      </c>
      <c r="B4" s="249" t="s">
        <v>145</v>
      </c>
      <c r="E4" t="s">
        <v>146</v>
      </c>
      <c r="F4" t="s">
        <v>147</v>
      </c>
      <c r="G4" t="s">
        <v>148</v>
      </c>
      <c r="H4" t="s">
        <v>149</v>
      </c>
      <c r="I4" t="s">
        <v>150</v>
      </c>
      <c r="J4" t="s">
        <v>151</v>
      </c>
      <c r="K4" t="s">
        <v>152</v>
      </c>
      <c r="Q4" t="s">
        <v>97</v>
      </c>
      <c r="R4" t="s">
        <v>153</v>
      </c>
    </row>
    <row r="5" spans="1:52" x14ac:dyDescent="0.25">
      <c r="A5" s="255">
        <v>0</v>
      </c>
      <c r="B5" s="249">
        <v>4</v>
      </c>
    </row>
    <row r="6" spans="1:52" x14ac:dyDescent="0.25">
      <c r="A6">
        <v>1</v>
      </c>
      <c r="B6">
        <v>1</v>
      </c>
      <c r="C6" t="s">
        <v>255</v>
      </c>
      <c r="E6">
        <v>0</v>
      </c>
      <c r="F6">
        <v>0</v>
      </c>
      <c r="H6">
        <v>0</v>
      </c>
      <c r="J6">
        <v>5</v>
      </c>
      <c r="K6">
        <v>0</v>
      </c>
      <c r="N6" s="165"/>
      <c r="O6">
        <v>1</v>
      </c>
      <c r="Q6">
        <v>0</v>
      </c>
      <c r="R6">
        <v>1</v>
      </c>
      <c r="S6">
        <v>0</v>
      </c>
      <c r="U6">
        <v>0</v>
      </c>
      <c r="V6">
        <v>7</v>
      </c>
      <c r="W6">
        <v>79</v>
      </c>
      <c r="AK6" s="165">
        <v>0</v>
      </c>
      <c r="AL6">
        <v>0</v>
      </c>
      <c r="AM6">
        <v>0</v>
      </c>
      <c r="AN6">
        <v>0</v>
      </c>
      <c r="AO6">
        <v>0</v>
      </c>
      <c r="AP6">
        <v>0</v>
      </c>
      <c r="AQ6">
        <v>0</v>
      </c>
      <c r="AR6">
        <v>0</v>
      </c>
      <c r="AS6">
        <v>0</v>
      </c>
      <c r="AT6">
        <v>0</v>
      </c>
    </row>
    <row r="7" spans="1:52" x14ac:dyDescent="0.25">
      <c r="A7">
        <v>2</v>
      </c>
      <c r="B7">
        <v>2</v>
      </c>
      <c r="C7" t="s">
        <v>256</v>
      </c>
      <c r="E7">
        <v>0</v>
      </c>
      <c r="F7">
        <v>0</v>
      </c>
      <c r="H7">
        <v>0</v>
      </c>
      <c r="J7">
        <v>5</v>
      </c>
      <c r="K7">
        <v>0</v>
      </c>
      <c r="N7" s="165"/>
      <c r="O7">
        <v>2</v>
      </c>
      <c r="Q7">
        <v>0</v>
      </c>
      <c r="R7">
        <v>1</v>
      </c>
      <c r="S7">
        <v>0</v>
      </c>
      <c r="U7">
        <v>0</v>
      </c>
      <c r="V7">
        <v>7</v>
      </c>
      <c r="W7">
        <v>79</v>
      </c>
      <c r="X7" s="165"/>
      <c r="AK7" s="165">
        <v>0</v>
      </c>
      <c r="AL7">
        <v>0</v>
      </c>
      <c r="AM7">
        <v>0</v>
      </c>
      <c r="AN7">
        <v>0</v>
      </c>
      <c r="AO7">
        <v>0</v>
      </c>
      <c r="AP7">
        <v>0</v>
      </c>
      <c r="AQ7">
        <v>0</v>
      </c>
      <c r="AR7">
        <v>0</v>
      </c>
      <c r="AS7">
        <v>0</v>
      </c>
      <c r="AT7">
        <v>0</v>
      </c>
    </row>
    <row r="8" spans="1:52" x14ac:dyDescent="0.25">
      <c r="A8">
        <v>3</v>
      </c>
      <c r="B8">
        <v>3</v>
      </c>
      <c r="C8" t="s">
        <v>257</v>
      </c>
      <c r="E8">
        <v>0</v>
      </c>
      <c r="F8">
        <v>0</v>
      </c>
      <c r="H8">
        <v>0</v>
      </c>
      <c r="J8">
        <v>5</v>
      </c>
      <c r="K8">
        <v>0</v>
      </c>
      <c r="N8" s="165"/>
      <c r="O8">
        <v>3</v>
      </c>
      <c r="Q8">
        <v>0</v>
      </c>
      <c r="R8">
        <v>1</v>
      </c>
      <c r="S8">
        <v>0</v>
      </c>
      <c r="U8">
        <v>0</v>
      </c>
      <c r="V8">
        <v>24</v>
      </c>
      <c r="W8">
        <v>120</v>
      </c>
      <c r="AK8">
        <v>0</v>
      </c>
      <c r="AL8">
        <v>0</v>
      </c>
      <c r="AM8">
        <v>0</v>
      </c>
      <c r="AN8">
        <v>0</v>
      </c>
      <c r="AO8">
        <v>0</v>
      </c>
      <c r="AP8">
        <v>0</v>
      </c>
      <c r="AQ8">
        <v>0</v>
      </c>
      <c r="AR8">
        <v>0</v>
      </c>
      <c r="AS8">
        <v>0</v>
      </c>
      <c r="AT8">
        <v>0</v>
      </c>
    </row>
    <row r="9" spans="1:52" x14ac:dyDescent="0.25">
      <c r="A9">
        <v>4</v>
      </c>
      <c r="B9">
        <v>4</v>
      </c>
      <c r="C9" t="s">
        <v>258</v>
      </c>
      <c r="E9">
        <v>0</v>
      </c>
      <c r="F9">
        <v>0</v>
      </c>
      <c r="H9">
        <v>0</v>
      </c>
      <c r="J9">
        <v>4</v>
      </c>
      <c r="K9">
        <v>0</v>
      </c>
      <c r="N9" s="165"/>
      <c r="O9">
        <v>4</v>
      </c>
      <c r="Q9">
        <v>0</v>
      </c>
      <c r="R9">
        <v>1</v>
      </c>
      <c r="S9">
        <v>0</v>
      </c>
      <c r="U9">
        <v>0</v>
      </c>
      <c r="V9">
        <v>24</v>
      </c>
      <c r="W9">
        <v>104</v>
      </c>
      <c r="AR9">
        <v>0</v>
      </c>
      <c r="AS9">
        <v>0</v>
      </c>
      <c r="AT9">
        <v>0</v>
      </c>
    </row>
    <row r="10" spans="1:52" x14ac:dyDescent="0.25">
      <c r="N10" s="165"/>
    </row>
    <row r="11" spans="1:52" x14ac:dyDescent="0.25">
      <c r="N11" s="165"/>
    </row>
    <row r="12" spans="1:52" x14ac:dyDescent="0.25">
      <c r="N12" s="165"/>
    </row>
    <row r="13" spans="1:52" x14ac:dyDescent="0.25">
      <c r="N13" s="165"/>
      <c r="AW13" s="165"/>
    </row>
    <row r="14" spans="1:52" x14ac:dyDescent="0.25">
      <c r="N14" s="165"/>
    </row>
  </sheetData>
  <mergeCells count="1">
    <mergeCell ref="A1:I2"/>
  </mergeCells>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13</vt:i4>
      </vt:variant>
    </vt:vector>
  </HeadingPairs>
  <TitlesOfParts>
    <vt:vector size="27" baseType="lpstr">
      <vt:lpstr>Menu</vt:lpstr>
      <vt:lpstr>WBM Check</vt:lpstr>
      <vt:lpstr>CALDRIL Check</vt:lpstr>
      <vt:lpstr>Synthetic-Based Mud</vt:lpstr>
      <vt:lpstr>OBM Check</vt:lpstr>
      <vt:lpstr>Extra WBM Labels</vt:lpstr>
      <vt:lpstr>Extra OBM-SBM Labels</vt:lpstr>
      <vt:lpstr>Vol. Info</vt:lpstr>
      <vt:lpstr>Chem. Inv (DF)</vt:lpstr>
      <vt:lpstr>Chem. Inv (DF-Order by Name)</vt:lpstr>
      <vt:lpstr>Chem. Inv (Full)</vt:lpstr>
      <vt:lpstr>Equipment</vt:lpstr>
      <vt:lpstr>Screen Inventory</vt:lpstr>
      <vt:lpstr>WorkArea</vt:lpstr>
      <vt:lpstr>'CALDRIL Check'!Área_de_impresión</vt:lpstr>
      <vt:lpstr>Equipment!Área_de_impresión</vt:lpstr>
      <vt:lpstr>'Extra OBM-SBM Labels'!Área_de_impresión</vt:lpstr>
      <vt:lpstr>'Extra WBM Labels'!Área_de_impresión</vt:lpstr>
      <vt:lpstr>'OBM Check'!Área_de_impresión</vt:lpstr>
      <vt:lpstr>'Screen Inventory'!Área_de_impresión</vt:lpstr>
      <vt:lpstr>'Synthetic-Based Mud'!Área_de_impresión</vt:lpstr>
      <vt:lpstr>'Vol. Info'!Área_de_impresión</vt:lpstr>
      <vt:lpstr>'WBM Check'!Área_de_impresión</vt:lpstr>
      <vt:lpstr>Equipment!david</vt:lpstr>
      <vt:lpstr>'Screen Inventory'!david</vt:lpstr>
      <vt:lpstr>Equipment!mine</vt:lpstr>
      <vt:lpstr>'Screen Inventory'!mine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Anna Fitzgerald</dc:creator>
  <cp:lastModifiedBy>USER</cp:lastModifiedBy>
  <cp:lastPrinted>2009-07-06T01:33:27Z</cp:lastPrinted>
  <dcterms:created xsi:type="dcterms:W3CDTF">1998-05-12T19:08:51Z</dcterms:created>
  <dcterms:modified xsi:type="dcterms:W3CDTF">2026-08-21T15:40:53Z</dcterms:modified>
</cp:coreProperties>
</file>